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rahescoto/Downloads/"/>
    </mc:Choice>
  </mc:AlternateContent>
  <xr:revisionPtr revIDLastSave="0" documentId="13_ncr:1_{EBE8ED8B-51DC-5942-A6BD-308705FEFC7E}" xr6:coauthVersionLast="47" xr6:coauthVersionMax="47" xr10:uidLastSave="{00000000-0000-0000-0000-000000000000}"/>
  <bookViews>
    <workbookView xWindow="0" yWindow="760" windowWidth="30240" windowHeight="17580" activeTab="59" xr2:uid="{00000000-000D-0000-FFFF-FFFF00000000}"/>
  </bookViews>
  <sheets>
    <sheet name="July 14" sheetId="1" state="hidden" r:id="rId1"/>
    <sheet name="Aug 14" sheetId="2" state="hidden" r:id="rId2"/>
    <sheet name="Sept 14" sheetId="3" state="hidden" r:id="rId3"/>
    <sheet name="Oct 14" sheetId="4" state="hidden" r:id="rId4"/>
    <sheet name="Nov 14" sheetId="5" state="hidden" r:id="rId5"/>
    <sheet name="Dec 14" sheetId="6" state="hidden" r:id="rId6"/>
    <sheet name="Jan 15" sheetId="7" state="hidden" r:id="rId7"/>
    <sheet name="Feb 15" sheetId="8" state="hidden" r:id="rId8"/>
    <sheet name="Mar 15" sheetId="9" state="hidden" r:id="rId9"/>
    <sheet name="Apr 2015" sheetId="10" state="hidden" r:id="rId10"/>
    <sheet name="May 2015" sheetId="11" state="hidden" r:id="rId11"/>
    <sheet name="June 2015" sheetId="12" state="hidden" r:id="rId12"/>
    <sheet name="July 2015" sheetId="13" state="hidden" r:id="rId13"/>
    <sheet name="Aug 2015" sheetId="14" state="hidden" r:id="rId14"/>
    <sheet name="Sep 2015" sheetId="15" state="hidden" r:id="rId15"/>
    <sheet name="Oct 2015" sheetId="16" state="hidden" r:id="rId16"/>
    <sheet name="Nov 2015" sheetId="17" state="hidden" r:id="rId17"/>
    <sheet name="Dec 2015" sheetId="18" state="hidden" r:id="rId18"/>
    <sheet name="Jan 2016" sheetId="19" state="hidden" r:id="rId19"/>
    <sheet name="Feb 2016" sheetId="20" state="hidden" r:id="rId20"/>
    <sheet name="Mar 2016" sheetId="21" state="hidden" r:id="rId21"/>
    <sheet name="April 2016" sheetId="22" state="hidden" r:id="rId22"/>
    <sheet name="May 2016" sheetId="23" state="hidden" r:id="rId23"/>
    <sheet name="June 2016" sheetId="24" state="hidden" r:id="rId24"/>
    <sheet name="July 2016" sheetId="25" state="hidden" r:id="rId25"/>
    <sheet name="Aug 2016" sheetId="26" state="hidden" r:id="rId26"/>
    <sheet name="Sep 2016" sheetId="27" state="hidden" r:id="rId27"/>
    <sheet name="Oct 2016" sheetId="28" state="hidden" r:id="rId28"/>
    <sheet name="Nov 2016" sheetId="29" state="hidden" r:id="rId29"/>
    <sheet name="Dec 2016" sheetId="30" state="hidden" r:id="rId30"/>
    <sheet name="Jan 2017" sheetId="31" state="hidden" r:id="rId31"/>
    <sheet name="Feb 2017" sheetId="32" state="hidden" r:id="rId32"/>
    <sheet name="March 2017" sheetId="33" state="hidden" r:id="rId33"/>
    <sheet name="April 2017" sheetId="35" state="hidden" r:id="rId34"/>
    <sheet name="May 2017" sheetId="36" state="hidden" r:id="rId35"/>
    <sheet name="June 2017" sheetId="37" state="hidden" r:id="rId36"/>
    <sheet name="July 2017" sheetId="38" state="hidden" r:id="rId37"/>
    <sheet name="Aug 2017" sheetId="39" state="hidden" r:id="rId38"/>
    <sheet name="Sept 2017" sheetId="42" state="hidden" r:id="rId39"/>
    <sheet name="Oct 2017" sheetId="43" state="hidden" r:id="rId40"/>
    <sheet name="Nov 2017" sheetId="44" state="hidden" r:id="rId41"/>
    <sheet name="Dec 2017" sheetId="45" state="hidden" r:id="rId42"/>
    <sheet name="Jan 2018" sheetId="46" state="hidden" r:id="rId43"/>
    <sheet name="Feb 2018" sheetId="47" state="hidden" r:id="rId44"/>
    <sheet name="Mar 2018" sheetId="48" state="hidden" r:id="rId45"/>
    <sheet name="April 2018" sheetId="49" state="hidden" r:id="rId46"/>
    <sheet name="May 2018" sheetId="50" state="hidden" r:id="rId47"/>
    <sheet name="June 2018" sheetId="51" state="hidden" r:id="rId48"/>
    <sheet name="July 2018" sheetId="52" state="hidden" r:id="rId49"/>
    <sheet name="August 2018" sheetId="53" state="hidden" r:id="rId50"/>
    <sheet name="December 2018" sheetId="54" state="hidden" r:id="rId51"/>
    <sheet name="January 2019" sheetId="55" state="hidden" r:id="rId52"/>
    <sheet name="February 2019" sheetId="56" state="hidden" r:id="rId53"/>
    <sheet name="March 2019" sheetId="57" state="hidden" r:id="rId54"/>
    <sheet name="April 2019" sheetId="58" state="hidden" r:id="rId55"/>
    <sheet name="May 2019 " sheetId="59" state="hidden" r:id="rId56"/>
    <sheet name="Jun 2019" sheetId="60" state="hidden" r:id="rId57"/>
    <sheet name="Jul 2019" sheetId="61" state="hidden" r:id="rId58"/>
    <sheet name="Aug 2019" sheetId="62" state="hidden" r:id="rId59"/>
    <sheet name="2025 12" sheetId="147" r:id="rId60"/>
    <sheet name="2025 11" sheetId="146" r:id="rId61"/>
    <sheet name="2025 10" sheetId="145" r:id="rId62"/>
    <sheet name="2025 09" sheetId="144" r:id="rId63"/>
    <sheet name="2025 08" sheetId="143" r:id="rId64"/>
    <sheet name="2025 07" sheetId="142" r:id="rId65"/>
    <sheet name="2025 06" sheetId="141" r:id="rId66"/>
    <sheet name="2025 05" sheetId="140" r:id="rId67"/>
    <sheet name="2025 04" sheetId="139" r:id="rId68"/>
    <sheet name="2025 03" sheetId="138" r:id="rId69"/>
    <sheet name="2025 02" sheetId="137" r:id="rId70"/>
    <sheet name="2025 01" sheetId="136" r:id="rId71"/>
    <sheet name="2024 12" sheetId="135" r:id="rId72"/>
    <sheet name="2024 11" sheetId="134" r:id="rId73"/>
    <sheet name="2024 10" sheetId="133" r:id="rId74"/>
    <sheet name="2024 09" sheetId="132" r:id="rId75"/>
    <sheet name="2024 08" sheetId="131" r:id="rId76"/>
    <sheet name="2024 07" sheetId="130" r:id="rId77"/>
    <sheet name="2024 06" sheetId="129" r:id="rId78"/>
    <sheet name="2024 05" sheetId="128" r:id="rId79"/>
    <sheet name="2024 04" sheetId="127" r:id="rId80"/>
    <sheet name="2024 03" sheetId="126" r:id="rId81"/>
    <sheet name="2024 02" sheetId="125" r:id="rId82"/>
    <sheet name="2024 01" sheetId="124" r:id="rId83"/>
    <sheet name="2023 12" sheetId="123" r:id="rId84"/>
    <sheet name="2023 11" sheetId="122" r:id="rId85"/>
    <sheet name="2023 10" sheetId="119" r:id="rId86"/>
    <sheet name="2023 09" sheetId="121" r:id="rId87"/>
    <sheet name="2023 08" sheetId="118" r:id="rId88"/>
    <sheet name="2023 07" sheetId="117" r:id="rId89"/>
    <sheet name="2023 06" sheetId="115" r:id="rId90"/>
    <sheet name="2023 05" sheetId="114" r:id="rId91"/>
    <sheet name="2023 04" sheetId="113" r:id="rId92"/>
    <sheet name="2023 03" sheetId="109" r:id="rId93"/>
    <sheet name="2023 02" sheetId="108" r:id="rId94"/>
    <sheet name="2023 01" sheetId="107" r:id="rId95"/>
    <sheet name="2022 12" sheetId="106" r:id="rId96"/>
    <sheet name="2022 11" sheetId="105" r:id="rId97"/>
    <sheet name="2022 10" sheetId="103" r:id="rId98"/>
    <sheet name="2022 09" sheetId="102" r:id="rId99"/>
    <sheet name="2022 08" sheetId="101" r:id="rId100"/>
    <sheet name="2022 07" sheetId="100" r:id="rId101"/>
    <sheet name="2022 06" sheetId="99" r:id="rId102"/>
    <sheet name="2022 05" sheetId="98" r:id="rId103"/>
    <sheet name="2022 04" sheetId="97" r:id="rId104"/>
    <sheet name="2022 03" sheetId="96" r:id="rId105"/>
    <sheet name="2022 02" sheetId="95" r:id="rId106"/>
    <sheet name="2022 01" sheetId="93" r:id="rId107"/>
    <sheet name="2021 12" sheetId="91" r:id="rId108"/>
    <sheet name="2021 11" sheetId="90" r:id="rId109"/>
    <sheet name="2021 10" sheetId="89" r:id="rId110"/>
    <sheet name="2021 09" sheetId="88" r:id="rId111"/>
    <sheet name="2021 08" sheetId="87" r:id="rId112"/>
    <sheet name="2021 07" sheetId="86" r:id="rId113"/>
    <sheet name="2021 06" sheetId="85" r:id="rId114"/>
    <sheet name="2021 05" sheetId="84" r:id="rId115"/>
    <sheet name="2021 04" sheetId="83" r:id="rId116"/>
    <sheet name="2021 03" sheetId="82" r:id="rId117"/>
    <sheet name="2021 02" sheetId="81" r:id="rId118"/>
    <sheet name="2021 01" sheetId="80" r:id="rId119"/>
    <sheet name="2020 12" sheetId="78" r:id="rId120"/>
    <sheet name="2020 11" sheetId="77" r:id="rId121"/>
    <sheet name="2020 10" sheetId="76" r:id="rId122"/>
    <sheet name="2020 09" sheetId="75" r:id="rId123"/>
    <sheet name="2020 08" sheetId="74" r:id="rId124"/>
    <sheet name="2020 07" sheetId="73" r:id="rId125"/>
    <sheet name="2020 06" sheetId="72" r:id="rId126"/>
    <sheet name="2020 05" sheetId="71" r:id="rId127"/>
    <sheet name="2020 04" sheetId="70" r:id="rId128"/>
    <sheet name="2020 03" sheetId="69" r:id="rId129"/>
    <sheet name="2020 02" sheetId="68" r:id="rId130"/>
    <sheet name="2020 01" sheetId="67" r:id="rId131"/>
    <sheet name="Dec 2019" sheetId="66" r:id="rId132"/>
    <sheet name="Nov 2019" sheetId="65" r:id="rId133"/>
    <sheet name="Oct 2019" sheetId="64" r:id="rId134"/>
    <sheet name="Sep 2019" sheetId="63" r:id="rId135"/>
  </sheets>
  <definedNames>
    <definedName name="_xlnm._FilterDatabase" localSheetId="108" hidden="1">'2021 11'!$A$4:$G$4</definedName>
    <definedName name="_xlnm._FilterDatabase" localSheetId="107" hidden="1">'2021 12'!$A$4:$H$4</definedName>
    <definedName name="_xlnm._FilterDatabase" localSheetId="106" hidden="1">'2022 01'!$A$4:$G$4</definedName>
    <definedName name="_xlnm._FilterDatabase" localSheetId="105" hidden="1">'2022 02'!$A$4:$I$4</definedName>
    <definedName name="_xlnm._FilterDatabase" localSheetId="104" hidden="1">'2022 03'!$A$4:$G$4</definedName>
    <definedName name="_xlnm._FilterDatabase" localSheetId="103" hidden="1">'2022 04'!$A$4:$G$4</definedName>
    <definedName name="_xlnm._FilterDatabase" localSheetId="102" hidden="1">'2022 05'!$A$4:$G$4</definedName>
    <definedName name="_xlnm._FilterDatabase" localSheetId="101" hidden="1">'2022 06'!$A$4:$G$4</definedName>
    <definedName name="_xlnm._FilterDatabase" localSheetId="100" hidden="1">'2022 07'!$A$4:$G$4</definedName>
    <definedName name="_xlnm._FilterDatabase" localSheetId="99" hidden="1">'2022 08'!$A$4:$G$4</definedName>
    <definedName name="_xlnm._FilterDatabase" localSheetId="98" hidden="1">'2022 09'!$A$4:$G$63</definedName>
    <definedName name="_xlnm._FilterDatabase" localSheetId="97" hidden="1">'2022 10'!$A$4:$G$63</definedName>
    <definedName name="_xlnm._FilterDatabase" localSheetId="96" hidden="1">'2022 11'!$A$4:$G$64</definedName>
    <definedName name="_xlnm._FilterDatabase" localSheetId="95" hidden="1">'2022 12'!$A$4:$H$64</definedName>
    <definedName name="_xlnm._FilterDatabase" localSheetId="94" hidden="1">'2023 01'!$A$4:$I$68</definedName>
    <definedName name="_xlnm._FilterDatabase" localSheetId="93" hidden="1">'2023 02'!$A$4:$L$68</definedName>
    <definedName name="_xlnm._FilterDatabase" localSheetId="92" hidden="1">'2023 03'!$A$4:$L$69</definedName>
    <definedName name="_xlnm._FilterDatabase" localSheetId="91" hidden="1">'2023 04'!$A$4:$L$68</definedName>
    <definedName name="_xlnm._FilterDatabase" localSheetId="90" hidden="1">'2023 05'!$A$4:$L$69</definedName>
    <definedName name="_xlnm._FilterDatabase" localSheetId="89" hidden="1">'2023 06'!$A$4:$L$68</definedName>
    <definedName name="_xlnm._FilterDatabase" localSheetId="88" hidden="1">'2023 07'!$A$4:$L$71</definedName>
    <definedName name="_xlnm._FilterDatabase" localSheetId="87" hidden="1">'2023 08'!$A$4:$L$71</definedName>
    <definedName name="_xlnm.Print_Area" localSheetId="130">'2020 01'!$B$1:$F$66</definedName>
    <definedName name="_xlnm.Print_Area" localSheetId="129">'2020 02'!$B$1:$F$73</definedName>
    <definedName name="_xlnm.Print_Area" localSheetId="128">'2020 03'!$A$1:$E$68</definedName>
    <definedName name="_xlnm.Print_Area" localSheetId="127">'2020 04'!$A$1:$E$69</definedName>
    <definedName name="_xlnm.Print_Area" localSheetId="126">'2020 05'!$A$1:$E$68</definedName>
    <definedName name="_xlnm.Print_Area" localSheetId="125">'2020 06'!$A$1:$E$70</definedName>
    <definedName name="_xlnm.Print_Area" localSheetId="124">'2020 07'!$A$1:$E$68</definedName>
    <definedName name="_xlnm.Print_Area" localSheetId="123">'2020 08'!$A$1:$E$69</definedName>
    <definedName name="_xlnm.Print_Area" localSheetId="122">'2020 09'!$A$1:$E$70</definedName>
    <definedName name="_xlnm.Print_Area" localSheetId="121">'2020 10'!$A$1:$E$70</definedName>
    <definedName name="_xlnm.Print_Area" localSheetId="120">'2020 11'!$A$1:$E$70</definedName>
    <definedName name="_xlnm.Print_Area" localSheetId="119">'2020 12'!$A$1:$E$69</definedName>
    <definedName name="_xlnm.Print_Area" localSheetId="118">'2021 01'!$A$1:$E$70</definedName>
    <definedName name="_xlnm.Print_Area" localSheetId="117">'2021 02'!$A$1:$E$72</definedName>
    <definedName name="_xlnm.Print_Area" localSheetId="116">'2021 03'!$A$1:$E$70</definedName>
    <definedName name="_xlnm.Print_Area" localSheetId="115">'2021 04'!$A$1:$E$67</definedName>
    <definedName name="_xlnm.Print_Area" localSheetId="114">'2021 05'!$A$1:$E$67</definedName>
    <definedName name="_xlnm.Print_Area" localSheetId="113">'2021 06'!$A$1:$E$67</definedName>
    <definedName name="_xlnm.Print_Area" localSheetId="112">'2021 07'!$A$1:$E$70</definedName>
    <definedName name="_xlnm.Print_Area" localSheetId="111">'2021 08'!$A$1:$E$74</definedName>
    <definedName name="_xlnm.Print_Area" localSheetId="110">'2021 09'!$A$1:$F$71</definedName>
    <definedName name="_xlnm.Print_Area" localSheetId="109">'2021 10'!$A$1:$F$69</definedName>
    <definedName name="_xlnm.Print_Area" localSheetId="108">'2021 11'!$A$1:$G$73</definedName>
    <definedName name="_xlnm.Print_Area" localSheetId="107">'2021 12'!$A$1:$H$75</definedName>
    <definedName name="_xlnm.Print_Area" localSheetId="106">'2022 01'!$A$1:$G$73</definedName>
    <definedName name="_xlnm.Print_Area" localSheetId="105">'2022 02'!$A$1:$I$74</definedName>
    <definedName name="_xlnm.Print_Area" localSheetId="104">'2022 03'!$A$1:$G$86</definedName>
    <definedName name="_xlnm.Print_Area" localSheetId="103">'2022 04'!$A$1:$G$76</definedName>
    <definedName name="_xlnm.Print_Area" localSheetId="102">'2022 05'!$A$1:$G$85</definedName>
    <definedName name="_xlnm.Print_Area" localSheetId="101">'2022 06'!$A$1:$G$76</definedName>
    <definedName name="_xlnm.Print_Area" localSheetId="100">'2022 07'!$A$1:$G$80</definedName>
    <definedName name="_xlnm.Print_Area" localSheetId="99">'2022 08'!$A$1:$G$79</definedName>
    <definedName name="_xlnm.Print_Area" localSheetId="98">'2022 09'!$A$1:$G$79</definedName>
    <definedName name="_xlnm.Print_Area" localSheetId="97">'2022 10'!$A$1:$G$79</definedName>
    <definedName name="_xlnm.Print_Area" localSheetId="96">'2022 11'!$A$1:$G$80</definedName>
    <definedName name="_xlnm.Print_Area" localSheetId="95">'2022 12'!$A$1:$H$80</definedName>
    <definedName name="_xlnm.Print_Area" localSheetId="94">'2023 01'!$A$1:$I$91</definedName>
    <definedName name="_xlnm.Print_Area" localSheetId="93">'2023 02'!$A$1:$L$82</definedName>
    <definedName name="_xlnm.Print_Area" localSheetId="92">'2023 03'!$A$1:$L$96</definedName>
    <definedName name="_xlnm.Print_Area" localSheetId="91">'2023 04'!$A$1:$L$85</definedName>
    <definedName name="_xlnm.Print_Area" localSheetId="90">'2023 05'!$A$1:$L$85</definedName>
    <definedName name="_xlnm.Print_Area" localSheetId="89">'2023 06'!$A$1:$L$84</definedName>
    <definedName name="_xlnm.Print_Area" localSheetId="88">'2023 07'!$A$1:$L$88</definedName>
    <definedName name="_xlnm.Print_Area" localSheetId="87">'2023 08'!$A$1:$L$88</definedName>
    <definedName name="_xlnm.Print_Area" localSheetId="58">'Aug 2019'!$A$1:$E$63</definedName>
    <definedName name="_xlnm.Print_Area" localSheetId="131">'Dec 2019'!$A$1:$E$66</definedName>
    <definedName name="_xlnm.Print_Area" localSheetId="57">'Jul 2019'!$A$1:$E$62</definedName>
    <definedName name="_xlnm.Print_Area" localSheetId="56">'Jun 2019'!$A$1:$E$64</definedName>
    <definedName name="_xlnm.Print_Area" localSheetId="55">'May 2019 '!$A$1:$E$57</definedName>
    <definedName name="_xlnm.Print_Area" localSheetId="132">'Nov 2019'!$A$1:$E$67</definedName>
    <definedName name="_xlnm.Print_Area" localSheetId="133">'Oct 2019'!$A$1:$E$64</definedName>
    <definedName name="_xlnm.Print_Area" localSheetId="134">'Sep 2019'!$A$1:$E$62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6" i="147" l="1"/>
  <c r="J96" i="147"/>
  <c r="K85" i="147"/>
  <c r="K59" i="147"/>
  <c r="K84" i="147"/>
  <c r="K27" i="147"/>
  <c r="I83" i="147"/>
  <c r="J104" i="147"/>
  <c r="H96" i="147"/>
  <c r="J77" i="147"/>
  <c r="J76" i="147"/>
  <c r="H76" i="147"/>
  <c r="I69" i="147"/>
  <c r="K69" i="147" s="1"/>
  <c r="K68" i="147"/>
  <c r="K67" i="147"/>
  <c r="K66" i="147"/>
  <c r="K65" i="147"/>
  <c r="K64" i="147"/>
  <c r="K63" i="147"/>
  <c r="K62" i="147"/>
  <c r="K61" i="147"/>
  <c r="K60" i="147"/>
  <c r="K58" i="147"/>
  <c r="K57" i="147"/>
  <c r="K56" i="147"/>
  <c r="K55" i="147"/>
  <c r="K54" i="147"/>
  <c r="I53" i="147"/>
  <c r="K52" i="147"/>
  <c r="K51" i="147"/>
  <c r="K50" i="147"/>
  <c r="K49" i="147"/>
  <c r="K48" i="147"/>
  <c r="K47" i="147"/>
  <c r="K46" i="147"/>
  <c r="K45" i="147"/>
  <c r="K44" i="147"/>
  <c r="K43" i="147"/>
  <c r="K42" i="147"/>
  <c r="I41" i="147"/>
  <c r="K41" i="147" s="1"/>
  <c r="K40" i="147"/>
  <c r="K39" i="147"/>
  <c r="K38" i="147"/>
  <c r="K37" i="147"/>
  <c r="K36" i="147"/>
  <c r="K35" i="147"/>
  <c r="K34" i="147"/>
  <c r="K33" i="147"/>
  <c r="K32" i="147"/>
  <c r="K31" i="147"/>
  <c r="K30" i="147"/>
  <c r="K29" i="147"/>
  <c r="K28" i="147"/>
  <c r="K26" i="147"/>
  <c r="K25" i="147"/>
  <c r="K24" i="147"/>
  <c r="I23" i="147"/>
  <c r="K23" i="147" s="1"/>
  <c r="I22" i="147"/>
  <c r="K21" i="147"/>
  <c r="K20" i="147"/>
  <c r="K17" i="147"/>
  <c r="K16" i="147"/>
  <c r="K15" i="147"/>
  <c r="K14" i="147"/>
  <c r="K13" i="147"/>
  <c r="K11" i="147"/>
  <c r="K10" i="147"/>
  <c r="K9" i="147"/>
  <c r="K8" i="147"/>
  <c r="K7" i="147"/>
  <c r="K6" i="147"/>
  <c r="K5" i="147"/>
  <c r="J78" i="146"/>
  <c r="J77" i="146"/>
  <c r="H77" i="146"/>
  <c r="K87" i="146"/>
  <c r="K86" i="146"/>
  <c r="K85" i="146"/>
  <c r="J105" i="146"/>
  <c r="J97" i="146"/>
  <c r="H97" i="146"/>
  <c r="K72" i="146"/>
  <c r="I67" i="146"/>
  <c r="K67" i="146" s="1"/>
  <c r="K66" i="146"/>
  <c r="K65" i="146"/>
  <c r="K64" i="146"/>
  <c r="K63" i="146"/>
  <c r="K62" i="146"/>
  <c r="K61" i="146"/>
  <c r="K60" i="146"/>
  <c r="K59" i="146"/>
  <c r="K58" i="146"/>
  <c r="K57" i="146"/>
  <c r="K56" i="146"/>
  <c r="K55" i="146"/>
  <c r="K54" i="146"/>
  <c r="K53" i="146"/>
  <c r="I52" i="146"/>
  <c r="K51" i="146"/>
  <c r="K50" i="146"/>
  <c r="K49" i="146"/>
  <c r="K48" i="146"/>
  <c r="K47" i="146"/>
  <c r="K46" i="146"/>
  <c r="K45" i="146"/>
  <c r="K44" i="146"/>
  <c r="K43" i="146"/>
  <c r="K42" i="146"/>
  <c r="K41" i="146"/>
  <c r="I40" i="146"/>
  <c r="K40" i="146" s="1"/>
  <c r="K39" i="146"/>
  <c r="K38" i="146"/>
  <c r="K37" i="146"/>
  <c r="K36" i="146"/>
  <c r="K35" i="146"/>
  <c r="K34" i="146"/>
  <c r="K33" i="146"/>
  <c r="K32" i="146"/>
  <c r="K31" i="146"/>
  <c r="K30" i="146"/>
  <c r="K29" i="146"/>
  <c r="K28" i="146"/>
  <c r="K27" i="146"/>
  <c r="K26" i="146"/>
  <c r="K25" i="146"/>
  <c r="K24" i="146"/>
  <c r="I23" i="146"/>
  <c r="K23" i="146" s="1"/>
  <c r="I22" i="146"/>
  <c r="K22" i="146" s="1"/>
  <c r="K21" i="146"/>
  <c r="K20" i="146"/>
  <c r="K17" i="146"/>
  <c r="K16" i="146"/>
  <c r="K15" i="146"/>
  <c r="K14" i="146"/>
  <c r="K13" i="146"/>
  <c r="K11" i="146"/>
  <c r="K10" i="146"/>
  <c r="K9" i="146"/>
  <c r="K8" i="146"/>
  <c r="K7" i="146"/>
  <c r="K6" i="146"/>
  <c r="K5" i="146"/>
  <c r="J110" i="145"/>
  <c r="J104" i="145"/>
  <c r="I110" i="145" s="1"/>
  <c r="H110" i="145"/>
  <c r="H78" i="145"/>
  <c r="J79" i="145"/>
  <c r="J78" i="145"/>
  <c r="J102" i="145"/>
  <c r="H102" i="145"/>
  <c r="K73" i="145"/>
  <c r="K68" i="145"/>
  <c r="I68" i="145"/>
  <c r="K67" i="145"/>
  <c r="K66" i="145"/>
  <c r="K65" i="145"/>
  <c r="K64" i="145"/>
  <c r="K63" i="145"/>
  <c r="K62" i="145"/>
  <c r="K61" i="145"/>
  <c r="K60" i="145"/>
  <c r="K59" i="145"/>
  <c r="K58" i="145"/>
  <c r="K57" i="145"/>
  <c r="K56" i="145"/>
  <c r="K55" i="145"/>
  <c r="K54" i="145"/>
  <c r="K53" i="145"/>
  <c r="I52" i="145"/>
  <c r="K51" i="145"/>
  <c r="K50" i="145"/>
  <c r="K49" i="145"/>
  <c r="K48" i="145"/>
  <c r="K47" i="145"/>
  <c r="K46" i="145"/>
  <c r="K45" i="145"/>
  <c r="K44" i="145"/>
  <c r="K43" i="145"/>
  <c r="K42" i="145"/>
  <c r="K41" i="145"/>
  <c r="I40" i="145"/>
  <c r="K40" i="145" s="1"/>
  <c r="K39" i="145"/>
  <c r="K38" i="145"/>
  <c r="K37" i="145"/>
  <c r="K36" i="145"/>
  <c r="K35" i="145"/>
  <c r="K34" i="145"/>
  <c r="K33" i="145"/>
  <c r="K32" i="145"/>
  <c r="K31" i="145"/>
  <c r="K30" i="145"/>
  <c r="K29" i="145"/>
  <c r="K28" i="145"/>
  <c r="K27" i="145"/>
  <c r="K26" i="145"/>
  <c r="K25" i="145"/>
  <c r="K24" i="145"/>
  <c r="K23" i="145"/>
  <c r="I22" i="145"/>
  <c r="K22" i="145" s="1"/>
  <c r="I21" i="145"/>
  <c r="K20" i="145"/>
  <c r="K19" i="145"/>
  <c r="K17" i="145"/>
  <c r="K16" i="145"/>
  <c r="K15" i="145"/>
  <c r="K14" i="145"/>
  <c r="K13" i="145"/>
  <c r="K11" i="145"/>
  <c r="K10" i="145"/>
  <c r="K9" i="145"/>
  <c r="K8" i="145"/>
  <c r="K7" i="145"/>
  <c r="K6" i="145"/>
  <c r="K5" i="145"/>
  <c r="K89" i="144"/>
  <c r="K88" i="144"/>
  <c r="K87" i="144"/>
  <c r="K86" i="144"/>
  <c r="J100" i="144"/>
  <c r="J92" i="144"/>
  <c r="H92" i="144"/>
  <c r="J77" i="144"/>
  <c r="J76" i="144"/>
  <c r="K75" i="144"/>
  <c r="H72" i="144"/>
  <c r="I70" i="144"/>
  <c r="K70" i="144" s="1"/>
  <c r="K69" i="144"/>
  <c r="K68" i="144"/>
  <c r="K67" i="144"/>
  <c r="K66" i="144"/>
  <c r="K65" i="144"/>
  <c r="K64" i="144"/>
  <c r="K63" i="144"/>
  <c r="K62" i="144"/>
  <c r="K61" i="144"/>
  <c r="K60" i="144"/>
  <c r="K59" i="144"/>
  <c r="K58" i="144"/>
  <c r="K57" i="144"/>
  <c r="K56" i="144"/>
  <c r="K55" i="144"/>
  <c r="K54" i="144"/>
  <c r="K53" i="144"/>
  <c r="I52" i="144"/>
  <c r="K51" i="144"/>
  <c r="K50" i="144"/>
  <c r="K49" i="144"/>
  <c r="K48" i="144"/>
  <c r="K47" i="144"/>
  <c r="K46" i="144"/>
  <c r="K45" i="144"/>
  <c r="K44" i="144"/>
  <c r="K43" i="144"/>
  <c r="K42" i="144"/>
  <c r="K41" i="144"/>
  <c r="I40" i="144"/>
  <c r="K40" i="144" s="1"/>
  <c r="K39" i="144"/>
  <c r="K38" i="144"/>
  <c r="K37" i="144"/>
  <c r="K36" i="144"/>
  <c r="K35" i="144"/>
  <c r="K34" i="144"/>
  <c r="K33" i="144"/>
  <c r="K32" i="144"/>
  <c r="K31" i="144"/>
  <c r="K30" i="144"/>
  <c r="K29" i="144"/>
  <c r="K28" i="144"/>
  <c r="K27" i="144"/>
  <c r="K26" i="144"/>
  <c r="K25" i="144"/>
  <c r="K24" i="144"/>
  <c r="K23" i="144"/>
  <c r="I22" i="144"/>
  <c r="K22" i="144" s="1"/>
  <c r="I21" i="144"/>
  <c r="K20" i="144"/>
  <c r="K19" i="144"/>
  <c r="K17" i="144"/>
  <c r="K16" i="144"/>
  <c r="K15" i="144"/>
  <c r="K14" i="144"/>
  <c r="K13" i="144"/>
  <c r="K11" i="144"/>
  <c r="K10" i="144"/>
  <c r="K9" i="144"/>
  <c r="K8" i="144"/>
  <c r="K7" i="144"/>
  <c r="K6" i="144"/>
  <c r="K5" i="144"/>
  <c r="J101" i="143"/>
  <c r="J82" i="143"/>
  <c r="K89" i="143"/>
  <c r="K88" i="143"/>
  <c r="J107" i="143"/>
  <c r="J99" i="143"/>
  <c r="H99" i="143"/>
  <c r="J81" i="143"/>
  <c r="K80" i="143"/>
  <c r="H77" i="143"/>
  <c r="K76" i="143"/>
  <c r="I74" i="143"/>
  <c r="K74" i="143" s="1"/>
  <c r="K73" i="143"/>
  <c r="K72" i="143"/>
  <c r="K71" i="143"/>
  <c r="K70" i="143"/>
  <c r="K69" i="143"/>
  <c r="K68" i="143"/>
  <c r="K67" i="143"/>
  <c r="K66" i="143"/>
  <c r="K65" i="143"/>
  <c r="K64" i="143"/>
  <c r="K63" i="143"/>
  <c r="K62" i="143"/>
  <c r="K61" i="143"/>
  <c r="K60" i="143"/>
  <c r="K59" i="143"/>
  <c r="K58" i="143"/>
  <c r="K57" i="143"/>
  <c r="K56" i="143"/>
  <c r="I55" i="143"/>
  <c r="K54" i="143"/>
  <c r="K53" i="143"/>
  <c r="K52" i="143"/>
  <c r="K51" i="143"/>
  <c r="K50" i="143"/>
  <c r="K49" i="143"/>
  <c r="K48" i="143"/>
  <c r="K47" i="143"/>
  <c r="K46" i="143"/>
  <c r="K45" i="143"/>
  <c r="K44" i="143"/>
  <c r="K43" i="143"/>
  <c r="K42" i="143"/>
  <c r="I41" i="143"/>
  <c r="K41" i="143" s="1"/>
  <c r="K40" i="143"/>
  <c r="K39" i="143"/>
  <c r="K38" i="143"/>
  <c r="K37" i="143"/>
  <c r="K36" i="143"/>
  <c r="K35" i="143"/>
  <c r="K34" i="143"/>
  <c r="K33" i="143"/>
  <c r="K32" i="143"/>
  <c r="K31" i="143"/>
  <c r="K30" i="143"/>
  <c r="K29" i="143"/>
  <c r="K28" i="143"/>
  <c r="K27" i="143"/>
  <c r="K26" i="143"/>
  <c r="K25" i="143"/>
  <c r="K24" i="143"/>
  <c r="K23" i="143"/>
  <c r="I22" i="143"/>
  <c r="K22" i="143" s="1"/>
  <c r="I21" i="143"/>
  <c r="I82" i="143" s="1"/>
  <c r="K20" i="143"/>
  <c r="K19" i="143"/>
  <c r="K17" i="143"/>
  <c r="K16" i="143"/>
  <c r="K15" i="143"/>
  <c r="K14" i="143"/>
  <c r="K13" i="143"/>
  <c r="K11" i="143"/>
  <c r="K10" i="143"/>
  <c r="K9" i="143"/>
  <c r="K8" i="143"/>
  <c r="K7" i="143"/>
  <c r="K6" i="143"/>
  <c r="K5" i="143"/>
  <c r="J83" i="142"/>
  <c r="J103" i="142"/>
  <c r="K89" i="142"/>
  <c r="J109" i="142"/>
  <c r="J101" i="142"/>
  <c r="H101" i="142"/>
  <c r="J82" i="142"/>
  <c r="K81" i="142"/>
  <c r="H78" i="142"/>
  <c r="H109" i="142" s="1"/>
  <c r="K77" i="142"/>
  <c r="I75" i="142"/>
  <c r="K75" i="142" s="1"/>
  <c r="K74" i="142"/>
  <c r="K73" i="142"/>
  <c r="K72" i="142"/>
  <c r="K71" i="142"/>
  <c r="K70" i="142"/>
  <c r="K69" i="142"/>
  <c r="K68" i="142"/>
  <c r="K67" i="142"/>
  <c r="K66" i="142"/>
  <c r="K65" i="142"/>
  <c r="K64" i="142"/>
  <c r="K63" i="142"/>
  <c r="K62" i="142"/>
  <c r="K61" i="142"/>
  <c r="K60" i="142"/>
  <c r="K59" i="142"/>
  <c r="K58" i="142"/>
  <c r="K57" i="142"/>
  <c r="I56" i="142"/>
  <c r="K55" i="142"/>
  <c r="K54" i="142"/>
  <c r="K53" i="142"/>
  <c r="K52" i="142"/>
  <c r="K51" i="142"/>
  <c r="K50" i="142"/>
  <c r="K49" i="142"/>
  <c r="K48" i="142"/>
  <c r="K47" i="142"/>
  <c r="K46" i="142"/>
  <c r="K45" i="142"/>
  <c r="K44" i="142"/>
  <c r="K43" i="142"/>
  <c r="I42" i="142"/>
  <c r="K41" i="142"/>
  <c r="K40" i="142"/>
  <c r="K39" i="142"/>
  <c r="K38" i="142"/>
  <c r="K37" i="142"/>
  <c r="K36" i="142"/>
  <c r="K35" i="142"/>
  <c r="K34" i="142"/>
  <c r="K33" i="142"/>
  <c r="K32" i="142"/>
  <c r="K31" i="142"/>
  <c r="K30" i="142"/>
  <c r="K29" i="142"/>
  <c r="K28" i="142"/>
  <c r="K27" i="142"/>
  <c r="K26" i="142"/>
  <c r="K25" i="142"/>
  <c r="K24" i="142"/>
  <c r="I23" i="142"/>
  <c r="K23" i="142" s="1"/>
  <c r="I22" i="142"/>
  <c r="K22" i="142" s="1"/>
  <c r="K21" i="142"/>
  <c r="K20" i="142"/>
  <c r="K18" i="142"/>
  <c r="K17" i="142"/>
  <c r="K16" i="142"/>
  <c r="K15" i="142"/>
  <c r="K14" i="142"/>
  <c r="K12" i="142"/>
  <c r="K11" i="142"/>
  <c r="K10" i="142"/>
  <c r="K9" i="142"/>
  <c r="K8" i="142"/>
  <c r="K7" i="142"/>
  <c r="K6" i="142"/>
  <c r="K5" i="142"/>
  <c r="J110" i="141"/>
  <c r="J102" i="141"/>
  <c r="H102" i="141"/>
  <c r="J84" i="141"/>
  <c r="J104" i="141" s="1"/>
  <c r="J83" i="141"/>
  <c r="K82" i="141"/>
  <c r="H79" i="141"/>
  <c r="H110" i="141" s="1"/>
  <c r="K78" i="141"/>
  <c r="I76" i="141"/>
  <c r="K76" i="141" s="1"/>
  <c r="K75" i="141"/>
  <c r="K74" i="141"/>
  <c r="K73" i="141"/>
  <c r="K72" i="141"/>
  <c r="K71" i="141"/>
  <c r="K70" i="141"/>
  <c r="K69" i="141"/>
  <c r="K68" i="141"/>
  <c r="K67" i="141"/>
  <c r="K66" i="141"/>
  <c r="K65" i="141"/>
  <c r="K64" i="141"/>
  <c r="K63" i="141"/>
  <c r="K62" i="141"/>
  <c r="K61" i="141"/>
  <c r="K60" i="141"/>
  <c r="K59" i="141"/>
  <c r="K58" i="141"/>
  <c r="I57" i="141"/>
  <c r="K56" i="141"/>
  <c r="K55" i="141"/>
  <c r="K54" i="141"/>
  <c r="K53" i="141"/>
  <c r="K52" i="141"/>
  <c r="K51" i="141"/>
  <c r="K50" i="141"/>
  <c r="K49" i="141"/>
  <c r="K48" i="141"/>
  <c r="K47" i="141"/>
  <c r="K46" i="141"/>
  <c r="K45" i="141"/>
  <c r="K44" i="141"/>
  <c r="I43" i="141"/>
  <c r="K43" i="141" s="1"/>
  <c r="K42" i="141"/>
  <c r="K41" i="141"/>
  <c r="K40" i="141"/>
  <c r="K39" i="141"/>
  <c r="K38" i="141"/>
  <c r="K37" i="141"/>
  <c r="K36" i="141"/>
  <c r="K35" i="141"/>
  <c r="K34" i="141"/>
  <c r="K33" i="141"/>
  <c r="K32" i="141"/>
  <c r="K31" i="141"/>
  <c r="K30" i="141"/>
  <c r="K29" i="141"/>
  <c r="K28" i="141"/>
  <c r="K27" i="141"/>
  <c r="K26" i="141"/>
  <c r="K25" i="141"/>
  <c r="K24" i="141"/>
  <c r="I23" i="141"/>
  <c r="K23" i="141" s="1"/>
  <c r="I22" i="141"/>
  <c r="I84" i="141" s="1"/>
  <c r="K21" i="141"/>
  <c r="K20" i="141"/>
  <c r="K18" i="141"/>
  <c r="K17" i="141"/>
  <c r="K16" i="141"/>
  <c r="K15" i="141"/>
  <c r="K14" i="141"/>
  <c r="K12" i="141"/>
  <c r="K11" i="141"/>
  <c r="K10" i="141"/>
  <c r="K9" i="141"/>
  <c r="K8" i="141"/>
  <c r="K7" i="141"/>
  <c r="K6" i="141"/>
  <c r="K5" i="141"/>
  <c r="I111" i="140"/>
  <c r="J105" i="140"/>
  <c r="I91" i="140"/>
  <c r="I57" i="140"/>
  <c r="J111" i="140"/>
  <c r="J103" i="140"/>
  <c r="H103" i="140"/>
  <c r="J85" i="140"/>
  <c r="J84" i="140"/>
  <c r="K83" i="140"/>
  <c r="H80" i="140"/>
  <c r="K79" i="140"/>
  <c r="I77" i="140"/>
  <c r="K77" i="140" s="1"/>
  <c r="K76" i="140"/>
  <c r="K75" i="140"/>
  <c r="K74" i="140"/>
  <c r="K73" i="140"/>
  <c r="K72" i="140"/>
  <c r="K71" i="140"/>
  <c r="K70" i="140"/>
  <c r="K69" i="140"/>
  <c r="K68" i="140"/>
  <c r="K67" i="140"/>
  <c r="K66" i="140"/>
  <c r="K65" i="140"/>
  <c r="K64" i="140"/>
  <c r="K63" i="140"/>
  <c r="K62" i="140"/>
  <c r="K61" i="140"/>
  <c r="K60" i="140"/>
  <c r="K59" i="140"/>
  <c r="K58" i="140"/>
  <c r="K56" i="140"/>
  <c r="K55" i="140"/>
  <c r="K54" i="140"/>
  <c r="K53" i="140"/>
  <c r="K52" i="140"/>
  <c r="K51" i="140"/>
  <c r="K50" i="140"/>
  <c r="K49" i="140"/>
  <c r="K48" i="140"/>
  <c r="K47" i="140"/>
  <c r="K46" i="140"/>
  <c r="K45" i="140"/>
  <c r="K44" i="140"/>
  <c r="I43" i="140"/>
  <c r="K43" i="140" s="1"/>
  <c r="K42" i="140"/>
  <c r="K41" i="140"/>
  <c r="K40" i="140"/>
  <c r="K39" i="140"/>
  <c r="K38" i="140"/>
  <c r="K37" i="140"/>
  <c r="K36" i="140"/>
  <c r="K35" i="140"/>
  <c r="K34" i="140"/>
  <c r="K33" i="140"/>
  <c r="K32" i="140"/>
  <c r="K31" i="140"/>
  <c r="K30" i="140"/>
  <c r="K29" i="140"/>
  <c r="K28" i="140"/>
  <c r="K27" i="140"/>
  <c r="K26" i="140"/>
  <c r="K25" i="140"/>
  <c r="K24" i="140"/>
  <c r="I23" i="140"/>
  <c r="K23" i="140" s="1"/>
  <c r="I22" i="140"/>
  <c r="K22" i="140" s="1"/>
  <c r="K21" i="140"/>
  <c r="K20" i="140"/>
  <c r="K18" i="140"/>
  <c r="K17" i="140"/>
  <c r="K16" i="140"/>
  <c r="K15" i="140"/>
  <c r="K14" i="140"/>
  <c r="K12" i="140"/>
  <c r="K11" i="140"/>
  <c r="K10" i="140"/>
  <c r="K9" i="140"/>
  <c r="K8" i="140"/>
  <c r="K7" i="140"/>
  <c r="K6" i="140"/>
  <c r="K5" i="140"/>
  <c r="J115" i="139"/>
  <c r="J107" i="139"/>
  <c r="H107" i="139"/>
  <c r="J84" i="139"/>
  <c r="J83" i="139"/>
  <c r="K82" i="139"/>
  <c r="H79" i="139"/>
  <c r="K78" i="139"/>
  <c r="I76" i="139"/>
  <c r="K76" i="139" s="1"/>
  <c r="K75" i="139"/>
  <c r="K74" i="139"/>
  <c r="K73" i="139"/>
  <c r="K72" i="139"/>
  <c r="K71" i="139"/>
  <c r="K70" i="139"/>
  <c r="K69" i="139"/>
  <c r="K68" i="139"/>
  <c r="K67" i="139"/>
  <c r="K66" i="139"/>
  <c r="K65" i="139"/>
  <c r="K64" i="139"/>
  <c r="K63" i="139"/>
  <c r="K62" i="139"/>
  <c r="K61" i="139"/>
  <c r="K60" i="139"/>
  <c r="K59" i="139"/>
  <c r="K58" i="139"/>
  <c r="K57" i="139"/>
  <c r="K56" i="139"/>
  <c r="K55" i="139"/>
  <c r="K54" i="139"/>
  <c r="K53" i="139"/>
  <c r="K52" i="139"/>
  <c r="K51" i="139"/>
  <c r="K50" i="139"/>
  <c r="K49" i="139"/>
  <c r="K48" i="139"/>
  <c r="K47" i="139"/>
  <c r="K46" i="139"/>
  <c r="K45" i="139"/>
  <c r="K44" i="139"/>
  <c r="I43" i="139"/>
  <c r="K43" i="139" s="1"/>
  <c r="K42" i="139"/>
  <c r="K41" i="139"/>
  <c r="K40" i="139"/>
  <c r="K39" i="139"/>
  <c r="K38" i="139"/>
  <c r="K37" i="139"/>
  <c r="K36" i="139"/>
  <c r="K35" i="139"/>
  <c r="K34" i="139"/>
  <c r="K33" i="139"/>
  <c r="K32" i="139"/>
  <c r="K31" i="139"/>
  <c r="K30" i="139"/>
  <c r="K29" i="139"/>
  <c r="K28" i="139"/>
  <c r="K27" i="139"/>
  <c r="K26" i="139"/>
  <c r="K25" i="139"/>
  <c r="K24" i="139"/>
  <c r="I23" i="139"/>
  <c r="K23" i="139" s="1"/>
  <c r="I22" i="139"/>
  <c r="K21" i="139"/>
  <c r="K20" i="139"/>
  <c r="K18" i="139"/>
  <c r="K17" i="139"/>
  <c r="K16" i="139"/>
  <c r="K15" i="139"/>
  <c r="K14" i="139"/>
  <c r="K12" i="139"/>
  <c r="K11" i="139"/>
  <c r="K10" i="139"/>
  <c r="K9" i="139"/>
  <c r="K8" i="139"/>
  <c r="K7" i="139"/>
  <c r="K6" i="139"/>
  <c r="K5" i="139"/>
  <c r="H126" i="138"/>
  <c r="J86" i="138"/>
  <c r="J120" i="138"/>
  <c r="H118" i="138"/>
  <c r="K31" i="138"/>
  <c r="I101" i="138"/>
  <c r="I100" i="138"/>
  <c r="I22" i="138"/>
  <c r="K22" i="138" s="1"/>
  <c r="J126" i="138"/>
  <c r="J118" i="138"/>
  <c r="J85" i="138"/>
  <c r="K84" i="138"/>
  <c r="H81" i="138"/>
  <c r="K80" i="138"/>
  <c r="I78" i="138"/>
  <c r="K78" i="138" s="1"/>
  <c r="K77" i="138"/>
  <c r="K76" i="138"/>
  <c r="K75" i="138"/>
  <c r="K74" i="138"/>
  <c r="K73" i="138"/>
  <c r="K72" i="138"/>
  <c r="K71" i="138"/>
  <c r="K70" i="138"/>
  <c r="K69" i="138"/>
  <c r="K68" i="138"/>
  <c r="K67" i="138"/>
  <c r="K66" i="138"/>
  <c r="K65" i="138"/>
  <c r="K64" i="138"/>
  <c r="K63" i="138"/>
  <c r="K62" i="138"/>
  <c r="K61" i="138"/>
  <c r="K60" i="138"/>
  <c r="K59" i="138"/>
  <c r="K58" i="138"/>
  <c r="K57" i="138"/>
  <c r="K56" i="138"/>
  <c r="K55" i="138"/>
  <c r="K54" i="138"/>
  <c r="K53" i="138"/>
  <c r="K52" i="138"/>
  <c r="K51" i="138"/>
  <c r="K50" i="138"/>
  <c r="K49" i="138"/>
  <c r="K48" i="138"/>
  <c r="K47" i="138"/>
  <c r="K46" i="138"/>
  <c r="K45" i="138"/>
  <c r="I44" i="138"/>
  <c r="K44" i="138" s="1"/>
  <c r="K43" i="138"/>
  <c r="K42" i="138"/>
  <c r="K41" i="138"/>
  <c r="K40" i="138"/>
  <c r="K39" i="138"/>
  <c r="K38" i="138"/>
  <c r="K37" i="138"/>
  <c r="K36" i="138"/>
  <c r="K35" i="138"/>
  <c r="K34" i="138"/>
  <c r="K33" i="138"/>
  <c r="K32" i="138"/>
  <c r="K30" i="138"/>
  <c r="K29" i="138"/>
  <c r="K28" i="138"/>
  <c r="K27" i="138"/>
  <c r="K26" i="138"/>
  <c r="K25" i="138"/>
  <c r="K24" i="138"/>
  <c r="I23" i="138"/>
  <c r="K23" i="138" s="1"/>
  <c r="K21" i="138"/>
  <c r="K20" i="138"/>
  <c r="K18" i="138"/>
  <c r="K17" i="138"/>
  <c r="K16" i="138"/>
  <c r="K15" i="138"/>
  <c r="K14" i="138"/>
  <c r="K12" i="138"/>
  <c r="K11" i="138"/>
  <c r="K10" i="138"/>
  <c r="K9" i="138"/>
  <c r="K8" i="138"/>
  <c r="K7" i="138"/>
  <c r="K6" i="138"/>
  <c r="K5" i="138"/>
  <c r="J106" i="137"/>
  <c r="I112" i="137" s="1"/>
  <c r="I88" i="137"/>
  <c r="H112" i="137"/>
  <c r="J88" i="137"/>
  <c r="J112" i="137"/>
  <c r="J104" i="137"/>
  <c r="H104" i="137"/>
  <c r="J87" i="137"/>
  <c r="K86" i="137"/>
  <c r="H83" i="137"/>
  <c r="K82" i="137"/>
  <c r="I80" i="137"/>
  <c r="K80" i="137" s="1"/>
  <c r="K79" i="137"/>
  <c r="K78" i="137"/>
  <c r="K77" i="137"/>
  <c r="K76" i="137"/>
  <c r="K75" i="137"/>
  <c r="K74" i="137"/>
  <c r="K73" i="137"/>
  <c r="K72" i="137"/>
  <c r="K71" i="137"/>
  <c r="K70" i="137"/>
  <c r="K69" i="137"/>
  <c r="K68" i="137"/>
  <c r="K67" i="137"/>
  <c r="K66" i="137"/>
  <c r="K65" i="137"/>
  <c r="K64" i="137"/>
  <c r="K63" i="137"/>
  <c r="K62" i="137"/>
  <c r="K61" i="137"/>
  <c r="K60" i="137"/>
  <c r="K59" i="137"/>
  <c r="K58" i="137"/>
  <c r="K57" i="137"/>
  <c r="K56" i="137"/>
  <c r="K55" i="137"/>
  <c r="K54" i="137"/>
  <c r="K53" i="137"/>
  <c r="K52" i="137"/>
  <c r="K51" i="137"/>
  <c r="K50" i="137"/>
  <c r="K49" i="137"/>
  <c r="K48" i="137"/>
  <c r="K47" i="137"/>
  <c r="K46" i="137"/>
  <c r="I45" i="137"/>
  <c r="K45" i="137" s="1"/>
  <c r="K44" i="137"/>
  <c r="K43" i="137"/>
  <c r="K42" i="137"/>
  <c r="K41" i="137"/>
  <c r="K40" i="137"/>
  <c r="K39" i="137"/>
  <c r="K38" i="137"/>
  <c r="K37" i="137"/>
  <c r="K36" i="137"/>
  <c r="K35" i="137"/>
  <c r="K34" i="137"/>
  <c r="K33" i="137"/>
  <c r="K31" i="137"/>
  <c r="K30" i="137"/>
  <c r="K29" i="137"/>
  <c r="K28" i="137"/>
  <c r="K27" i="137"/>
  <c r="K26" i="137"/>
  <c r="K25" i="137"/>
  <c r="I24" i="137"/>
  <c r="K23" i="137"/>
  <c r="K22" i="137"/>
  <c r="K21" i="137"/>
  <c r="K20" i="137"/>
  <c r="K18" i="137"/>
  <c r="K17" i="137"/>
  <c r="K16" i="137"/>
  <c r="K15" i="137"/>
  <c r="K14" i="137"/>
  <c r="K12" i="137"/>
  <c r="K11" i="137"/>
  <c r="K10" i="137"/>
  <c r="K9" i="137"/>
  <c r="K8" i="137"/>
  <c r="K7" i="137"/>
  <c r="K6" i="137"/>
  <c r="K5" i="137"/>
  <c r="J109" i="136"/>
  <c r="J115" i="136"/>
  <c r="J88" i="136"/>
  <c r="K87" i="136"/>
  <c r="K86" i="136"/>
  <c r="K85" i="136"/>
  <c r="J89" i="136"/>
  <c r="I79" i="136"/>
  <c r="K73" i="136"/>
  <c r="K96" i="136"/>
  <c r="K95" i="136"/>
  <c r="K64" i="136"/>
  <c r="K32" i="136"/>
  <c r="K12" i="136"/>
  <c r="J107" i="136"/>
  <c r="H107" i="136"/>
  <c r="H82" i="136"/>
  <c r="K81" i="136"/>
  <c r="K79" i="136"/>
  <c r="K78" i="136"/>
  <c r="K77" i="136"/>
  <c r="K76" i="136"/>
  <c r="K75" i="136"/>
  <c r="K74" i="136"/>
  <c r="K72" i="136"/>
  <c r="K71" i="136"/>
  <c r="K70" i="136"/>
  <c r="K69" i="136"/>
  <c r="K68" i="136"/>
  <c r="K67" i="136"/>
  <c r="K66" i="136"/>
  <c r="K65" i="136"/>
  <c r="K63" i="136"/>
  <c r="K62" i="136"/>
  <c r="K61" i="136"/>
  <c r="K60" i="136"/>
  <c r="K59" i="136"/>
  <c r="K58" i="136"/>
  <c r="K57" i="136"/>
  <c r="K56" i="136"/>
  <c r="K55" i="136"/>
  <c r="K54" i="136"/>
  <c r="K53" i="136"/>
  <c r="K52" i="136"/>
  <c r="K51" i="136"/>
  <c r="K50" i="136"/>
  <c r="K49" i="136"/>
  <c r="K48" i="136"/>
  <c r="K47" i="136"/>
  <c r="K46" i="136"/>
  <c r="K45" i="136"/>
  <c r="I44" i="136"/>
  <c r="K44" i="136" s="1"/>
  <c r="K43" i="136"/>
  <c r="K42" i="136"/>
  <c r="K41" i="136"/>
  <c r="K40" i="136"/>
  <c r="K39" i="136"/>
  <c r="K38" i="136"/>
  <c r="K37" i="136"/>
  <c r="K36" i="136"/>
  <c r="K35" i="136"/>
  <c r="K34" i="136"/>
  <c r="K33" i="136"/>
  <c r="K30" i="136"/>
  <c r="K29" i="136"/>
  <c r="K28" i="136"/>
  <c r="K27" i="136"/>
  <c r="K26" i="136"/>
  <c r="K25" i="136"/>
  <c r="K24" i="136"/>
  <c r="I23" i="136"/>
  <c r="K23" i="136" s="1"/>
  <c r="K22" i="136"/>
  <c r="K21" i="136"/>
  <c r="K20" i="136"/>
  <c r="K19" i="136"/>
  <c r="K18" i="136"/>
  <c r="K17" i="136"/>
  <c r="K16" i="136"/>
  <c r="K15" i="136"/>
  <c r="K14" i="136"/>
  <c r="K13" i="136"/>
  <c r="K11" i="136"/>
  <c r="K10" i="136"/>
  <c r="K9" i="136"/>
  <c r="K8" i="136"/>
  <c r="K7" i="136"/>
  <c r="K6" i="136"/>
  <c r="K5" i="136"/>
  <c r="J100" i="135"/>
  <c r="H100" i="135"/>
  <c r="J82" i="135"/>
  <c r="J102" i="135" s="1"/>
  <c r="I82" i="135"/>
  <c r="H80" i="135"/>
  <c r="H108" i="135" s="1"/>
  <c r="K79" i="135"/>
  <c r="I77" i="135"/>
  <c r="K77" i="135" s="1"/>
  <c r="K76" i="135"/>
  <c r="K75" i="135"/>
  <c r="K74" i="135"/>
  <c r="K73" i="135"/>
  <c r="K72" i="135"/>
  <c r="K71" i="135"/>
  <c r="K70" i="135"/>
  <c r="K69" i="135"/>
  <c r="K68" i="135"/>
  <c r="K67" i="135"/>
  <c r="K66" i="135"/>
  <c r="K65" i="135"/>
  <c r="K64" i="135"/>
  <c r="K63" i="135"/>
  <c r="K61" i="135"/>
  <c r="K60" i="135"/>
  <c r="K59" i="135"/>
  <c r="K58" i="135"/>
  <c r="K57" i="135"/>
  <c r="K56" i="135"/>
  <c r="K55" i="135"/>
  <c r="K54" i="135"/>
  <c r="K53" i="135"/>
  <c r="K52" i="135"/>
  <c r="K51" i="135"/>
  <c r="K50" i="135"/>
  <c r="K49" i="135"/>
  <c r="K48" i="135"/>
  <c r="K47" i="135"/>
  <c r="K46" i="135"/>
  <c r="K45" i="135"/>
  <c r="K44" i="135"/>
  <c r="K43" i="135"/>
  <c r="K42" i="135"/>
  <c r="I42" i="135"/>
  <c r="K41" i="135"/>
  <c r="K40" i="135"/>
  <c r="K39" i="135"/>
  <c r="K38" i="135"/>
  <c r="K37" i="135"/>
  <c r="K36" i="135"/>
  <c r="K35" i="135"/>
  <c r="K34" i="135"/>
  <c r="K33" i="135"/>
  <c r="K32" i="135"/>
  <c r="K31" i="135"/>
  <c r="K30" i="135"/>
  <c r="K29" i="135"/>
  <c r="K28" i="135"/>
  <c r="K27" i="135"/>
  <c r="K26" i="135"/>
  <c r="K25" i="135"/>
  <c r="K24" i="135"/>
  <c r="K23" i="135"/>
  <c r="I22" i="135"/>
  <c r="K22" i="135" s="1"/>
  <c r="K21" i="135"/>
  <c r="K20" i="135"/>
  <c r="K19" i="135"/>
  <c r="I18" i="135"/>
  <c r="K18" i="135" s="1"/>
  <c r="K17" i="135"/>
  <c r="K16" i="135"/>
  <c r="K15" i="135"/>
  <c r="K14" i="135"/>
  <c r="K13" i="135"/>
  <c r="K12" i="135"/>
  <c r="K11" i="135"/>
  <c r="K10" i="135"/>
  <c r="K9" i="135"/>
  <c r="K8" i="135"/>
  <c r="K7" i="135"/>
  <c r="K6" i="135"/>
  <c r="K5" i="135"/>
  <c r="J100" i="134"/>
  <c r="H100" i="134"/>
  <c r="J82" i="134"/>
  <c r="H80" i="134"/>
  <c r="K79" i="134"/>
  <c r="I77" i="134"/>
  <c r="K77" i="134" s="1"/>
  <c r="K76" i="134"/>
  <c r="K75" i="134"/>
  <c r="K74" i="134"/>
  <c r="K73" i="134"/>
  <c r="K72" i="134"/>
  <c r="K71" i="134"/>
  <c r="K70" i="134"/>
  <c r="K69" i="134"/>
  <c r="K68" i="134"/>
  <c r="K67" i="134"/>
  <c r="K66" i="134"/>
  <c r="K65" i="134"/>
  <c r="K64" i="134"/>
  <c r="K63" i="134"/>
  <c r="K61" i="134"/>
  <c r="K60" i="134"/>
  <c r="K59" i="134"/>
  <c r="K58" i="134"/>
  <c r="K57" i="134"/>
  <c r="K56" i="134"/>
  <c r="K55" i="134"/>
  <c r="K54" i="134"/>
  <c r="K53" i="134"/>
  <c r="K52" i="134"/>
  <c r="K51" i="134"/>
  <c r="K50" i="134"/>
  <c r="K49" i="134"/>
  <c r="K48" i="134"/>
  <c r="K47" i="134"/>
  <c r="K46" i="134"/>
  <c r="K45" i="134"/>
  <c r="K44" i="134"/>
  <c r="K43" i="134"/>
  <c r="I42" i="134"/>
  <c r="K42" i="134" s="1"/>
  <c r="K41" i="134"/>
  <c r="K40" i="134"/>
  <c r="K39" i="134"/>
  <c r="K38" i="134"/>
  <c r="K37" i="134"/>
  <c r="K36" i="134"/>
  <c r="K35" i="134"/>
  <c r="K34" i="134"/>
  <c r="K33" i="134"/>
  <c r="K32" i="134"/>
  <c r="K31" i="134"/>
  <c r="K30" i="134"/>
  <c r="K29" i="134"/>
  <c r="K28" i="134"/>
  <c r="K27" i="134"/>
  <c r="K26" i="134"/>
  <c r="K25" i="134"/>
  <c r="K24" i="134"/>
  <c r="K23" i="134"/>
  <c r="I22" i="134"/>
  <c r="K22" i="134" s="1"/>
  <c r="K21" i="134"/>
  <c r="K20" i="134"/>
  <c r="K19" i="134"/>
  <c r="I18" i="134"/>
  <c r="K18" i="134" s="1"/>
  <c r="K17" i="134"/>
  <c r="K16" i="134"/>
  <c r="K15" i="134"/>
  <c r="K14" i="134"/>
  <c r="K13" i="134"/>
  <c r="K12" i="134"/>
  <c r="K11" i="134"/>
  <c r="K10" i="134"/>
  <c r="K9" i="134"/>
  <c r="K8" i="134"/>
  <c r="K7" i="134"/>
  <c r="K6" i="134"/>
  <c r="K5" i="134"/>
  <c r="J101" i="133"/>
  <c r="J103" i="133" s="1"/>
  <c r="H101" i="133"/>
  <c r="J83" i="133"/>
  <c r="H81" i="133"/>
  <c r="H109" i="133" s="1"/>
  <c r="K80" i="133"/>
  <c r="I77" i="133"/>
  <c r="K77" i="133" s="1"/>
  <c r="K76" i="133"/>
  <c r="K75" i="133"/>
  <c r="K74" i="133"/>
  <c r="K73" i="133"/>
  <c r="K72" i="133"/>
  <c r="K71" i="133"/>
  <c r="K70" i="133"/>
  <c r="K69" i="133"/>
  <c r="K68" i="133"/>
  <c r="K67" i="133"/>
  <c r="K66" i="133"/>
  <c r="K65" i="133"/>
  <c r="K64" i="133"/>
  <c r="K63" i="133"/>
  <c r="K61" i="133"/>
  <c r="K60" i="133"/>
  <c r="K59" i="133"/>
  <c r="K58" i="133"/>
  <c r="K57" i="133"/>
  <c r="K56" i="133"/>
  <c r="K55" i="133"/>
  <c r="K54" i="133"/>
  <c r="K53" i="133"/>
  <c r="K52" i="133"/>
  <c r="K51" i="133"/>
  <c r="K50" i="133"/>
  <c r="K49" i="133"/>
  <c r="K48" i="133"/>
  <c r="K47" i="133"/>
  <c r="K46" i="133"/>
  <c r="K45" i="133"/>
  <c r="K44" i="133"/>
  <c r="K43" i="133"/>
  <c r="K42" i="133"/>
  <c r="I42" i="133"/>
  <c r="K41" i="133"/>
  <c r="K40" i="133"/>
  <c r="K39" i="133"/>
  <c r="K38" i="133"/>
  <c r="K37" i="133"/>
  <c r="K36" i="133"/>
  <c r="K35" i="133"/>
  <c r="K34" i="133"/>
  <c r="K33" i="133"/>
  <c r="K32" i="133"/>
  <c r="K31" i="133"/>
  <c r="K30" i="133"/>
  <c r="K29" i="133"/>
  <c r="K28" i="133"/>
  <c r="K27" i="133"/>
  <c r="K26" i="133"/>
  <c r="K25" i="133"/>
  <c r="K24" i="133"/>
  <c r="K23" i="133"/>
  <c r="I22" i="133"/>
  <c r="K22" i="133" s="1"/>
  <c r="K21" i="133"/>
  <c r="K20" i="133"/>
  <c r="K19" i="133"/>
  <c r="I18" i="133"/>
  <c r="I83" i="133" s="1"/>
  <c r="K17" i="133"/>
  <c r="K16" i="133"/>
  <c r="K15" i="133"/>
  <c r="K14" i="133"/>
  <c r="K13" i="133"/>
  <c r="K12" i="133"/>
  <c r="K11" i="133"/>
  <c r="K10" i="133"/>
  <c r="K9" i="133"/>
  <c r="K8" i="133"/>
  <c r="K7" i="133"/>
  <c r="K6" i="133"/>
  <c r="K5" i="133"/>
  <c r="H81" i="132"/>
  <c r="H109" i="132" s="1"/>
  <c r="K73" i="132"/>
  <c r="K93" i="132"/>
  <c r="K92" i="132"/>
  <c r="K91" i="132"/>
  <c r="K67" i="132"/>
  <c r="J101" i="132"/>
  <c r="H101" i="132"/>
  <c r="J83" i="132"/>
  <c r="K80" i="132"/>
  <c r="I77" i="132"/>
  <c r="K77" i="132" s="1"/>
  <c r="K76" i="132"/>
  <c r="K75" i="132"/>
  <c r="K74" i="132"/>
  <c r="K72" i="132"/>
  <c r="K71" i="132"/>
  <c r="K70" i="132"/>
  <c r="K69" i="132"/>
  <c r="K68" i="132"/>
  <c r="K66" i="132"/>
  <c r="K65" i="132"/>
  <c r="K64" i="132"/>
  <c r="K63" i="132"/>
  <c r="K61" i="132"/>
  <c r="K60" i="132"/>
  <c r="K59" i="132"/>
  <c r="K58" i="132"/>
  <c r="K57" i="132"/>
  <c r="K56" i="132"/>
  <c r="K55" i="132"/>
  <c r="K54" i="132"/>
  <c r="K53" i="132"/>
  <c r="K52" i="132"/>
  <c r="K51" i="132"/>
  <c r="K50" i="132"/>
  <c r="K49" i="132"/>
  <c r="K48" i="132"/>
  <c r="K47" i="132"/>
  <c r="K46" i="132"/>
  <c r="K45" i="132"/>
  <c r="K44" i="132"/>
  <c r="K43" i="132"/>
  <c r="I42" i="132"/>
  <c r="K42" i="132" s="1"/>
  <c r="K41" i="132"/>
  <c r="K40" i="132"/>
  <c r="K39" i="132"/>
  <c r="K38" i="132"/>
  <c r="K37" i="132"/>
  <c r="K36" i="132"/>
  <c r="K35" i="132"/>
  <c r="K34" i="132"/>
  <c r="K33" i="132"/>
  <c r="K32" i="132"/>
  <c r="K31" i="132"/>
  <c r="K30" i="132"/>
  <c r="K29" i="132"/>
  <c r="K28" i="132"/>
  <c r="K27" i="132"/>
  <c r="K26" i="132"/>
  <c r="K25" i="132"/>
  <c r="K24" i="132"/>
  <c r="K23" i="132"/>
  <c r="I22" i="132"/>
  <c r="K22" i="132" s="1"/>
  <c r="K21" i="132"/>
  <c r="K20" i="132"/>
  <c r="K19" i="132"/>
  <c r="I18" i="132"/>
  <c r="K18" i="132" s="1"/>
  <c r="K17" i="132"/>
  <c r="K16" i="132"/>
  <c r="K15" i="132"/>
  <c r="K14" i="132"/>
  <c r="K13" i="132"/>
  <c r="K12" i="132"/>
  <c r="K11" i="132"/>
  <c r="K10" i="132"/>
  <c r="K9" i="132"/>
  <c r="K8" i="132"/>
  <c r="K7" i="132"/>
  <c r="K6" i="132"/>
  <c r="K5" i="132"/>
  <c r="K11" i="131"/>
  <c r="J98" i="131"/>
  <c r="H98" i="131"/>
  <c r="J84" i="131"/>
  <c r="H82" i="131"/>
  <c r="K81" i="131"/>
  <c r="I78" i="131"/>
  <c r="K78" i="131" s="1"/>
  <c r="K77" i="131"/>
  <c r="K76" i="131"/>
  <c r="K75" i="131"/>
  <c r="K73" i="131"/>
  <c r="K72" i="131"/>
  <c r="K71" i="131"/>
  <c r="K70" i="131"/>
  <c r="K69" i="131"/>
  <c r="K68" i="131"/>
  <c r="K66" i="131"/>
  <c r="K65" i="131"/>
  <c r="K64" i="131"/>
  <c r="K63" i="131"/>
  <c r="K61" i="131"/>
  <c r="K60" i="131"/>
  <c r="K59" i="131"/>
  <c r="K58" i="131"/>
  <c r="K57" i="131"/>
  <c r="K56" i="131"/>
  <c r="K55" i="131"/>
  <c r="K54" i="131"/>
  <c r="K53" i="131"/>
  <c r="K52" i="131"/>
  <c r="K51" i="131"/>
  <c r="K50" i="131"/>
  <c r="K49" i="131"/>
  <c r="K48" i="131"/>
  <c r="K47" i="131"/>
  <c r="K46" i="131"/>
  <c r="K45" i="131"/>
  <c r="K44" i="131"/>
  <c r="K43" i="131"/>
  <c r="I42" i="131"/>
  <c r="K42" i="131" s="1"/>
  <c r="K41" i="131"/>
  <c r="K40" i="131"/>
  <c r="K39" i="131"/>
  <c r="K38" i="131"/>
  <c r="K37" i="131"/>
  <c r="K36" i="131"/>
  <c r="K35" i="131"/>
  <c r="K34" i="131"/>
  <c r="K33" i="131"/>
  <c r="K32" i="131"/>
  <c r="K31" i="131"/>
  <c r="K30" i="131"/>
  <c r="K29" i="131"/>
  <c r="K28" i="131"/>
  <c r="K27" i="131"/>
  <c r="K26" i="131"/>
  <c r="K25" i="131"/>
  <c r="K24" i="131"/>
  <c r="K23" i="131"/>
  <c r="I22" i="131"/>
  <c r="K22" i="131" s="1"/>
  <c r="K21" i="131"/>
  <c r="K20" i="131"/>
  <c r="K19" i="131"/>
  <c r="I18" i="131"/>
  <c r="I84" i="131" s="1"/>
  <c r="K17" i="131"/>
  <c r="K16" i="131"/>
  <c r="K15" i="131"/>
  <c r="K14" i="131"/>
  <c r="K13" i="131"/>
  <c r="K12" i="131"/>
  <c r="K10" i="131"/>
  <c r="K9" i="131"/>
  <c r="K8" i="131"/>
  <c r="K7" i="131"/>
  <c r="K6" i="131"/>
  <c r="K5" i="131"/>
  <c r="H81" i="130"/>
  <c r="J99" i="130"/>
  <c r="H99" i="130"/>
  <c r="J83" i="130"/>
  <c r="J101" i="130" s="1"/>
  <c r="K80" i="130"/>
  <c r="I78" i="130"/>
  <c r="K78" i="130" s="1"/>
  <c r="K77" i="130"/>
  <c r="K76" i="130"/>
  <c r="K75" i="130"/>
  <c r="K73" i="130"/>
  <c r="K72" i="130"/>
  <c r="K71" i="130"/>
  <c r="K70" i="130"/>
  <c r="K69" i="130"/>
  <c r="K68" i="130"/>
  <c r="K66" i="130"/>
  <c r="K65" i="130"/>
  <c r="K64" i="130"/>
  <c r="K63" i="130"/>
  <c r="K61" i="130"/>
  <c r="K60" i="130"/>
  <c r="K59" i="130"/>
  <c r="K58" i="130"/>
  <c r="K57" i="130"/>
  <c r="K56" i="130"/>
  <c r="K55" i="130"/>
  <c r="K54" i="130"/>
  <c r="K53" i="130"/>
  <c r="K52" i="130"/>
  <c r="K51" i="130"/>
  <c r="K50" i="130"/>
  <c r="K49" i="130"/>
  <c r="K48" i="130"/>
  <c r="K47" i="130"/>
  <c r="K46" i="130"/>
  <c r="K45" i="130"/>
  <c r="K44" i="130"/>
  <c r="K43" i="130"/>
  <c r="I42" i="130"/>
  <c r="K42" i="130" s="1"/>
  <c r="K41" i="130"/>
  <c r="K40" i="130"/>
  <c r="K39" i="130"/>
  <c r="K38" i="130"/>
  <c r="K37" i="130"/>
  <c r="K36" i="130"/>
  <c r="K35" i="130"/>
  <c r="K34" i="130"/>
  <c r="K33" i="130"/>
  <c r="K32" i="130"/>
  <c r="K31" i="130"/>
  <c r="K30" i="130"/>
  <c r="K29" i="130"/>
  <c r="K28" i="130"/>
  <c r="K27" i="130"/>
  <c r="K26" i="130"/>
  <c r="K25" i="130"/>
  <c r="K24" i="130"/>
  <c r="K23" i="130"/>
  <c r="I22" i="130"/>
  <c r="K22" i="130" s="1"/>
  <c r="K21" i="130"/>
  <c r="K20" i="130"/>
  <c r="K19" i="130"/>
  <c r="I18" i="130"/>
  <c r="K18" i="130" s="1"/>
  <c r="K17" i="130"/>
  <c r="K16" i="130"/>
  <c r="K15" i="130"/>
  <c r="K14" i="130"/>
  <c r="K13" i="130"/>
  <c r="K12" i="130"/>
  <c r="K10" i="130"/>
  <c r="K9" i="130"/>
  <c r="K8" i="130"/>
  <c r="K7" i="130"/>
  <c r="K6" i="130"/>
  <c r="K5" i="130"/>
  <c r="J97" i="129"/>
  <c r="H97" i="129"/>
  <c r="J80" i="129"/>
  <c r="H78" i="129"/>
  <c r="K77" i="129"/>
  <c r="I76" i="129"/>
  <c r="K76" i="129" s="1"/>
  <c r="K75" i="129"/>
  <c r="K74" i="129"/>
  <c r="K73" i="129"/>
  <c r="K72" i="129"/>
  <c r="K71" i="129"/>
  <c r="K70" i="129"/>
  <c r="K69" i="129"/>
  <c r="K68" i="129"/>
  <c r="K67" i="129"/>
  <c r="K66" i="129"/>
  <c r="K65" i="129"/>
  <c r="K64" i="129"/>
  <c r="K63" i="129"/>
  <c r="K61" i="129"/>
  <c r="K60" i="129"/>
  <c r="K59" i="129"/>
  <c r="K58" i="129"/>
  <c r="K57" i="129"/>
  <c r="K56" i="129"/>
  <c r="K55" i="129"/>
  <c r="K54" i="129"/>
  <c r="K53" i="129"/>
  <c r="K52" i="129"/>
  <c r="K51" i="129"/>
  <c r="K50" i="129"/>
  <c r="K49" i="129"/>
  <c r="K48" i="129"/>
  <c r="K47" i="129"/>
  <c r="K46" i="129"/>
  <c r="K45" i="129"/>
  <c r="K44" i="129"/>
  <c r="K43" i="129"/>
  <c r="I42" i="129"/>
  <c r="K42" i="129" s="1"/>
  <c r="K41" i="129"/>
  <c r="K40" i="129"/>
  <c r="K39" i="129"/>
  <c r="K38" i="129"/>
  <c r="K37" i="129"/>
  <c r="K36" i="129"/>
  <c r="K35" i="129"/>
  <c r="K34" i="129"/>
  <c r="K33" i="129"/>
  <c r="K32" i="129"/>
  <c r="K31" i="129"/>
  <c r="K30" i="129"/>
  <c r="K29" i="129"/>
  <c r="K28" i="129"/>
  <c r="K27" i="129"/>
  <c r="K26" i="129"/>
  <c r="K25" i="129"/>
  <c r="K24" i="129"/>
  <c r="K23" i="129"/>
  <c r="K22" i="129"/>
  <c r="I21" i="129"/>
  <c r="K21" i="129" s="1"/>
  <c r="K20" i="129"/>
  <c r="K19" i="129"/>
  <c r="K18" i="129"/>
  <c r="K17" i="129"/>
  <c r="I17" i="129"/>
  <c r="K16" i="129"/>
  <c r="K15" i="129"/>
  <c r="K14" i="129"/>
  <c r="K13" i="129"/>
  <c r="K12" i="129"/>
  <c r="K11" i="129"/>
  <c r="K10" i="129"/>
  <c r="K9" i="129"/>
  <c r="K8" i="129"/>
  <c r="K7" i="129"/>
  <c r="K6" i="129"/>
  <c r="K5" i="129"/>
  <c r="H78" i="128"/>
  <c r="H108" i="128" s="1"/>
  <c r="J100" i="128"/>
  <c r="H100" i="128"/>
  <c r="J80" i="128"/>
  <c r="J102" i="128" s="1"/>
  <c r="K77" i="128"/>
  <c r="I76" i="128"/>
  <c r="K76" i="128" s="1"/>
  <c r="K75" i="128"/>
  <c r="K74" i="128"/>
  <c r="K73" i="128"/>
  <c r="K72" i="128"/>
  <c r="K71" i="128"/>
  <c r="K70" i="128"/>
  <c r="K69" i="128"/>
  <c r="K68" i="128"/>
  <c r="K67" i="128"/>
  <c r="K66" i="128"/>
  <c r="K65" i="128"/>
  <c r="K64" i="128"/>
  <c r="K63" i="128"/>
  <c r="K62" i="128"/>
  <c r="K61" i="128"/>
  <c r="K60" i="128"/>
  <c r="K59" i="128"/>
  <c r="K58" i="128"/>
  <c r="K57" i="128"/>
  <c r="K56" i="128"/>
  <c r="K55" i="128"/>
  <c r="K54" i="128"/>
  <c r="K53" i="128"/>
  <c r="K52" i="128"/>
  <c r="K51" i="128"/>
  <c r="K50" i="128"/>
  <c r="K49" i="128"/>
  <c r="K48" i="128"/>
  <c r="K47" i="128"/>
  <c r="K46" i="128"/>
  <c r="K45" i="128"/>
  <c r="K44" i="128"/>
  <c r="K43" i="128"/>
  <c r="I42" i="128"/>
  <c r="K42" i="128" s="1"/>
  <c r="K41" i="128"/>
  <c r="K40" i="128"/>
  <c r="K39" i="128"/>
  <c r="K38" i="128"/>
  <c r="K37" i="128"/>
  <c r="K36" i="128"/>
  <c r="K35" i="128"/>
  <c r="K34" i="128"/>
  <c r="K33" i="128"/>
  <c r="K32" i="128"/>
  <c r="K31" i="128"/>
  <c r="K30" i="128"/>
  <c r="K29" i="128"/>
  <c r="K28" i="128"/>
  <c r="K27" i="128"/>
  <c r="K26" i="128"/>
  <c r="K25" i="128"/>
  <c r="K24" i="128"/>
  <c r="K23" i="128"/>
  <c r="K22" i="128"/>
  <c r="I21" i="128"/>
  <c r="K21" i="128" s="1"/>
  <c r="K20" i="128"/>
  <c r="K19" i="128"/>
  <c r="K18" i="128"/>
  <c r="I17" i="128"/>
  <c r="K17" i="128" s="1"/>
  <c r="K16" i="128"/>
  <c r="K15" i="128"/>
  <c r="K14" i="128"/>
  <c r="K13" i="128"/>
  <c r="K12" i="128"/>
  <c r="K11" i="128"/>
  <c r="K10" i="128"/>
  <c r="K9" i="128"/>
  <c r="K8" i="128"/>
  <c r="K7" i="128"/>
  <c r="K6" i="128"/>
  <c r="K5" i="128"/>
  <c r="I113" i="127"/>
  <c r="H79" i="127"/>
  <c r="K33" i="127"/>
  <c r="J105" i="127"/>
  <c r="H105" i="127"/>
  <c r="J81" i="127"/>
  <c r="I81" i="127"/>
  <c r="K78" i="127"/>
  <c r="I77" i="127"/>
  <c r="K77" i="127" s="1"/>
  <c r="K76" i="127"/>
  <c r="K75" i="127"/>
  <c r="K74" i="127"/>
  <c r="K73" i="127"/>
  <c r="K72" i="127"/>
  <c r="K71" i="127"/>
  <c r="K70" i="127"/>
  <c r="K69" i="127"/>
  <c r="K68" i="127"/>
  <c r="K67" i="127"/>
  <c r="K66" i="127"/>
  <c r="K65" i="127"/>
  <c r="K64" i="127"/>
  <c r="K63" i="127"/>
  <c r="K62" i="127"/>
  <c r="K61" i="127"/>
  <c r="K60" i="127"/>
  <c r="K59" i="127"/>
  <c r="K58" i="127"/>
  <c r="K57" i="127"/>
  <c r="K56" i="127"/>
  <c r="K55" i="127"/>
  <c r="K54" i="127"/>
  <c r="K53" i="127"/>
  <c r="K52" i="127"/>
  <c r="K51" i="127"/>
  <c r="K50" i="127"/>
  <c r="K49" i="127"/>
  <c r="K48" i="127"/>
  <c r="K47" i="127"/>
  <c r="K46" i="127"/>
  <c r="K45" i="127"/>
  <c r="K44" i="127"/>
  <c r="K43" i="127"/>
  <c r="I42" i="127"/>
  <c r="K42" i="127" s="1"/>
  <c r="K41" i="127"/>
  <c r="K40" i="127"/>
  <c r="K39" i="127"/>
  <c r="K38" i="127"/>
  <c r="K37" i="127"/>
  <c r="K36" i="127"/>
  <c r="K35" i="127"/>
  <c r="K34" i="127"/>
  <c r="K32" i="127"/>
  <c r="K31" i="127"/>
  <c r="K30" i="127"/>
  <c r="K29" i="127"/>
  <c r="K28" i="127"/>
  <c r="K27" i="127"/>
  <c r="K26" i="127"/>
  <c r="K25" i="127"/>
  <c r="K24" i="127"/>
  <c r="K23" i="127"/>
  <c r="K22" i="127"/>
  <c r="I21" i="127"/>
  <c r="K21" i="127" s="1"/>
  <c r="K20" i="127"/>
  <c r="K19" i="127"/>
  <c r="K18" i="127"/>
  <c r="K17" i="127"/>
  <c r="I17" i="127"/>
  <c r="K16" i="127"/>
  <c r="K15" i="127"/>
  <c r="K14" i="127"/>
  <c r="K13" i="127"/>
  <c r="K12" i="127"/>
  <c r="K11" i="127"/>
  <c r="K10" i="127"/>
  <c r="K9" i="127"/>
  <c r="K8" i="127"/>
  <c r="K7" i="127"/>
  <c r="K6" i="127"/>
  <c r="K5" i="127"/>
  <c r="I113" i="126"/>
  <c r="J105" i="126"/>
  <c r="H105" i="126"/>
  <c r="J81" i="126"/>
  <c r="H79" i="126"/>
  <c r="K78" i="126"/>
  <c r="I77" i="126"/>
  <c r="K77" i="126" s="1"/>
  <c r="K76" i="126"/>
  <c r="K75" i="126"/>
  <c r="K74" i="126"/>
  <c r="K73" i="126"/>
  <c r="K72" i="126"/>
  <c r="K71" i="126"/>
  <c r="K70" i="126"/>
  <c r="K69" i="126"/>
  <c r="K68" i="126"/>
  <c r="K67" i="126"/>
  <c r="K66" i="126"/>
  <c r="K65" i="126"/>
  <c r="K64" i="126"/>
  <c r="K63" i="126"/>
  <c r="K62" i="126"/>
  <c r="K61" i="126"/>
  <c r="K60" i="126"/>
  <c r="K59" i="126"/>
  <c r="K58" i="126"/>
  <c r="K57" i="126"/>
  <c r="K56" i="126"/>
  <c r="K55" i="126"/>
  <c r="K54" i="126"/>
  <c r="K53" i="126"/>
  <c r="K52" i="126"/>
  <c r="K51" i="126"/>
  <c r="K50" i="126"/>
  <c r="K49" i="126"/>
  <c r="K48" i="126"/>
  <c r="K47" i="126"/>
  <c r="K46" i="126"/>
  <c r="K45" i="126"/>
  <c r="K44" i="126"/>
  <c r="K43" i="126"/>
  <c r="I42" i="126"/>
  <c r="K42" i="126" s="1"/>
  <c r="K41" i="126"/>
  <c r="K40" i="126"/>
  <c r="K39" i="126"/>
  <c r="K38" i="126"/>
  <c r="K37" i="126"/>
  <c r="K36" i="126"/>
  <c r="K35" i="126"/>
  <c r="K34" i="126"/>
  <c r="K32" i="126"/>
  <c r="K31" i="126"/>
  <c r="K30" i="126"/>
  <c r="K29" i="126"/>
  <c r="K28" i="126"/>
  <c r="K27" i="126"/>
  <c r="K26" i="126"/>
  <c r="K25" i="126"/>
  <c r="K24" i="126"/>
  <c r="K23" i="126"/>
  <c r="K22" i="126"/>
  <c r="I21" i="126"/>
  <c r="K21" i="126" s="1"/>
  <c r="K20" i="126"/>
  <c r="K19" i="126"/>
  <c r="K18" i="126"/>
  <c r="I17" i="126"/>
  <c r="K17" i="126" s="1"/>
  <c r="K16" i="126"/>
  <c r="K15" i="126"/>
  <c r="K14" i="126"/>
  <c r="K13" i="126"/>
  <c r="K12" i="126"/>
  <c r="K11" i="126"/>
  <c r="K10" i="126"/>
  <c r="K9" i="126"/>
  <c r="K8" i="126"/>
  <c r="K7" i="126"/>
  <c r="K6" i="126"/>
  <c r="K5" i="126"/>
  <c r="J107" i="125"/>
  <c r="H82" i="125"/>
  <c r="J84" i="125"/>
  <c r="I22" i="125"/>
  <c r="I22" i="124"/>
  <c r="H104" i="147" l="1"/>
  <c r="I77" i="147"/>
  <c r="K83" i="147"/>
  <c r="J98" i="147"/>
  <c r="K22" i="147"/>
  <c r="I78" i="146"/>
  <c r="H105" i="146"/>
  <c r="J99" i="146"/>
  <c r="I79" i="145"/>
  <c r="K21" i="145"/>
  <c r="I77" i="144"/>
  <c r="J94" i="144"/>
  <c r="H100" i="144"/>
  <c r="K21" i="144"/>
  <c r="H107" i="143"/>
  <c r="I107" i="143" s="1"/>
  <c r="K21" i="143"/>
  <c r="I83" i="142"/>
  <c r="I109" i="142"/>
  <c r="K42" i="142"/>
  <c r="K22" i="141"/>
  <c r="I110" i="141"/>
  <c r="H111" i="140"/>
  <c r="I85" i="140"/>
  <c r="I84" i="139"/>
  <c r="J109" i="139"/>
  <c r="H115" i="139"/>
  <c r="K22" i="139"/>
  <c r="I86" i="138"/>
  <c r="K24" i="137"/>
  <c r="H115" i="136"/>
  <c r="I89" i="136"/>
  <c r="I108" i="135"/>
  <c r="H108" i="134"/>
  <c r="J102" i="134"/>
  <c r="I108" i="134" s="1"/>
  <c r="I82" i="134"/>
  <c r="I109" i="133"/>
  <c r="K18" i="133"/>
  <c r="I83" i="132"/>
  <c r="J103" i="132"/>
  <c r="I109" i="132" s="1"/>
  <c r="J100" i="131"/>
  <c r="H106" i="131"/>
  <c r="K18" i="131"/>
  <c r="H107" i="130"/>
  <c r="I107" i="130"/>
  <c r="I83" i="130"/>
  <c r="H105" i="129"/>
  <c r="J99" i="129"/>
  <c r="I105" i="129" s="1"/>
  <c r="I80" i="129"/>
  <c r="I108" i="128"/>
  <c r="I80" i="128"/>
  <c r="J107" i="127"/>
  <c r="H113" i="127"/>
  <c r="H113" i="126"/>
  <c r="I81" i="126"/>
  <c r="J107" i="126"/>
  <c r="H113" i="125"/>
  <c r="K41" i="125"/>
  <c r="J105" i="125"/>
  <c r="H105" i="125"/>
  <c r="K81" i="125"/>
  <c r="I80" i="125"/>
  <c r="K80" i="125" s="1"/>
  <c r="K79" i="125"/>
  <c r="K78" i="125"/>
  <c r="K77" i="125"/>
  <c r="K76" i="125"/>
  <c r="K75" i="125"/>
  <c r="K74" i="125"/>
  <c r="K73" i="125"/>
  <c r="K72" i="125"/>
  <c r="K71" i="125"/>
  <c r="K70" i="125"/>
  <c r="K69" i="125"/>
  <c r="K68" i="125"/>
  <c r="K67" i="125"/>
  <c r="K66" i="125"/>
  <c r="K65" i="125"/>
  <c r="K64" i="125"/>
  <c r="K63" i="125"/>
  <c r="K62" i="125"/>
  <c r="K61" i="125"/>
  <c r="K60" i="125"/>
  <c r="K59" i="125"/>
  <c r="K58" i="125"/>
  <c r="K57" i="125"/>
  <c r="K56" i="125"/>
  <c r="K55" i="125"/>
  <c r="K54" i="125"/>
  <c r="K53" i="125"/>
  <c r="K52" i="125"/>
  <c r="K51" i="125"/>
  <c r="K50" i="125"/>
  <c r="K49" i="125"/>
  <c r="K48" i="125"/>
  <c r="K47" i="125"/>
  <c r="K46" i="125"/>
  <c r="K45" i="125"/>
  <c r="K44" i="125"/>
  <c r="I43" i="125"/>
  <c r="K43" i="125" s="1"/>
  <c r="K42" i="125"/>
  <c r="K40" i="125"/>
  <c r="K39" i="125"/>
  <c r="K38" i="125"/>
  <c r="K37" i="125"/>
  <c r="K36" i="125"/>
  <c r="K35" i="125"/>
  <c r="K33" i="125"/>
  <c r="K32" i="125"/>
  <c r="K31" i="125"/>
  <c r="K30" i="125"/>
  <c r="K29" i="125"/>
  <c r="K28" i="125"/>
  <c r="K27" i="125"/>
  <c r="K26" i="125"/>
  <c r="K25" i="125"/>
  <c r="K24" i="125"/>
  <c r="K23" i="125"/>
  <c r="K22" i="125"/>
  <c r="K21" i="125"/>
  <c r="K20" i="125"/>
  <c r="K19" i="125"/>
  <c r="I18" i="125"/>
  <c r="K18" i="125" s="1"/>
  <c r="K17" i="125"/>
  <c r="K16" i="125"/>
  <c r="K15" i="125"/>
  <c r="K14" i="125"/>
  <c r="K13" i="125"/>
  <c r="K12" i="125"/>
  <c r="K11" i="125"/>
  <c r="K10" i="125"/>
  <c r="K9" i="125"/>
  <c r="K8" i="125"/>
  <c r="K7" i="125"/>
  <c r="K6" i="125"/>
  <c r="K5" i="125"/>
  <c r="K6" i="124"/>
  <c r="K7" i="124"/>
  <c r="K8" i="124"/>
  <c r="K9" i="124"/>
  <c r="K10" i="124"/>
  <c r="K11" i="124"/>
  <c r="K12" i="124"/>
  <c r="K13" i="124"/>
  <c r="K14" i="124"/>
  <c r="K15" i="124"/>
  <c r="K16" i="124"/>
  <c r="K17" i="124"/>
  <c r="K18" i="124"/>
  <c r="K19" i="124"/>
  <c r="K20" i="124"/>
  <c r="K21" i="124"/>
  <c r="K22" i="124"/>
  <c r="K23" i="124"/>
  <c r="K24" i="124"/>
  <c r="K25" i="124"/>
  <c r="K26" i="124"/>
  <c r="K27" i="124"/>
  <c r="K28" i="124"/>
  <c r="K29" i="124"/>
  <c r="K30" i="124"/>
  <c r="K31" i="124"/>
  <c r="K32" i="124"/>
  <c r="K33" i="124"/>
  <c r="K34" i="124"/>
  <c r="K35" i="124"/>
  <c r="K36" i="124"/>
  <c r="K37" i="124"/>
  <c r="K38" i="124"/>
  <c r="K39" i="124"/>
  <c r="K40" i="124"/>
  <c r="K41" i="124"/>
  <c r="K42" i="124"/>
  <c r="K43" i="124"/>
  <c r="K44" i="124"/>
  <c r="K45" i="124"/>
  <c r="K46" i="124"/>
  <c r="K47" i="124"/>
  <c r="K48" i="124"/>
  <c r="K49" i="124"/>
  <c r="K50" i="124"/>
  <c r="K51" i="124"/>
  <c r="K52" i="124"/>
  <c r="K53" i="124"/>
  <c r="K54" i="124"/>
  <c r="K55" i="124"/>
  <c r="K56" i="124"/>
  <c r="K57" i="124"/>
  <c r="K58" i="124"/>
  <c r="K59" i="124"/>
  <c r="K60" i="124"/>
  <c r="K61" i="124"/>
  <c r="K62" i="124"/>
  <c r="K63" i="124"/>
  <c r="K64" i="124"/>
  <c r="K65" i="124"/>
  <c r="K66" i="124"/>
  <c r="K67" i="124"/>
  <c r="K68" i="124"/>
  <c r="K69" i="124"/>
  <c r="K70" i="124"/>
  <c r="K71" i="124"/>
  <c r="K72" i="124"/>
  <c r="K73" i="124"/>
  <c r="K74" i="124"/>
  <c r="K75" i="124"/>
  <c r="K76" i="124"/>
  <c r="K77" i="124"/>
  <c r="K78" i="124"/>
  <c r="K79" i="124"/>
  <c r="K80" i="124"/>
  <c r="K5" i="124"/>
  <c r="H112" i="124"/>
  <c r="I79" i="124"/>
  <c r="I42" i="124"/>
  <c r="I18" i="124"/>
  <c r="J104" i="124"/>
  <c r="H104" i="124"/>
  <c r="J83" i="124"/>
  <c r="H81" i="124"/>
  <c r="I109" i="123"/>
  <c r="H109" i="123"/>
  <c r="H101" i="123"/>
  <c r="J80" i="123"/>
  <c r="J103" i="123" s="1"/>
  <c r="I80" i="123"/>
  <c r="H78" i="123"/>
  <c r="J101" i="123"/>
  <c r="H101" i="122"/>
  <c r="J95" i="122"/>
  <c r="F81" i="122"/>
  <c r="F82" i="122" s="1"/>
  <c r="I74" i="122"/>
  <c r="I41" i="122"/>
  <c r="I34" i="122"/>
  <c r="I18" i="122"/>
  <c r="I7" i="122"/>
  <c r="I99" i="121"/>
  <c r="H97" i="121"/>
  <c r="J97" i="121"/>
  <c r="J83" i="121"/>
  <c r="J91" i="121" s="1"/>
  <c r="I80" i="121"/>
  <c r="F75" i="121"/>
  <c r="F76" i="121" s="1"/>
  <c r="J72" i="121"/>
  <c r="I70" i="121"/>
  <c r="I41" i="121"/>
  <c r="I33" i="121"/>
  <c r="I18" i="121"/>
  <c r="I7" i="121"/>
  <c r="I104" i="147" l="1"/>
  <c r="I105" i="146"/>
  <c r="I100" i="144"/>
  <c r="I115" i="139"/>
  <c r="I126" i="138"/>
  <c r="I115" i="136"/>
  <c r="I106" i="131"/>
  <c r="I84" i="125"/>
  <c r="I113" i="125"/>
  <c r="I83" i="124"/>
  <c r="J106" i="124"/>
  <c r="I112" i="124" s="1"/>
  <c r="I78" i="122"/>
  <c r="J7" i="122"/>
  <c r="J93" i="121"/>
  <c r="I72" i="121"/>
  <c r="J73" i="119"/>
  <c r="I73" i="119"/>
  <c r="I18" i="119"/>
  <c r="I42" i="119"/>
  <c r="J78" i="122" l="1"/>
  <c r="J97" i="122" s="1"/>
  <c r="J101" i="122" s="1"/>
  <c r="H137" i="119"/>
  <c r="J131" i="119"/>
  <c r="F76" i="119"/>
  <c r="F77" i="119" s="1"/>
  <c r="I71" i="119"/>
  <c r="I35" i="119"/>
  <c r="I7" i="119"/>
  <c r="J7" i="119" s="1"/>
  <c r="J73" i="118"/>
  <c r="H90" i="118"/>
  <c r="J84" i="118"/>
  <c r="J86" i="118" s="1"/>
  <c r="J90" i="118" s="1"/>
  <c r="F76" i="118"/>
  <c r="F77" i="118" s="1"/>
  <c r="I71" i="118"/>
  <c r="I40" i="118"/>
  <c r="I32" i="118"/>
  <c r="I18" i="118"/>
  <c r="I6" i="118"/>
  <c r="I73" i="118" s="1"/>
  <c r="H90" i="117"/>
  <c r="I6" i="117"/>
  <c r="I73" i="117" s="1"/>
  <c r="I18" i="117"/>
  <c r="I32" i="117"/>
  <c r="I40" i="117"/>
  <c r="I71" i="117"/>
  <c r="J73" i="117"/>
  <c r="F76" i="117"/>
  <c r="F77" i="117" s="1"/>
  <c r="J80" i="117"/>
  <c r="J84" i="117"/>
  <c r="J77" i="115"/>
  <c r="J80" i="115"/>
  <c r="F73" i="115"/>
  <c r="F74" i="115" s="1"/>
  <c r="J70" i="115"/>
  <c r="I68" i="115"/>
  <c r="I37" i="115"/>
  <c r="I29" i="115"/>
  <c r="I15" i="115"/>
  <c r="I5" i="115"/>
  <c r="F74" i="114"/>
  <c r="I29" i="114"/>
  <c r="J81" i="114"/>
  <c r="F75" i="114"/>
  <c r="J71" i="114"/>
  <c r="I68" i="114"/>
  <c r="I37" i="114"/>
  <c r="I15" i="114"/>
  <c r="I5" i="114"/>
  <c r="F74" i="113"/>
  <c r="F73" i="113"/>
  <c r="J77" i="113"/>
  <c r="J81" i="113" s="1"/>
  <c r="I67" i="113"/>
  <c r="I36" i="113"/>
  <c r="I15" i="113"/>
  <c r="I5" i="113"/>
  <c r="J70" i="113"/>
  <c r="F73" i="108"/>
  <c r="F74" i="108" s="1"/>
  <c r="F71" i="108"/>
  <c r="F74" i="109"/>
  <c r="F75" i="109" s="1"/>
  <c r="E73" i="107"/>
  <c r="J10" i="105"/>
  <c r="I71" i="109"/>
  <c r="J92" i="109"/>
  <c r="J71" i="109"/>
  <c r="L66" i="109"/>
  <c r="L52" i="109"/>
  <c r="H99" i="109"/>
  <c r="J70" i="108"/>
  <c r="L5" i="108"/>
  <c r="L8" i="108"/>
  <c r="L9" i="108"/>
  <c r="L13" i="108"/>
  <c r="L15" i="108"/>
  <c r="L52" i="108"/>
  <c r="L65" i="108"/>
  <c r="J133" i="119" l="1"/>
  <c r="J137" i="119" s="1"/>
  <c r="J86" i="117"/>
  <c r="J90" i="117" s="1"/>
  <c r="J82" i="115"/>
  <c r="I70" i="115"/>
  <c r="I71" i="114"/>
  <c r="J83" i="114"/>
  <c r="I70" i="113"/>
  <c r="J83" i="113"/>
  <c r="J94" i="109"/>
  <c r="J99" i="109" s="1"/>
  <c r="J75" i="108"/>
  <c r="J80" i="108"/>
  <c r="E71" i="107"/>
  <c r="E74" i="107" s="1"/>
  <c r="G5" i="106"/>
  <c r="H75" i="107" l="1"/>
  <c r="H70" i="107"/>
  <c r="G66" i="106"/>
  <c r="G70" i="106"/>
  <c r="E67" i="106"/>
  <c r="E69" i="106" s="1"/>
  <c r="K64" i="106"/>
  <c r="I64" i="106"/>
  <c r="K63" i="106"/>
  <c r="K62" i="106"/>
  <c r="K61" i="106"/>
  <c r="K60" i="106"/>
  <c r="K59" i="106"/>
  <c r="K58" i="106"/>
  <c r="K57" i="106"/>
  <c r="K56" i="106"/>
  <c r="K55" i="106"/>
  <c r="K54" i="106"/>
  <c r="K53" i="106"/>
  <c r="K51" i="106"/>
  <c r="K50" i="106"/>
  <c r="K49" i="106"/>
  <c r="K47" i="106"/>
  <c r="K46" i="106"/>
  <c r="K45" i="106"/>
  <c r="K44" i="106"/>
  <c r="I44" i="106"/>
  <c r="K43" i="106"/>
  <c r="K42" i="106"/>
  <c r="K41" i="106"/>
  <c r="K40" i="106"/>
  <c r="K39" i="106"/>
  <c r="K38" i="106"/>
  <c r="K37" i="106"/>
  <c r="K36" i="106"/>
  <c r="K35" i="106"/>
  <c r="K34" i="106"/>
  <c r="K33" i="106"/>
  <c r="K32" i="106"/>
  <c r="I32" i="106"/>
  <c r="K31" i="106"/>
  <c r="K30" i="106"/>
  <c r="K29" i="106"/>
  <c r="K28" i="106"/>
  <c r="K27" i="106"/>
  <c r="K26" i="106"/>
  <c r="K25" i="106"/>
  <c r="K24" i="106"/>
  <c r="K23" i="106"/>
  <c r="K22" i="106"/>
  <c r="K21" i="106"/>
  <c r="K20" i="106"/>
  <c r="K18" i="106"/>
  <c r="K17" i="106"/>
  <c r="K16" i="106"/>
  <c r="K15" i="106"/>
  <c r="K14" i="106"/>
  <c r="K13" i="106"/>
  <c r="K12" i="106"/>
  <c r="K11" i="106"/>
  <c r="K10" i="106"/>
  <c r="K9" i="106"/>
  <c r="K8" i="106"/>
  <c r="K7" i="106"/>
  <c r="K6" i="106"/>
  <c r="H89" i="107" l="1"/>
  <c r="I66" i="106"/>
  <c r="G78" i="106"/>
  <c r="J5" i="105"/>
  <c r="J6" i="105"/>
  <c r="J7" i="105"/>
  <c r="J8" i="105"/>
  <c r="J9" i="105"/>
  <c r="J11" i="105"/>
  <c r="J12" i="105"/>
  <c r="J13" i="105"/>
  <c r="J14" i="105"/>
  <c r="J15" i="105"/>
  <c r="J16" i="105"/>
  <c r="J17" i="105"/>
  <c r="J18" i="105"/>
  <c r="J19" i="105"/>
  <c r="J20" i="105"/>
  <c r="J21" i="105"/>
  <c r="J22" i="105"/>
  <c r="J23" i="105"/>
  <c r="J24" i="105"/>
  <c r="J25" i="105"/>
  <c r="J26" i="105"/>
  <c r="J27" i="105"/>
  <c r="J28" i="105"/>
  <c r="J29" i="105"/>
  <c r="J30" i="105"/>
  <c r="H31" i="105"/>
  <c r="J31" i="105"/>
  <c r="J32" i="105"/>
  <c r="J33" i="105"/>
  <c r="J34" i="105"/>
  <c r="J35" i="105"/>
  <c r="J36" i="105"/>
  <c r="J37" i="105"/>
  <c r="J38" i="105"/>
  <c r="J39" i="105"/>
  <c r="J40" i="105"/>
  <c r="J41" i="105"/>
  <c r="J42" i="105"/>
  <c r="J43" i="105"/>
  <c r="H44" i="105"/>
  <c r="J44" i="105"/>
  <c r="J45" i="105"/>
  <c r="J46" i="105"/>
  <c r="J47" i="105"/>
  <c r="J48" i="105"/>
  <c r="J49" i="105"/>
  <c r="J50" i="105"/>
  <c r="J51" i="105"/>
  <c r="J52" i="105"/>
  <c r="J53" i="105"/>
  <c r="J54" i="105"/>
  <c r="J55" i="105"/>
  <c r="J56" i="105"/>
  <c r="J57" i="105"/>
  <c r="J58" i="105"/>
  <c r="J59" i="105"/>
  <c r="J60" i="105"/>
  <c r="J61" i="105"/>
  <c r="J62" i="105"/>
  <c r="H63" i="105"/>
  <c r="J63" i="105"/>
  <c r="J64" i="105"/>
  <c r="F66" i="105"/>
  <c r="E67" i="105"/>
  <c r="E69" i="105" s="1"/>
  <c r="F70" i="105"/>
  <c r="H71" i="102"/>
  <c r="H31" i="100"/>
  <c r="H31" i="101"/>
  <c r="H63" i="100"/>
  <c r="H66" i="105" l="1"/>
  <c r="H71" i="100"/>
  <c r="F78" i="105"/>
  <c r="H62" i="101"/>
  <c r="H70" i="101" s="1"/>
  <c r="H62" i="102"/>
  <c r="H43" i="102"/>
  <c r="H30" i="102"/>
  <c r="H70" i="102" s="1"/>
  <c r="F69" i="103"/>
  <c r="E66" i="103"/>
  <c r="E68" i="103" s="1"/>
  <c r="F77" i="103" l="1"/>
  <c r="F69" i="102"/>
  <c r="E66" i="102"/>
  <c r="E68" i="102" s="1"/>
  <c r="F65" i="102"/>
  <c r="F77" i="102" l="1"/>
  <c r="F78" i="100" l="1"/>
  <c r="F69" i="99"/>
  <c r="E66" i="99"/>
  <c r="E68" i="99" s="1"/>
  <c r="F74" i="99"/>
  <c r="E67" i="97" l="1"/>
  <c r="E69" i="97" s="1"/>
  <c r="F66" i="97"/>
  <c r="F74" i="97" s="1"/>
  <c r="F66" i="96" l="1"/>
  <c r="F82" i="96"/>
  <c r="F84" i="96" l="1"/>
  <c r="E67" i="96"/>
  <c r="E69" i="96" s="1"/>
  <c r="H6" i="95" l="1"/>
  <c r="H8" i="95"/>
  <c r="H9" i="95"/>
  <c r="H10" i="95"/>
  <c r="H11" i="95"/>
  <c r="H12" i="95"/>
  <c r="H13" i="95"/>
  <c r="H14" i="95"/>
  <c r="H15" i="95"/>
  <c r="H16" i="95"/>
  <c r="H17" i="95"/>
  <c r="H18" i="95"/>
  <c r="H20" i="95"/>
  <c r="H21" i="95"/>
  <c r="H22" i="95"/>
  <c r="H23" i="95"/>
  <c r="H25" i="95"/>
  <c r="H26" i="95"/>
  <c r="H27" i="95"/>
  <c r="H28" i="95"/>
  <c r="H29" i="95"/>
  <c r="H31" i="95"/>
  <c r="H32" i="95"/>
  <c r="H33" i="95"/>
  <c r="H34" i="95"/>
  <c r="H35" i="95"/>
  <c r="H36" i="95"/>
  <c r="H37" i="95"/>
  <c r="H38" i="95"/>
  <c r="H39" i="95"/>
  <c r="H40" i="95"/>
  <c r="H41" i="95"/>
  <c r="H42" i="95"/>
  <c r="H43" i="95"/>
  <c r="H44" i="95"/>
  <c r="H45" i="95"/>
  <c r="H46" i="95"/>
  <c r="H47" i="95"/>
  <c r="H48" i="95"/>
  <c r="H49" i="95"/>
  <c r="H50" i="95"/>
  <c r="H51" i="95"/>
  <c r="H52" i="95"/>
  <c r="H53" i="95"/>
  <c r="H54" i="95"/>
  <c r="H55" i="95"/>
  <c r="H56" i="95"/>
  <c r="H57" i="95"/>
  <c r="H58" i="95"/>
  <c r="H59" i="95"/>
  <c r="H61" i="95"/>
  <c r="H63" i="95"/>
  <c r="H5" i="95"/>
  <c r="F71" i="95"/>
  <c r="E66" i="95"/>
  <c r="E68" i="95" s="1"/>
  <c r="H65" i="95" l="1"/>
  <c r="H72" i="95" s="1"/>
  <c r="F70" i="93"/>
  <c r="F59" i="93"/>
  <c r="E60" i="93"/>
  <c r="E62" i="93" s="1"/>
  <c r="F71" i="93" l="1"/>
  <c r="F72" i="91"/>
  <c r="F61" i="91"/>
  <c r="E62" i="91"/>
  <c r="E64" i="91" s="1"/>
  <c r="F73" i="91" l="1"/>
  <c r="F60" i="90"/>
  <c r="F70" i="90"/>
  <c r="E61" i="90"/>
  <c r="E63" i="90" s="1"/>
  <c r="F71" i="90" l="1"/>
  <c r="E66" i="89"/>
  <c r="D59" i="89"/>
  <c r="D61" i="89" s="1"/>
  <c r="E57" i="89"/>
  <c r="E54" i="89"/>
  <c r="A13" i="89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7" i="89"/>
  <c r="A8" i="89" s="1"/>
  <c r="E58" i="89" l="1"/>
  <c r="E67" i="89"/>
  <c r="E68" i="88"/>
  <c r="D61" i="88"/>
  <c r="D63" i="88" s="1"/>
  <c r="E59" i="88"/>
  <c r="E56" i="88"/>
  <c r="A13" i="88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6" i="88" s="1"/>
  <c r="A37" i="88" s="1"/>
  <c r="A38" i="88" s="1"/>
  <c r="A39" i="88" s="1"/>
  <c r="A40" i="88" s="1"/>
  <c r="A41" i="88" s="1"/>
  <c r="A42" i="88" s="1"/>
  <c r="A43" i="88" s="1"/>
  <c r="A44" i="88" s="1"/>
  <c r="A45" i="88" s="1"/>
  <c r="A46" i="88" s="1"/>
  <c r="A47" i="88" s="1"/>
  <c r="A48" i="88" s="1"/>
  <c r="A49" i="88" s="1"/>
  <c r="A50" i="88" s="1"/>
  <c r="A51" i="88" s="1"/>
  <c r="A52" i="88" s="1"/>
  <c r="A53" i="88" s="1"/>
  <c r="A54" i="88" s="1"/>
  <c r="A55" i="88" s="1"/>
  <c r="A7" i="88"/>
  <c r="A8" i="88" s="1"/>
  <c r="E60" i="88" l="1"/>
  <c r="E69" i="88" s="1"/>
  <c r="D71" i="87"/>
  <c r="C61" i="87"/>
  <c r="C63" i="87" s="1"/>
  <c r="D59" i="87"/>
  <c r="D56" i="87"/>
  <c r="A13" i="87"/>
  <c r="A14" i="87" s="1"/>
  <c r="A15" i="87" s="1"/>
  <c r="A16" i="87" s="1"/>
  <c r="A17" i="87" s="1"/>
  <c r="A18" i="87" s="1"/>
  <c r="A19" i="87" s="1"/>
  <c r="A20" i="87" s="1"/>
  <c r="A21" i="87" s="1"/>
  <c r="A22" i="87" s="1"/>
  <c r="A23" i="87" s="1"/>
  <c r="A24" i="87" s="1"/>
  <c r="A25" i="87" s="1"/>
  <c r="A26" i="87" s="1"/>
  <c r="A27" i="87" s="1"/>
  <c r="A28" i="87" s="1"/>
  <c r="A29" i="87" s="1"/>
  <c r="A30" i="87" s="1"/>
  <c r="A31" i="87" s="1"/>
  <c r="A32" i="87" s="1"/>
  <c r="A33" i="87" s="1"/>
  <c r="A34" i="87" s="1"/>
  <c r="A36" i="87" s="1"/>
  <c r="A37" i="87" s="1"/>
  <c r="A38" i="87" s="1"/>
  <c r="A39" i="87" s="1"/>
  <c r="A40" i="87" s="1"/>
  <c r="A41" i="87" s="1"/>
  <c r="A42" i="87" s="1"/>
  <c r="A43" i="87" s="1"/>
  <c r="A44" i="87" s="1"/>
  <c r="A45" i="87" s="1"/>
  <c r="A46" i="87" s="1"/>
  <c r="A47" i="87" s="1"/>
  <c r="A48" i="87" s="1"/>
  <c r="A49" i="87" s="1"/>
  <c r="A50" i="87" s="1"/>
  <c r="A51" i="87" s="1"/>
  <c r="A52" i="87" s="1"/>
  <c r="A53" i="87" s="1"/>
  <c r="A54" i="87" s="1"/>
  <c r="A55" i="87" s="1"/>
  <c r="A7" i="87"/>
  <c r="A8" i="87" s="1"/>
  <c r="D60" i="87" l="1"/>
  <c r="D72" i="87" s="1"/>
  <c r="D67" i="86"/>
  <c r="C59" i="86"/>
  <c r="C61" i="86" s="1"/>
  <c r="D57" i="86"/>
  <c r="D54" i="86"/>
  <c r="D58" i="86" s="1"/>
  <c r="A13" i="86"/>
  <c r="A14" i="86" s="1"/>
  <c r="A15" i="86" s="1"/>
  <c r="A16" i="86" s="1"/>
  <c r="A17" i="86" s="1"/>
  <c r="A18" i="86" s="1"/>
  <c r="A19" i="86" s="1"/>
  <c r="A20" i="86" s="1"/>
  <c r="A21" i="86" s="1"/>
  <c r="A22" i="86" s="1"/>
  <c r="A23" i="86" s="1"/>
  <c r="A24" i="86" s="1"/>
  <c r="A25" i="86" s="1"/>
  <c r="A26" i="86" s="1"/>
  <c r="A27" i="86" s="1"/>
  <c r="A28" i="86" s="1"/>
  <c r="A29" i="86" s="1"/>
  <c r="A30" i="86" s="1"/>
  <c r="A31" i="86" s="1"/>
  <c r="A32" i="86" s="1"/>
  <c r="A33" i="86" s="1"/>
  <c r="A34" i="86" s="1"/>
  <c r="A35" i="86" s="1"/>
  <c r="A36" i="86" s="1"/>
  <c r="A37" i="86" s="1"/>
  <c r="A38" i="86" s="1"/>
  <c r="A39" i="86" s="1"/>
  <c r="A40" i="86" s="1"/>
  <c r="A41" i="86" s="1"/>
  <c r="A42" i="86" s="1"/>
  <c r="A43" i="86" s="1"/>
  <c r="A44" i="86" s="1"/>
  <c r="A45" i="86" s="1"/>
  <c r="A46" i="86" s="1"/>
  <c r="A47" i="86" s="1"/>
  <c r="A48" i="86" s="1"/>
  <c r="A49" i="86" s="1"/>
  <c r="A50" i="86" s="1"/>
  <c r="A51" i="86" s="1"/>
  <c r="A52" i="86" s="1"/>
  <c r="A53" i="86" s="1"/>
  <c r="A7" i="86"/>
  <c r="A8" i="86" s="1"/>
  <c r="D68" i="86" l="1"/>
  <c r="D64" i="85"/>
  <c r="C58" i="85"/>
  <c r="C60" i="85" s="1"/>
  <c r="D56" i="85"/>
  <c r="D53" i="85"/>
  <c r="A13" i="85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7" i="85"/>
  <c r="A8" i="85" s="1"/>
  <c r="D57" i="85" l="1"/>
  <c r="D65" i="85" s="1"/>
  <c r="D64" i="84"/>
  <c r="C58" i="84"/>
  <c r="C60" i="84" s="1"/>
  <c r="D56" i="84"/>
  <c r="D53" i="84"/>
  <c r="A13" i="84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A38" i="84" s="1"/>
  <c r="A39" i="84" s="1"/>
  <c r="A40" i="84" s="1"/>
  <c r="A41" i="84" s="1"/>
  <c r="A42" i="84" s="1"/>
  <c r="A43" i="84" s="1"/>
  <c r="A44" i="84" s="1"/>
  <c r="A45" i="84" s="1"/>
  <c r="A46" i="84" s="1"/>
  <c r="A47" i="84" s="1"/>
  <c r="A48" i="84" s="1"/>
  <c r="A49" i="84" s="1"/>
  <c r="A50" i="84" s="1"/>
  <c r="A51" i="84" s="1"/>
  <c r="A52" i="84" s="1"/>
  <c r="A7" i="84"/>
  <c r="A8" i="84" s="1"/>
  <c r="D57" i="84" l="1"/>
  <c r="D65" i="84" s="1"/>
  <c r="D64" i="83"/>
  <c r="C58" i="83"/>
  <c r="C60" i="83" s="1"/>
  <c r="D56" i="83"/>
  <c r="D53" i="83"/>
  <c r="A13" i="83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7" i="83"/>
  <c r="A8" i="83" s="1"/>
  <c r="D57" i="83" l="1"/>
  <c r="D65" i="83" s="1"/>
  <c r="D67" i="82"/>
  <c r="C58" i="82"/>
  <c r="C60" i="82" s="1"/>
  <c r="D56" i="82"/>
  <c r="D53" i="82"/>
  <c r="A13" i="82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A38" i="82" s="1"/>
  <c r="A39" i="82" s="1"/>
  <c r="A40" i="82" s="1"/>
  <c r="A41" i="82" s="1"/>
  <c r="A42" i="82" s="1"/>
  <c r="A43" i="82" s="1"/>
  <c r="A44" i="82" s="1"/>
  <c r="A45" i="82" s="1"/>
  <c r="A46" i="82" s="1"/>
  <c r="A47" i="82" s="1"/>
  <c r="A48" i="82" s="1"/>
  <c r="A49" i="82" s="1"/>
  <c r="A50" i="82" s="1"/>
  <c r="A51" i="82" s="1"/>
  <c r="A52" i="82" s="1"/>
  <c r="A7" i="82"/>
  <c r="A8" i="82" s="1"/>
  <c r="D57" i="82" l="1"/>
  <c r="D68" i="82" s="1"/>
  <c r="A13" i="8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8" i="81" s="1"/>
  <c r="A39" i="81" s="1"/>
  <c r="A40" i="81" s="1"/>
  <c r="A41" i="81" s="1"/>
  <c r="A42" i="81" s="1"/>
  <c r="A43" i="81" s="1"/>
  <c r="A44" i="81" s="1"/>
  <c r="A45" i="81" s="1"/>
  <c r="A46" i="81" s="1"/>
  <c r="A47" i="81" s="1"/>
  <c r="A48" i="81" s="1"/>
  <c r="A49" i="81" s="1"/>
  <c r="A50" i="81" s="1"/>
  <c r="A51" i="81" s="1"/>
  <c r="A52" i="81" s="1"/>
  <c r="A53" i="81" s="1"/>
  <c r="A54" i="81" s="1"/>
  <c r="D69" i="81"/>
  <c r="C60" i="81"/>
  <c r="C62" i="81" s="1"/>
  <c r="D58" i="81"/>
  <c r="D55" i="81"/>
  <c r="D59" i="81" s="1"/>
  <c r="A7" i="81"/>
  <c r="A8" i="81" s="1"/>
  <c r="D70" i="81" l="1"/>
  <c r="D67" i="80"/>
  <c r="C58" i="80"/>
  <c r="C60" i="80" s="1"/>
  <c r="D56" i="80"/>
  <c r="D53" i="80"/>
  <c r="A12" i="80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A38" i="80" s="1"/>
  <c r="A39" i="80" s="1"/>
  <c r="A40" i="80" s="1"/>
  <c r="A41" i="80" s="1"/>
  <c r="A42" i="80" s="1"/>
  <c r="A43" i="80" s="1"/>
  <c r="A44" i="80" s="1"/>
  <c r="A45" i="80" s="1"/>
  <c r="A46" i="80" s="1"/>
  <c r="A47" i="80" s="1"/>
  <c r="A48" i="80" s="1"/>
  <c r="A49" i="80" s="1"/>
  <c r="A50" i="80" s="1"/>
  <c r="A51" i="80" s="1"/>
  <c r="A52" i="80" s="1"/>
  <c r="A7" i="80"/>
  <c r="A8" i="80" s="1"/>
  <c r="A9" i="80" s="1"/>
  <c r="D57" i="80" l="1"/>
  <c r="D68" i="80" s="1"/>
  <c r="D66" i="78"/>
  <c r="C60" i="78"/>
  <c r="C62" i="78" s="1"/>
  <c r="D58" i="78"/>
  <c r="D55" i="78"/>
  <c r="A12" i="78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7" i="78"/>
  <c r="A8" i="78" s="1"/>
  <c r="A9" i="78" s="1"/>
  <c r="D59" i="78" l="1"/>
  <c r="D67" i="78" s="1"/>
  <c r="D67" i="77"/>
  <c r="C61" i="77"/>
  <c r="C63" i="77" s="1"/>
  <c r="D59" i="77"/>
  <c r="D56" i="77"/>
  <c r="A13" i="77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6" i="77"/>
  <c r="A7" i="77" s="1"/>
  <c r="A8" i="77" s="1"/>
  <c r="A9" i="77" s="1"/>
  <c r="A10" i="77" s="1"/>
  <c r="D60" i="77" l="1"/>
  <c r="D68" i="77" s="1"/>
  <c r="A13" i="76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D56" i="76"/>
  <c r="D67" i="76"/>
  <c r="C62" i="76"/>
  <c r="C61" i="76"/>
  <c r="D59" i="76"/>
  <c r="A6" i="76"/>
  <c r="A7" i="76" s="1"/>
  <c r="A8" i="76" s="1"/>
  <c r="A9" i="76" s="1"/>
  <c r="A10" i="76" s="1"/>
  <c r="C63" i="76" l="1"/>
  <c r="D67" i="75"/>
  <c r="C62" i="75"/>
  <c r="C61" i="75"/>
  <c r="D59" i="75"/>
  <c r="D56" i="75"/>
  <c r="A22" i="75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8" i="75" s="1"/>
  <c r="A49" i="75" s="1"/>
  <c r="A50" i="75" s="1"/>
  <c r="A51" i="75" s="1"/>
  <c r="A52" i="75" s="1"/>
  <c r="A53" i="75" s="1"/>
  <c r="A54" i="75" s="1"/>
  <c r="A6" i="75"/>
  <c r="A7" i="75" s="1"/>
  <c r="A8" i="75" s="1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D60" i="75" l="1"/>
  <c r="D68" i="75" s="1"/>
  <c r="C63" i="75"/>
  <c r="D66" i="74"/>
  <c r="C61" i="74" l="1"/>
  <c r="C60" i="74"/>
  <c r="D58" i="74"/>
  <c r="D55" i="74"/>
  <c r="D59" i="74" s="1"/>
  <c r="D67" i="74" s="1"/>
  <c r="A22" i="74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40" i="74" s="1"/>
  <c r="A41" i="74" s="1"/>
  <c r="A42" i="74" s="1"/>
  <c r="A43" i="74" s="1"/>
  <c r="A44" i="74" s="1"/>
  <c r="A45" i="74" s="1"/>
  <c r="A46" i="74" s="1"/>
  <c r="A47" i="74" s="1"/>
  <c r="A48" i="74" s="1"/>
  <c r="A49" i="74" s="1"/>
  <c r="A50" i="74" s="1"/>
  <c r="A51" i="74" s="1"/>
  <c r="A52" i="74" s="1"/>
  <c r="A53" i="74" s="1"/>
  <c r="A6" i="74"/>
  <c r="A7" i="74" s="1"/>
  <c r="A8" i="74" s="1"/>
  <c r="A9" i="74" s="1"/>
  <c r="A10" i="74" s="1"/>
  <c r="A11" i="74" s="1"/>
  <c r="A12" i="74" s="1"/>
  <c r="A13" i="74" s="1"/>
  <c r="A14" i="74" s="1"/>
  <c r="A15" i="74" s="1"/>
  <c r="A16" i="74" s="1"/>
  <c r="A17" i="74" s="1"/>
  <c r="A18" i="74" s="1"/>
  <c r="A19" i="74" s="1"/>
  <c r="D65" i="73"/>
  <c r="C61" i="73"/>
  <c r="C60" i="73"/>
  <c r="D58" i="73"/>
  <c r="D55" i="73"/>
  <c r="A22" i="73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A48" i="73" s="1"/>
  <c r="A49" i="73" s="1"/>
  <c r="A50" i="73" s="1"/>
  <c r="A51" i="73" s="1"/>
  <c r="A52" i="73" s="1"/>
  <c r="A53" i="73" s="1"/>
  <c r="A6" i="73"/>
  <c r="A7" i="73" s="1"/>
  <c r="A8" i="73" s="1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D55" i="72"/>
  <c r="D67" i="72"/>
  <c r="C61" i="72"/>
  <c r="C60" i="72"/>
  <c r="D58" i="72"/>
  <c r="A6" i="72"/>
  <c r="A7" i="72" s="1"/>
  <c r="A8" i="72" s="1"/>
  <c r="A9" i="72" s="1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D59" i="73" l="1"/>
  <c r="D66" i="73" s="1"/>
  <c r="D59" i="72"/>
  <c r="D68" i="72" s="1"/>
  <c r="C62" i="74"/>
  <c r="C62" i="73"/>
  <c r="C62" i="72"/>
  <c r="D65" i="71"/>
  <c r="D56" i="71"/>
  <c r="C59" i="71"/>
  <c r="C58" i="71"/>
  <c r="C60" i="71" l="1"/>
  <c r="D53" i="71"/>
  <c r="A6" i="7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D57" i="71" l="1"/>
  <c r="D66" i="71" s="1"/>
  <c r="D58" i="70"/>
  <c r="D66" i="70"/>
  <c r="C61" i="70"/>
  <c r="C60" i="70"/>
  <c r="D55" i="70"/>
  <c r="A6" i="70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D59" i="70" l="1"/>
  <c r="D67" i="70" s="1"/>
  <c r="C62" i="70"/>
  <c r="A21" i="70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72" i="70"/>
  <c r="D65" i="69"/>
  <c r="C60" i="69"/>
  <c r="C59" i="69"/>
  <c r="D57" i="69"/>
  <c r="D54" i="69"/>
  <c r="A6" i="69"/>
  <c r="A7" i="69" s="1"/>
  <c r="A8" i="69" s="1"/>
  <c r="C61" i="69" l="1"/>
  <c r="D58" i="69"/>
  <c r="D66" i="69" s="1"/>
  <c r="A9" i="69"/>
  <c r="A10" i="69" s="1"/>
  <c r="A11" i="69" s="1"/>
  <c r="A12" i="69" s="1"/>
  <c r="E57" i="68"/>
  <c r="E54" i="68"/>
  <c r="D60" i="68"/>
  <c r="D59" i="68"/>
  <c r="E58" i="68" l="1"/>
  <c r="A13" i="69"/>
  <c r="D61" i="68"/>
  <c r="A14" i="69" l="1"/>
  <c r="A15" i="69" s="1"/>
  <c r="A16" i="69" s="1"/>
  <c r="A17" i="69" s="1"/>
  <c r="A18" i="69" s="1"/>
  <c r="A19" i="69" s="1"/>
  <c r="E70" i="68"/>
  <c r="E71" i="68" s="1"/>
  <c r="B6" i="68"/>
  <c r="B7" i="68" s="1"/>
  <c r="B8" i="68" s="1"/>
  <c r="A20" i="69" l="1"/>
  <c r="A21" i="69" s="1"/>
  <c r="B77" i="68"/>
  <c r="B9" i="68"/>
  <c r="B10" i="68" s="1"/>
  <c r="B11" i="68" s="1"/>
  <c r="B12" i="68" s="1"/>
  <c r="B13" i="68" s="1"/>
  <c r="A71" i="69" l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A42" i="69" s="1"/>
  <c r="A43" i="69" s="1"/>
  <c r="A44" i="69" s="1"/>
  <c r="A45" i="69" s="1"/>
  <c r="A46" i="69" s="1"/>
  <c r="A47" i="69" s="1"/>
  <c r="A48" i="69" s="1"/>
  <c r="A49" i="69" s="1"/>
  <c r="B14" i="68"/>
  <c r="B15" i="68" s="1"/>
  <c r="B16" i="68" s="1"/>
  <c r="B17" i="68" s="1"/>
  <c r="B18" i="68" s="1"/>
  <c r="D56" i="67"/>
  <c r="D57" i="67"/>
  <c r="A50" i="69" l="1"/>
  <c r="A51" i="69" s="1"/>
  <c r="A52" i="69" s="1"/>
  <c r="A53" i="69" s="1"/>
  <c r="B19" i="68"/>
  <c r="B20" i="68" s="1"/>
  <c r="B21" i="68" s="1"/>
  <c r="B22" i="68" s="1"/>
  <c r="B23" i="68" s="1"/>
  <c r="B24" i="68" s="1"/>
  <c r="B25" i="68" s="1"/>
  <c r="B26" i="68" s="1"/>
  <c r="B27" i="68" s="1"/>
  <c r="B28" i="68" s="1"/>
  <c r="E63" i="67"/>
  <c r="E55" i="67"/>
  <c r="B6" i="67"/>
  <c r="B7" i="67" s="1"/>
  <c r="B8" i="67" s="1"/>
  <c r="B29" i="68" l="1"/>
  <c r="B30" i="68" s="1"/>
  <c r="B31" i="68" s="1"/>
  <c r="B32" i="68" s="1"/>
  <c r="B33" i="68" s="1"/>
  <c r="B34" i="68" s="1"/>
  <c r="B35" i="68" s="1"/>
  <c r="B36" i="68" s="1"/>
  <c r="B37" i="68" s="1"/>
  <c r="B38" i="68" s="1"/>
  <c r="E64" i="67"/>
  <c r="B70" i="67"/>
  <c r="B9" i="67"/>
  <c r="B10" i="67" s="1"/>
  <c r="D55" i="66"/>
  <c r="D63" i="66"/>
  <c r="C56" i="66"/>
  <c r="A6" i="66"/>
  <c r="A7" i="66" s="1"/>
  <c r="A8" i="66" s="1"/>
  <c r="A9" i="66" s="1"/>
  <c r="A10" i="66" s="1"/>
  <c r="B39" i="68" l="1"/>
  <c r="B40" i="68" s="1"/>
  <c r="B41" i="68" s="1"/>
  <c r="B42" i="68" s="1"/>
  <c r="B43" i="68" s="1"/>
  <c r="B44" i="68" s="1"/>
  <c r="B45" i="68" s="1"/>
  <c r="B46" i="68" s="1"/>
  <c r="B47" i="68" s="1"/>
  <c r="B48" i="68" s="1"/>
  <c r="B49" i="68" s="1"/>
  <c r="B11" i="67"/>
  <c r="B12" i="67" s="1"/>
  <c r="B13" i="67" s="1"/>
  <c r="B14" i="67" s="1"/>
  <c r="B15" i="67" s="1"/>
  <c r="B16" i="67" s="1"/>
  <c r="B17" i="67" s="1"/>
  <c r="B18" i="67" s="1"/>
  <c r="B19" i="67" s="1"/>
  <c r="B20" i="67" s="1"/>
  <c r="B21" i="67" s="1"/>
  <c r="B22" i="67" s="1"/>
  <c r="B23" i="67" s="1"/>
  <c r="B24" i="67" s="1"/>
  <c r="B25" i="67" s="1"/>
  <c r="B26" i="67" s="1"/>
  <c r="B27" i="67" s="1"/>
  <c r="B28" i="67" s="1"/>
  <c r="B29" i="67" s="1"/>
  <c r="B30" i="67" s="1"/>
  <c r="B31" i="67" s="1"/>
  <c r="D64" i="66"/>
  <c r="A11" i="66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A41" i="66" s="1"/>
  <c r="A42" i="66" s="1"/>
  <c r="A43" i="66" s="1"/>
  <c r="A44" i="66" s="1"/>
  <c r="A45" i="66" s="1"/>
  <c r="A46" i="66" s="1"/>
  <c r="A47" i="66" s="1"/>
  <c r="A48" i="66" s="1"/>
  <c r="A49" i="66" s="1"/>
  <c r="A50" i="66" s="1"/>
  <c r="A69" i="66" s="1"/>
  <c r="D64" i="65"/>
  <c r="C56" i="65"/>
  <c r="B78" i="68" l="1"/>
  <c r="B50" i="68"/>
  <c r="B32" i="67"/>
  <c r="B33" i="67" s="1"/>
  <c r="B34" i="67" s="1"/>
  <c r="B35" i="67" s="1"/>
  <c r="B36" i="67" s="1"/>
  <c r="B37" i="67" s="1"/>
  <c r="B38" i="67" s="1"/>
  <c r="B39" i="67" s="1"/>
  <c r="B40" i="67" s="1"/>
  <c r="B41" i="67" s="1"/>
  <c r="B42" i="67" s="1"/>
  <c r="B43" i="67" s="1"/>
  <c r="B44" i="67" s="1"/>
  <c r="B45" i="67" s="1"/>
  <c r="B46" i="67" s="1"/>
  <c r="B47" i="67" s="1"/>
  <c r="B48" i="67" s="1"/>
  <c r="B49" i="67" s="1"/>
  <c r="B50" i="67" s="1"/>
  <c r="B69" i="67" s="1"/>
  <c r="D55" i="65"/>
  <c r="D65" i="65" s="1"/>
  <c r="A6" i="65"/>
  <c r="A7" i="65" s="1"/>
  <c r="B51" i="68" l="1"/>
  <c r="B52" i="68" s="1"/>
  <c r="B53" i="68" s="1"/>
  <c r="B76" i="68" s="1"/>
  <c r="A8" i="65"/>
  <c r="A9" i="65" s="1"/>
  <c r="A10" i="65" s="1"/>
  <c r="A11" i="65" s="1"/>
  <c r="A12" i="65" s="1"/>
  <c r="A13" i="65" s="1"/>
  <c r="A14" i="65" s="1"/>
  <c r="D63" i="64"/>
  <c r="D60" i="64"/>
  <c r="C55" i="64"/>
  <c r="D53" i="64"/>
  <c r="A6" i="64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C54" i="64" s="1"/>
  <c r="C56" i="64" s="1"/>
  <c r="A15" i="65" l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70" i="65" s="1"/>
  <c r="D64" i="64"/>
  <c r="D61" i="63"/>
  <c r="D58" i="63"/>
  <c r="C53" i="63"/>
  <c r="D51" i="63"/>
  <c r="A6" i="63"/>
  <c r="A7" i="63" s="1"/>
  <c r="A8" i="63" s="1"/>
  <c r="A9" i="63" s="1"/>
  <c r="A10" i="63" s="1"/>
  <c r="A11" i="63" s="1"/>
  <c r="A12" i="63" s="1"/>
  <c r="A13" i="63" s="1"/>
  <c r="D62" i="63" l="1"/>
  <c r="A14" i="63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D62" i="62"/>
  <c r="D56" i="62"/>
  <c r="C51" i="62"/>
  <c r="D66" i="62"/>
  <c r="D49" i="62" s="1"/>
  <c r="A6" i="62"/>
  <c r="A7" i="62" s="1"/>
  <c r="A8" i="62" s="1"/>
  <c r="A9" i="62" s="1"/>
  <c r="A10" i="62" s="1"/>
  <c r="A11" i="62" s="1"/>
  <c r="A12" i="62" s="1"/>
  <c r="A36" i="63" l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C52" i="63" s="1"/>
  <c r="C54" i="63" s="1"/>
  <c r="D63" i="62"/>
  <c r="A13" i="62"/>
  <c r="A14" i="62" s="1"/>
  <c r="A15" i="62" s="1"/>
  <c r="A16" i="62" s="1"/>
  <c r="A17" i="62" s="1"/>
  <c r="A18" i="62" s="1"/>
  <c r="D60" i="61"/>
  <c r="C55" i="61"/>
  <c r="D12" i="61"/>
  <c r="D53" i="61" s="1"/>
  <c r="A6" i="61"/>
  <c r="A7" i="61" s="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A46" i="61" s="1"/>
  <c r="A47" i="61" s="1"/>
  <c r="A48" i="61" s="1"/>
  <c r="A49" i="61" s="1"/>
  <c r="A50" i="61" s="1"/>
  <c r="A51" i="61" s="1"/>
  <c r="C54" i="61" s="1"/>
  <c r="C56" i="61" s="1"/>
  <c r="A19" i="62" l="1"/>
  <c r="D62" i="61"/>
  <c r="A20" i="62" l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C50" i="62" s="1"/>
  <c r="C52" i="62" s="1"/>
  <c r="D62" i="60"/>
  <c r="C55" i="60"/>
  <c r="A6" i="60" l="1"/>
  <c r="A7" i="60" s="1"/>
  <c r="A8" i="60" s="1"/>
  <c r="D12" i="60"/>
  <c r="D53" i="60" l="1"/>
  <c r="D64" i="60" s="1"/>
  <c r="A9" i="60"/>
  <c r="A10" i="60" s="1"/>
  <c r="A11" i="60" s="1"/>
  <c r="A12" i="60" s="1"/>
  <c r="A13" i="60" s="1"/>
  <c r="A14" i="60" s="1"/>
  <c r="C53" i="59"/>
  <c r="C54" i="59" s="1"/>
  <c r="A15" i="60" l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6" i="59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D11" i="59"/>
  <c r="D57" i="59" s="1"/>
  <c r="A32" i="60" l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C54" i="60" s="1"/>
  <c r="C56" i="60" s="1"/>
  <c r="A54" i="58"/>
  <c r="B11" i="58"/>
  <c r="B52" i="58" s="1"/>
  <c r="A57" i="57" l="1"/>
  <c r="B11" i="57"/>
  <c r="B55" i="57" s="1"/>
  <c r="A58" i="56" l="1"/>
  <c r="B11" i="56"/>
  <c r="B56" i="56" s="1"/>
  <c r="B50" i="55" l="1"/>
  <c r="B11" i="55"/>
  <c r="A54" i="55"/>
  <c r="B52" i="55" l="1"/>
  <c r="B51" i="54"/>
  <c r="A53" i="54"/>
  <c r="A54" i="53"/>
  <c r="B5" i="53"/>
  <c r="B10" i="53"/>
  <c r="B11" i="53"/>
  <c r="B27" i="53"/>
  <c r="B33" i="53"/>
  <c r="B34" i="53"/>
  <c r="A54" i="52"/>
  <c r="B5" i="52"/>
  <c r="B10" i="52"/>
  <c r="B11" i="52"/>
  <c r="B27" i="52"/>
  <c r="B33" i="52"/>
  <c r="B34" i="52"/>
  <c r="A54" i="51"/>
  <c r="B5" i="51"/>
  <c r="B10" i="51"/>
  <c r="B11" i="51"/>
  <c r="B27" i="51"/>
  <c r="B33" i="51"/>
  <c r="B34" i="51"/>
  <c r="A53" i="50"/>
  <c r="B5" i="50"/>
  <c r="B10" i="50"/>
  <c r="B11" i="50"/>
  <c r="B12" i="50"/>
  <c r="B26" i="50"/>
  <c r="B32" i="50"/>
  <c r="B33" i="50"/>
  <c r="A54" i="49"/>
  <c r="B5" i="49"/>
  <c r="B10" i="49"/>
  <c r="B11" i="49"/>
  <c r="B12" i="49"/>
  <c r="B27" i="49"/>
  <c r="B32" i="49"/>
  <c r="B33" i="49"/>
  <c r="A54" i="48"/>
  <c r="B5" i="48"/>
  <c r="B10" i="48"/>
  <c r="B11" i="48"/>
  <c r="B12" i="48"/>
  <c r="B27" i="48"/>
  <c r="B32" i="48"/>
  <c r="B33" i="48"/>
  <c r="B50" i="47"/>
  <c r="B5" i="47"/>
  <c r="B10" i="47"/>
  <c r="B11" i="47"/>
  <c r="B12" i="47"/>
  <c r="B27" i="47"/>
  <c r="B32" i="47"/>
  <c r="B33" i="47"/>
  <c r="A54" i="47"/>
  <c r="A52" i="46"/>
  <c r="B5" i="46"/>
  <c r="B10" i="46"/>
  <c r="B11" i="46"/>
  <c r="B12" i="46"/>
  <c r="B30" i="46"/>
  <c r="B31" i="46"/>
  <c r="A50" i="45"/>
  <c r="B30" i="45"/>
  <c r="B11" i="45"/>
  <c r="B10" i="45"/>
  <c r="A50" i="44"/>
  <c r="B10" i="44"/>
  <c r="B11" i="44"/>
  <c r="B30" i="44"/>
  <c r="A49" i="43"/>
  <c r="B11" i="43"/>
  <c r="B10" i="43"/>
  <c r="B30" i="43"/>
  <c r="A48" i="42"/>
  <c r="B10" i="42"/>
  <c r="B11" i="42"/>
  <c r="A49" i="39"/>
  <c r="B11" i="39"/>
  <c r="B12" i="39"/>
  <c r="A49" i="38"/>
  <c r="B11" i="38"/>
  <c r="B12" i="38"/>
  <c r="B13" i="38"/>
  <c r="B31" i="38"/>
  <c r="B13" i="37"/>
  <c r="B12" i="37"/>
  <c r="A49" i="37"/>
  <c r="B11" i="37"/>
  <c r="B31" i="37"/>
  <c r="B40" i="20"/>
  <c r="C40" i="20"/>
  <c r="D40" i="20"/>
  <c r="E13" i="20"/>
  <c r="E40" i="20" s="1"/>
  <c r="F40" i="20"/>
  <c r="G40" i="20"/>
  <c r="H40" i="20"/>
  <c r="I40" i="20"/>
  <c r="J40" i="20"/>
  <c r="B33" i="36"/>
  <c r="B26" i="36"/>
  <c r="A51" i="36"/>
  <c r="B13" i="36"/>
  <c r="B17" i="36"/>
  <c r="B25" i="36"/>
  <c r="B45" i="33"/>
  <c r="A49" i="35"/>
  <c r="B12" i="35"/>
  <c r="B14" i="35"/>
  <c r="B31" i="35"/>
  <c r="B14" i="33"/>
  <c r="A49" i="33"/>
  <c r="B31" i="33"/>
  <c r="B12" i="33"/>
  <c r="B46" i="32"/>
  <c r="B12" i="32"/>
  <c r="B32" i="32"/>
  <c r="A50" i="32"/>
  <c r="A46" i="31"/>
  <c r="B29" i="31"/>
  <c r="B44" i="31" s="1"/>
  <c r="A44" i="30"/>
  <c r="B27" i="30"/>
  <c r="B42" i="30" s="1"/>
  <c r="A43" i="29"/>
  <c r="B41" i="29"/>
  <c r="A42" i="28"/>
  <c r="B40" i="28"/>
  <c r="B39" i="27"/>
  <c r="A41" i="27"/>
  <c r="A42" i="26"/>
  <c r="B38" i="26"/>
  <c r="C38" i="26"/>
  <c r="D38" i="26"/>
  <c r="E38" i="26"/>
  <c r="F38" i="26"/>
  <c r="G38" i="26"/>
  <c r="H38" i="26"/>
  <c r="I38" i="26"/>
  <c r="J38" i="26"/>
  <c r="F39" i="25"/>
  <c r="I39" i="25"/>
  <c r="A43" i="25"/>
  <c r="B39" i="25"/>
  <c r="C39" i="25"/>
  <c r="D39" i="25"/>
  <c r="E39" i="25"/>
  <c r="G39" i="25"/>
  <c r="H39" i="25"/>
  <c r="J39" i="25"/>
  <c r="B40" i="24"/>
  <c r="A44" i="24"/>
  <c r="C40" i="24"/>
  <c r="D40" i="24"/>
  <c r="E40" i="24"/>
  <c r="F40" i="24"/>
  <c r="G40" i="24"/>
  <c r="H40" i="24"/>
  <c r="I40" i="24"/>
  <c r="J40" i="24"/>
  <c r="A44" i="23"/>
  <c r="B40" i="23"/>
  <c r="C40" i="23"/>
  <c r="D40" i="23"/>
  <c r="E40" i="23"/>
  <c r="F40" i="23"/>
  <c r="G40" i="23"/>
  <c r="H40" i="23"/>
  <c r="I40" i="23"/>
  <c r="J40" i="23"/>
  <c r="C29" i="22"/>
  <c r="C41" i="22" s="1"/>
  <c r="A45" i="22"/>
  <c r="J41" i="22"/>
  <c r="I41" i="22"/>
  <c r="H41" i="22"/>
  <c r="G41" i="22"/>
  <c r="F41" i="22"/>
  <c r="E41" i="22"/>
  <c r="D41" i="22"/>
  <c r="B41" i="22"/>
  <c r="A44" i="21"/>
  <c r="C40" i="21"/>
  <c r="D40" i="21"/>
  <c r="E40" i="21"/>
  <c r="F40" i="21"/>
  <c r="G40" i="21"/>
  <c r="H40" i="21"/>
  <c r="I40" i="21"/>
  <c r="J40" i="21"/>
  <c r="B40" i="21"/>
  <c r="F47" i="20"/>
  <c r="H47" i="20" s="1"/>
  <c r="H49" i="20" s="1"/>
  <c r="E13" i="19"/>
  <c r="B39" i="19" s="1"/>
  <c r="B40" i="19" s="1"/>
  <c r="A44" i="20"/>
  <c r="C40" i="19"/>
  <c r="D40" i="19"/>
  <c r="F40" i="19"/>
  <c r="G40" i="19"/>
  <c r="H40" i="19"/>
  <c r="I40" i="19"/>
  <c r="J40" i="19"/>
  <c r="A44" i="19"/>
  <c r="A33" i="18"/>
  <c r="J29" i="18"/>
  <c r="I29" i="18"/>
  <c r="H29" i="18"/>
  <c r="G29" i="18"/>
  <c r="F29" i="18"/>
  <c r="E29" i="18"/>
  <c r="D29" i="18"/>
  <c r="C29" i="18"/>
  <c r="B29" i="18"/>
  <c r="C29" i="17"/>
  <c r="E29" i="17"/>
  <c r="F29" i="17"/>
  <c r="G29" i="17"/>
  <c r="H29" i="17"/>
  <c r="I29" i="17"/>
  <c r="J29" i="17"/>
  <c r="B6" i="17"/>
  <c r="B29" i="17" s="1"/>
  <c r="A33" i="17"/>
  <c r="D23" i="17"/>
  <c r="D29" i="17" s="1"/>
  <c r="B6" i="16"/>
  <c r="B27" i="16" s="1"/>
  <c r="A31" i="16"/>
  <c r="C27" i="16"/>
  <c r="D22" i="16"/>
  <c r="D27" i="16" s="1"/>
  <c r="E27" i="16"/>
  <c r="F27" i="16"/>
  <c r="G27" i="16"/>
  <c r="H27" i="16"/>
  <c r="I27" i="16"/>
  <c r="J27" i="16"/>
  <c r="B9" i="15"/>
  <c r="B6" i="15"/>
  <c r="D23" i="15"/>
  <c r="D29" i="15" s="1"/>
  <c r="C24" i="15"/>
  <c r="C29" i="15" s="1"/>
  <c r="E29" i="15"/>
  <c r="F29" i="15"/>
  <c r="G29" i="15"/>
  <c r="H29" i="15"/>
  <c r="I29" i="15"/>
  <c r="J29" i="15"/>
  <c r="A33" i="15"/>
  <c r="B28" i="14"/>
  <c r="E15" i="14"/>
  <c r="E28" i="14" s="1"/>
  <c r="D22" i="14"/>
  <c r="D28" i="14" s="1"/>
  <c r="A32" i="14"/>
  <c r="C28" i="14"/>
  <c r="F28" i="14"/>
  <c r="G28" i="14"/>
  <c r="H28" i="14"/>
  <c r="I28" i="14"/>
  <c r="J28" i="14"/>
  <c r="A32" i="13"/>
  <c r="B24" i="13"/>
  <c r="B28" i="13" s="1"/>
  <c r="C28" i="13"/>
  <c r="D28" i="13"/>
  <c r="E28" i="13"/>
  <c r="F28" i="13"/>
  <c r="G28" i="13"/>
  <c r="H28" i="13"/>
  <c r="I28" i="13"/>
  <c r="J28" i="13"/>
  <c r="A32" i="12"/>
  <c r="J28" i="12"/>
  <c r="I28" i="12"/>
  <c r="H28" i="12"/>
  <c r="G28" i="12"/>
  <c r="F28" i="12"/>
  <c r="E28" i="12"/>
  <c r="B28" i="12"/>
  <c r="C28" i="12"/>
  <c r="D28" i="12"/>
  <c r="A32" i="11"/>
  <c r="J28" i="11"/>
  <c r="I28" i="11"/>
  <c r="H28" i="11"/>
  <c r="G28" i="11"/>
  <c r="F28" i="11"/>
  <c r="E28" i="11"/>
  <c r="D28" i="11"/>
  <c r="C28" i="11"/>
  <c r="B28" i="11"/>
  <c r="A32" i="10"/>
  <c r="B27" i="10"/>
  <c r="B28" i="10" s="1"/>
  <c r="J28" i="10"/>
  <c r="I28" i="10"/>
  <c r="H28" i="10"/>
  <c r="G28" i="10"/>
  <c r="F28" i="10"/>
  <c r="E28" i="10"/>
  <c r="D28" i="10"/>
  <c r="C28" i="10"/>
  <c r="B25" i="9"/>
  <c r="C25" i="9"/>
  <c r="D25" i="9"/>
  <c r="E25" i="9"/>
  <c r="F25" i="9"/>
  <c r="G25" i="9"/>
  <c r="H25" i="9"/>
  <c r="I25" i="9"/>
  <c r="J25" i="9"/>
  <c r="A29" i="9"/>
  <c r="A28" i="8"/>
  <c r="C24" i="8"/>
  <c r="D24" i="8"/>
  <c r="E24" i="8"/>
  <c r="F24" i="8"/>
  <c r="G24" i="8"/>
  <c r="H24" i="8"/>
  <c r="I24" i="8"/>
  <c r="J24" i="8"/>
  <c r="B24" i="8"/>
  <c r="B35" i="7"/>
  <c r="I35" i="7"/>
  <c r="A39" i="7"/>
  <c r="J35" i="7"/>
  <c r="H35" i="7"/>
  <c r="G35" i="7"/>
  <c r="F35" i="7"/>
  <c r="E35" i="7"/>
  <c r="D35" i="7"/>
  <c r="C35" i="7"/>
  <c r="I31" i="6"/>
  <c r="H31" i="6"/>
  <c r="G31" i="6"/>
  <c r="F31" i="6"/>
  <c r="E31" i="6"/>
  <c r="D31" i="6"/>
  <c r="C31" i="6"/>
  <c r="B31" i="6"/>
  <c r="A35" i="6"/>
  <c r="A37" i="5"/>
  <c r="I33" i="5"/>
  <c r="H33" i="5"/>
  <c r="G33" i="5"/>
  <c r="F33" i="5"/>
  <c r="E33" i="5"/>
  <c r="D33" i="5"/>
  <c r="C33" i="5"/>
  <c r="B33" i="5"/>
  <c r="A36" i="4"/>
  <c r="I32" i="4"/>
  <c r="H32" i="4"/>
  <c r="G32" i="4"/>
  <c r="F32" i="4"/>
  <c r="E32" i="4"/>
  <c r="D32" i="4"/>
  <c r="C32" i="4"/>
  <c r="B32" i="4"/>
  <c r="C33" i="3"/>
  <c r="A37" i="3"/>
  <c r="I33" i="3"/>
  <c r="H33" i="3"/>
  <c r="G33" i="3"/>
  <c r="F33" i="3"/>
  <c r="D33" i="3"/>
  <c r="B33" i="3"/>
  <c r="E33" i="3"/>
  <c r="E25" i="2"/>
  <c r="E33" i="2" s="1"/>
  <c r="A37" i="2"/>
  <c r="I33" i="2"/>
  <c r="H33" i="2"/>
  <c r="G33" i="2"/>
  <c r="F33" i="2"/>
  <c r="D33" i="2"/>
  <c r="C33" i="2"/>
  <c r="B33" i="2"/>
  <c r="A36" i="1"/>
  <c r="I32" i="1"/>
  <c r="H32" i="1"/>
  <c r="G32" i="1"/>
  <c r="F32" i="1"/>
  <c r="E32" i="1"/>
  <c r="D32" i="1"/>
  <c r="C32" i="1"/>
  <c r="B32" i="1"/>
  <c r="B48" i="45" l="1"/>
  <c r="B29" i="15"/>
  <c r="K29" i="15" s="1"/>
  <c r="B48" i="32"/>
  <c r="K40" i="24"/>
  <c r="K28" i="13"/>
  <c r="K24" i="8"/>
  <c r="B47" i="39"/>
  <c r="J33" i="5"/>
  <c r="K39" i="25"/>
  <c r="B47" i="43"/>
  <c r="B50" i="46"/>
  <c r="B52" i="47"/>
  <c r="J33" i="2"/>
  <c r="K28" i="10"/>
  <c r="K27" i="16"/>
  <c r="B52" i="49"/>
  <c r="B49" i="36"/>
  <c r="B47" i="33"/>
  <c r="B47" i="38"/>
  <c r="K28" i="12"/>
  <c r="B47" i="37"/>
  <c r="K41" i="22"/>
  <c r="B52" i="51"/>
  <c r="B52" i="52"/>
  <c r="K28" i="11"/>
  <c r="K35" i="7"/>
  <c r="K40" i="21"/>
  <c r="K38" i="26"/>
  <c r="B47" i="35"/>
  <c r="B46" i="42"/>
  <c r="K25" i="9"/>
  <c r="K29" i="18"/>
  <c r="J33" i="3"/>
  <c r="B52" i="48"/>
  <c r="B52" i="53"/>
  <c r="K29" i="17"/>
  <c r="K40" i="23"/>
  <c r="J32" i="4"/>
  <c r="J32" i="1"/>
  <c r="J31" i="6"/>
  <c r="K40" i="20"/>
  <c r="B51" i="50"/>
  <c r="B48" i="44"/>
  <c r="K28" i="14"/>
  <c r="E40" i="19"/>
  <c r="K40" i="19" s="1"/>
  <c r="D58" i="67" l="1"/>
  <c r="D60" i="76"/>
  <c r="D68" i="76" s="1"/>
  <c r="C57" i="66" l="1"/>
  <c r="C58" i="66"/>
  <c r="C57" i="65"/>
  <c r="C58" i="6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tc={F00D15CA-16B1-6C47-8B21-2555CFE27188}</author>
  </authors>
  <commentList>
    <comment ref="M24" authorId="0" shapeId="0" xr:uid="{F00D15CA-16B1-6C47-8B21-2555CFE271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tc={3E25A0B6-C52B-624C-8278-6B9005A3EDFE}</author>
  </authors>
  <commentList>
    <comment ref="M23" authorId="0" shapeId="0" xr:uid="{3E25A0B6-C52B-624C-8278-6B9005A3ED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tc={3FAB175F-A6CB-9A49-9926-077959751C44}</author>
  </authors>
  <commentList>
    <comment ref="M22" authorId="0" shapeId="0" xr:uid="{3FAB175F-A6CB-9A49-9926-077959751C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tc={8215B4C3-2F35-294D-9A38-15E043F016CD}</author>
  </authors>
  <commentList>
    <comment ref="M22" authorId="0" shapeId="0" xr:uid="{8215B4C3-2F35-294D-9A38-15E043F016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tc={3BD968B0-5918-CF4E-B225-DA9988D91B4D}</author>
  </authors>
  <commentList>
    <comment ref="M22" authorId="0" shapeId="0" xr:uid="{3BD968B0-5918-CF4E-B225-DA9988D91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tc={0E088675-12C6-0D4F-8E01-3F55F9AF7824}</author>
  </authors>
  <commentList>
    <comment ref="M22" authorId="0" shapeId="0" xr:uid="{0E088675-12C6-0D4F-8E01-3F55F9AF78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tc={F4987CDC-B9A6-8E4E-A2F8-7546485F8000}</author>
  </authors>
  <commentList>
    <comment ref="M22" authorId="0" shapeId="0" xr:uid="{F4987CDC-B9A6-8E4E-A2F8-7546485F8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tc={D9A8EBF8-9E2F-3D41-9764-802B762CB717}</author>
  </authors>
  <commentList>
    <comment ref="M22" authorId="0" shapeId="0" xr:uid="{D9A8EBF8-9E2F-3D41-9764-802B762CB7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tc={40552240-5F42-7246-BD2E-631E23BD9DCA}</author>
  </authors>
  <commentList>
    <comment ref="M21" authorId="0" shapeId="0" xr:uid="{40552240-5F42-7246-BD2E-631E23BD9D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tc={6A9F570E-4583-3C4F-866C-DF1EB746CAE4}</author>
  </authors>
  <commentList>
    <comment ref="M21" authorId="0" shapeId="0" xr:uid="{6A9F570E-4583-3C4F-866C-DF1EB746CA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tc={8F81F823-8795-2E4C-BB0A-1E6451510E1F}</author>
  </authors>
  <commentList>
    <comment ref="M21" authorId="0" shapeId="0" xr:uid="{8F81F823-8795-2E4C-BB0A-1E6451510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tc={D0286032-B5CF-7148-9339-EC62D9053A07}</author>
  </authors>
  <commentList>
    <comment ref="M21" authorId="0" shapeId="0" xr:uid="{D0286032-B5CF-7148-9339-EC62D9053A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tc={D78CCC5E-3ECB-2244-B123-426A0D49BB04}</author>
  </authors>
  <commentList>
    <comment ref="M22" authorId="0" shapeId="0" xr:uid="{D78CCC5E-3ECB-2244-B123-426A0D49BB0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tc={75D4AF74-8368-9047-A618-D7F3363D5720}</author>
  </authors>
  <commentList>
    <comment ref="M22" authorId="0" shapeId="0" xr:uid="{75D4AF74-8368-9047-A618-D7F3363D57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ee deduction??</t>
      </text>
    </comment>
  </commentList>
</comments>
</file>

<file path=xl/sharedStrings.xml><?xml version="1.0" encoding="utf-8"?>
<sst xmlns="http://schemas.openxmlformats.org/spreadsheetml/2006/main" count="20205" uniqueCount="1173">
  <si>
    <t>Kai Ming Head Start</t>
  </si>
  <si>
    <t>Broadway</t>
  </si>
  <si>
    <t>Adm</t>
  </si>
  <si>
    <t>Mgmt</t>
  </si>
  <si>
    <t>Geary</t>
  </si>
  <si>
    <t>N.B.</t>
  </si>
  <si>
    <t>TKL</t>
    <phoneticPr fontId="0" type="noConversion"/>
  </si>
  <si>
    <t>RM</t>
  </si>
  <si>
    <t>Sunset</t>
  </si>
  <si>
    <t>Bandelaria, Evelyn A</t>
  </si>
  <si>
    <t>Cheng, XiaoLi</t>
  </si>
  <si>
    <t>Crayne, Masha</t>
    <phoneticPr fontId="0" type="noConversion"/>
  </si>
  <si>
    <t>Deng, Li Mei</t>
  </si>
  <si>
    <t>Heung, S.</t>
  </si>
  <si>
    <t xml:space="preserve"> </t>
    <phoneticPr fontId="0" type="noConversion"/>
  </si>
  <si>
    <t>Hoi, Shermond</t>
    <phoneticPr fontId="0" type="noConversion"/>
  </si>
  <si>
    <t>Huang, May X</t>
  </si>
  <si>
    <t>Jones, Steve G</t>
  </si>
  <si>
    <t>Kong, V.</t>
  </si>
  <si>
    <t>Kwan, Chi Ho</t>
  </si>
  <si>
    <t>Kwong, L.</t>
  </si>
  <si>
    <t>Latouf, Brigitte</t>
  </si>
  <si>
    <t>Layug, Vilma A</t>
  </si>
  <si>
    <t>Lee, Nessanna</t>
    <phoneticPr fontId="0" type="noConversion"/>
  </si>
  <si>
    <t>Lei, K.</t>
  </si>
  <si>
    <t>Leung, S.</t>
  </si>
  <si>
    <t>Li, Mei H</t>
  </si>
  <si>
    <t>Osias, Josefina o</t>
  </si>
  <si>
    <t>Tan, Hua Y</t>
  </si>
  <si>
    <t>Washington, Linda</t>
  </si>
  <si>
    <t>Wei, Qing Kui</t>
  </si>
  <si>
    <t>Williams, B.</t>
  </si>
  <si>
    <t xml:space="preserve"> </t>
  </si>
  <si>
    <t>Wu, Yue Xia</t>
  </si>
  <si>
    <t>Xie, Wen Fang</t>
  </si>
  <si>
    <t>Zhong, P.</t>
  </si>
  <si>
    <t>Adjustment</t>
  </si>
  <si>
    <t>Total</t>
  </si>
  <si>
    <t>Broadway</t>
    <phoneticPr fontId="0" type="noConversion"/>
  </si>
  <si>
    <t>Kaiser July, 2014</t>
  </si>
  <si>
    <t>Kaiser August, 2014</t>
  </si>
  <si>
    <t>Velasco, Rowena</t>
  </si>
  <si>
    <t>Kaiser September, 2014</t>
  </si>
  <si>
    <t>Kaiser October, 2014</t>
  </si>
  <si>
    <t>Kaiser November, 2014</t>
  </si>
  <si>
    <t>Cha, Jee Y</t>
  </si>
  <si>
    <t>Jones, Steve</t>
  </si>
  <si>
    <t>Kaiser December, 2014</t>
  </si>
  <si>
    <t>Dong, Ruifang</t>
  </si>
  <si>
    <t>Cain, Jerry</t>
  </si>
  <si>
    <t>Gallo, Frank</t>
  </si>
  <si>
    <t>St. Luke</t>
  </si>
  <si>
    <t>St. L</t>
  </si>
  <si>
    <t>Tsai, Ting-I</t>
  </si>
  <si>
    <t>Wu, Linda</t>
  </si>
  <si>
    <t>Kaiser February, 2015</t>
  </si>
  <si>
    <t>Kaiser January, 2015</t>
  </si>
  <si>
    <t>Kaiser March 2015</t>
  </si>
  <si>
    <t>Bredenberg, Sopheavy</t>
  </si>
  <si>
    <t>Wong, Tony K</t>
  </si>
  <si>
    <t>Kaiser April 2015</t>
  </si>
  <si>
    <t>Altmann, Catalina</t>
  </si>
  <si>
    <t>Chan, Lauren</t>
  </si>
  <si>
    <t>Lee, Shu Mei</t>
  </si>
  <si>
    <t>Shervchenko Crayne, Masha</t>
  </si>
  <si>
    <t>Kaiser May 2015</t>
  </si>
  <si>
    <t>Kaiser June 2015</t>
  </si>
  <si>
    <t>Kaiser July 2015</t>
  </si>
  <si>
    <t>Kaiser Aug 2015</t>
  </si>
  <si>
    <t>James, Eugenia</t>
  </si>
  <si>
    <t xml:space="preserve">Need to claim back Ting Tsai's premium, her last day is in June. </t>
  </si>
  <si>
    <t>Kaiser Sep 2015</t>
  </si>
  <si>
    <t>Calvit, Easter</t>
  </si>
  <si>
    <t>Kaiser Oct 2015</t>
  </si>
  <si>
    <t>Need to claim back Catalina Altmann's additional premium due to adding her husband by error</t>
  </si>
  <si>
    <t>Kaiser Nov 2015</t>
  </si>
  <si>
    <t>Chen, Hui</t>
  </si>
  <si>
    <t>Need to claim back Masha and her baby's premium</t>
  </si>
  <si>
    <t>Wynant, Carine</t>
  </si>
  <si>
    <t>Kaiser Dec 2015</t>
  </si>
  <si>
    <t>Wolfe, Phranda</t>
  </si>
  <si>
    <t>This includes the credit back from Catalina Altmann's additional premium due to adding her husband by error</t>
  </si>
  <si>
    <t>Includes the credit back from Masha and her baby's premium</t>
  </si>
  <si>
    <t>Kaiser Jan 2016</t>
  </si>
  <si>
    <t>Fong, Sarah + 3 kids</t>
  </si>
  <si>
    <t>Huang, May Xu</t>
  </si>
  <si>
    <t>Kwong, Lilly</t>
  </si>
  <si>
    <t>Layug, Vilma</t>
  </si>
  <si>
    <t>Lei, Kun Fun</t>
  </si>
  <si>
    <t>Mendoza, Vanessa</t>
  </si>
  <si>
    <t>Tan, Hua Yue</t>
  </si>
  <si>
    <t>Yeung, Wing</t>
  </si>
  <si>
    <t>Zhang, Rosa</t>
  </si>
  <si>
    <t>The adjustment is the retroactive dues for the new members we added in December</t>
  </si>
  <si>
    <t>Kaiser Feb 2016</t>
  </si>
  <si>
    <t>Dec</t>
  </si>
  <si>
    <t>Jan</t>
  </si>
  <si>
    <t>Feb</t>
  </si>
  <si>
    <t>Three months</t>
  </si>
  <si>
    <t>Credits</t>
  </si>
  <si>
    <t>Need to pay Kaiser</t>
  </si>
  <si>
    <t>Platinum Plan</t>
  </si>
  <si>
    <t>Gold Plan</t>
  </si>
  <si>
    <t>Kaiser March 2016</t>
  </si>
  <si>
    <t>Sequeria, Guillermo</t>
  </si>
  <si>
    <t>Kaiser April 2016</t>
  </si>
  <si>
    <t>Notes:</t>
  </si>
  <si>
    <t>Chen, Hui's last day is on Feb 12, so -359.02 is the credit back for the month of Feb.</t>
  </si>
  <si>
    <t>Sequeria, Guillermo's first day is on Jan 4, so $2512.77 includes the retro due for Feb and March.</t>
  </si>
  <si>
    <t>Kaiser May 2016</t>
  </si>
  <si>
    <t>We need to claim back the $441.60 because Vanessa Mendoza is no longer with Kai Ming effective March 25.</t>
  </si>
  <si>
    <t>Kaiser June 2016</t>
  </si>
  <si>
    <t>883.20 is for the retro credit for Vanessa Mendoza</t>
  </si>
  <si>
    <t>Kaiser July 2016</t>
  </si>
  <si>
    <t>416.10 is for the retro credit for Linda Wu</t>
  </si>
  <si>
    <t>Kaiser Aug 2016</t>
  </si>
  <si>
    <t>Adjustment 8730.69 is the total retro cost for all the FDPY staff whose plan were cancled in July</t>
  </si>
  <si>
    <t>Kaiser Sep 2016</t>
  </si>
  <si>
    <t xml:space="preserve">Fong, Sarah </t>
  </si>
  <si>
    <t>Credit</t>
  </si>
  <si>
    <t>Retro Dues</t>
  </si>
  <si>
    <t>Retro due is for the FDPY staff in the month of August. Adjustment is the separate invoice for Shermond Hoi (COBRA)</t>
  </si>
  <si>
    <t>Need to check Luis Joven, should be enrolled Aug 1</t>
  </si>
  <si>
    <t>Need to claim back May Xu huang and Carine Wynant and Rosa Zhang's premium for August and Sep</t>
  </si>
  <si>
    <t>Kaiser OCT 2016</t>
  </si>
  <si>
    <t>Joven, Luis</t>
  </si>
  <si>
    <t>Ou, Hui Shan</t>
  </si>
  <si>
    <t>Retro due is Shermond Hoi, May Xu Huang, Luis Joven and Hui Shan Ou</t>
  </si>
  <si>
    <t>Need to claim back Luis Joven, Carine Wynant and Rosa Zhang's credit because they all resigned.</t>
  </si>
  <si>
    <t>Adjustment is for Shermond Hoi's COBRA Fee during July, 2016</t>
  </si>
  <si>
    <t>Notes</t>
  </si>
  <si>
    <t>Kaiser Nov 2016</t>
  </si>
  <si>
    <t>Bui,Elisa</t>
  </si>
  <si>
    <t>Liang, Julie</t>
  </si>
  <si>
    <t>Tan, Xiao Rong</t>
  </si>
  <si>
    <t>Need to claim back Luis Joven's credit because he resigned.</t>
  </si>
  <si>
    <t xml:space="preserve">Adjustment is for Elisa, Julie, Xiaorong, Wynant and Rosa. </t>
  </si>
  <si>
    <t>Kaiser Dec 2016</t>
  </si>
  <si>
    <t>Davis, Timothy</t>
  </si>
  <si>
    <t>Adjustment is for Timothy &amp; Allison's retro due for Oct and Nov, and also Luis's credit back for Oct and Nov.</t>
  </si>
  <si>
    <t>NEW RATE</t>
  </si>
  <si>
    <t>Mayrena, Allison + Mayrena, Nadirah</t>
  </si>
  <si>
    <t>Kaiser Jan 2017</t>
  </si>
  <si>
    <t>Cabrera, Elenor</t>
  </si>
  <si>
    <t>Gibbs-Khan, Takiyah &amp; Khan, Nizam</t>
  </si>
  <si>
    <t>Adjustment is retrodue for Elenor Cabrera (Nov + Dec), Joanna Lin ( Nov) and extra enrollee that was an error ( Gibbs-Khan, Takiyah &amp; Khan, Nizam)</t>
  </si>
  <si>
    <t>Need to remove Gibbs K, Takiyah &amp; Khan, Nizam and Eugenia James (termed in Nov)</t>
  </si>
  <si>
    <t>Kaiser Feb 2017</t>
  </si>
  <si>
    <t>Li, Mei Hong</t>
  </si>
  <si>
    <t>Liu, LiTing</t>
  </si>
  <si>
    <t>Wong, Vivian</t>
  </si>
  <si>
    <t>Liu, YanChun</t>
  </si>
  <si>
    <t>Deng, Li Mei + 1 child</t>
  </si>
  <si>
    <t>Adjustment is retrodue for the highlighted staff, see above and invoice.</t>
  </si>
  <si>
    <t>Kaiser March 2017</t>
  </si>
  <si>
    <t>Fong, Sarah + 1 Child</t>
  </si>
  <si>
    <t>Jones, Lauren</t>
  </si>
  <si>
    <t>Wilson, Pamela</t>
  </si>
  <si>
    <t>Kaiser April  2017</t>
  </si>
  <si>
    <t>Kaiser May 2017</t>
  </si>
  <si>
    <t>Li, Juan</t>
  </si>
  <si>
    <t>Ward, Robert</t>
  </si>
  <si>
    <t>P</t>
  </si>
  <si>
    <t>Kaiser June 2017</t>
  </si>
  <si>
    <t>Kaiser July 2017</t>
  </si>
  <si>
    <t>Adjustment is retro credit for the part year staff, see above and invoice.</t>
  </si>
  <si>
    <t>Kaiser Aug 2017</t>
  </si>
  <si>
    <t>Kaiser Oct 2017</t>
  </si>
  <si>
    <t>Lei, Iok Chan</t>
  </si>
  <si>
    <t>Dong, Ruifang + Child</t>
  </si>
  <si>
    <t>Murray, Carlene</t>
  </si>
  <si>
    <t>Adjustment is retrodue for the part year staff and 2 new hires. ( Aug and Sep)</t>
  </si>
  <si>
    <t>Need to ask broker about Sarah Fong, why dependent was removed?</t>
  </si>
  <si>
    <t>And need to change Iok Chan Lei's name to the correct one</t>
  </si>
  <si>
    <t>Kaiser Nov 2017</t>
  </si>
  <si>
    <t>Solomon, Dalul</t>
  </si>
  <si>
    <t>Adjustment is retrodue for new hire Dalul Solomon (Sep and Oct)</t>
  </si>
  <si>
    <t>Kaiser Dec 2017</t>
  </si>
  <si>
    <t>New Rate</t>
  </si>
  <si>
    <t>Dong, Ruifang + 1 Child</t>
  </si>
  <si>
    <t>Mayrena, Allison + 1 Child</t>
  </si>
  <si>
    <t>Deng, Li Mei + 1 Child</t>
  </si>
  <si>
    <t>Kaiser Jan 2018</t>
  </si>
  <si>
    <t>Liang, Hui Fang</t>
  </si>
  <si>
    <t>Vegas, Edna</t>
  </si>
  <si>
    <t>Kaiser Feb 2018</t>
  </si>
  <si>
    <t>Gregory, Alec</t>
  </si>
  <si>
    <t>Li, Kelly +1 Child</t>
  </si>
  <si>
    <t xml:space="preserve">Adjustment is for retro due for Alec Gregory and Kelly Li and her dependent (Month of Dec and Jan); also 3029.84 was not paid in Jan invoice, so it's reflected as adjustment for this month. </t>
  </si>
  <si>
    <t>Kaiser Mar 2018</t>
  </si>
  <si>
    <t xml:space="preserve">Note: need to claim back Juan Li's premium, she should have been termed. </t>
  </si>
  <si>
    <t>Kaiser April 2018</t>
  </si>
  <si>
    <t>Kaiser May 2018</t>
  </si>
  <si>
    <t>Li, Xiao Feng</t>
  </si>
  <si>
    <t>Hui Chen, Yan</t>
  </si>
  <si>
    <t>Kaiser June 2018</t>
  </si>
  <si>
    <t>Kaiser Jul 2018</t>
  </si>
  <si>
    <t>Song, Zilong</t>
  </si>
  <si>
    <t>Note: Ajustment is for the retro due for Song, Zilong's premium in June and May</t>
  </si>
  <si>
    <t>Kaiser August 2018</t>
  </si>
  <si>
    <t>Note: Ajustment is for the retro credit for Elenor Cabrera's premium in June and July</t>
  </si>
  <si>
    <t>Cai, Miley</t>
  </si>
  <si>
    <t>Chen, Yan Hui</t>
  </si>
  <si>
    <t>Cheng, Luo</t>
  </si>
  <si>
    <t>Cheng, Siu Yan</t>
  </si>
  <si>
    <t>Emama, Anita Etafa</t>
  </si>
  <si>
    <t>Kekulawela, Sudarma</t>
  </si>
  <si>
    <t>Sun, Catherine</t>
  </si>
  <si>
    <t>Kaiser December 2018</t>
  </si>
  <si>
    <t>Cheung, Frank</t>
  </si>
  <si>
    <t>Kaiser January 2019</t>
  </si>
  <si>
    <t>Note: Adjustment is for Frank Cheung (new hire) and Liting Liu (waived), and the previous due of $1997.64</t>
  </si>
  <si>
    <t>Kaiser February 2019</t>
  </si>
  <si>
    <t>Huang, ShuLing</t>
  </si>
  <si>
    <t>Radusky, Rene</t>
  </si>
  <si>
    <t>Yu, Xiu</t>
  </si>
  <si>
    <t xml:space="preserve">                            </t>
  </si>
  <si>
    <t>Kaiser March 2019</t>
  </si>
  <si>
    <t>Kaiser April 2019</t>
  </si>
  <si>
    <t>Mach, Cindy</t>
  </si>
  <si>
    <t xml:space="preserve">The adjustment is for retro credit for Shuling Huang (Feb and March), </t>
  </si>
  <si>
    <t>also for retro dues for Cindy Mach (Feb and March)</t>
  </si>
  <si>
    <t xml:space="preserve">Paid for March payment </t>
  </si>
  <si>
    <t xml:space="preserve">Pay period: </t>
  </si>
  <si>
    <t>Premium</t>
  </si>
  <si>
    <t>Name</t>
  </si>
  <si>
    <t>#</t>
  </si>
  <si>
    <t>Note</t>
  </si>
  <si>
    <t>Kong, Venus</t>
  </si>
  <si>
    <t>Kwong, Lily</t>
  </si>
  <si>
    <t>Heung, Sonia</t>
  </si>
  <si>
    <t>Li, Kelly</t>
  </si>
  <si>
    <t>Leung, Susanna</t>
  </si>
  <si>
    <t>Osias, Josefina</t>
  </si>
  <si>
    <t>Hoi, Shermond</t>
  </si>
  <si>
    <t>Lee, Nesanna</t>
  </si>
  <si>
    <t>Fong, Sarah</t>
  </si>
  <si>
    <t>Huang, Zixin</t>
  </si>
  <si>
    <t>Williams, Beverly</t>
  </si>
  <si>
    <t>Li, Yihao</t>
  </si>
  <si>
    <t xml:space="preserve">newly added </t>
  </si>
  <si>
    <t>Dependent</t>
  </si>
  <si>
    <t>Total dependents</t>
  </si>
  <si>
    <t>Total employees</t>
  </si>
  <si>
    <t>Retroative fee</t>
  </si>
  <si>
    <t>Dependent?</t>
  </si>
  <si>
    <t xml:space="preserve">Total enrolled </t>
  </si>
  <si>
    <t>From</t>
  </si>
  <si>
    <t>To</t>
  </si>
  <si>
    <t>Kaiser Permanente Insurance</t>
  </si>
  <si>
    <t xml:space="preserve">Processed date: </t>
  </si>
  <si>
    <t>By</t>
  </si>
  <si>
    <t>Catherine Du</t>
  </si>
  <si>
    <t>Sub Total</t>
  </si>
  <si>
    <t>Chan Xu, Fany G</t>
  </si>
  <si>
    <t xml:space="preserve">Du, Qianwei </t>
  </si>
  <si>
    <t>added dependent</t>
  </si>
  <si>
    <t>Retroacive Adjustment</t>
  </si>
  <si>
    <t>Total enrolled employees</t>
  </si>
  <si>
    <t xml:space="preserve">Total Retroactive Adjustment </t>
  </si>
  <si>
    <t xml:space="preserve">1 month </t>
  </si>
  <si>
    <t xml:space="preserve">2 months </t>
  </si>
  <si>
    <t>3 months</t>
  </si>
  <si>
    <t>June 2019</t>
  </si>
  <si>
    <t xml:space="preserve">Credit back </t>
  </si>
  <si>
    <t xml:space="preserve">Payment Adjistment </t>
  </si>
  <si>
    <t xml:space="preserve">Ratro last payment </t>
  </si>
  <si>
    <t>July 2019</t>
  </si>
  <si>
    <t>Luo, Cheng</t>
  </si>
  <si>
    <t>Du, Qianwei</t>
  </si>
  <si>
    <t>Li, Xiaofeng</t>
  </si>
  <si>
    <t>Liu, Yan Chun</t>
  </si>
  <si>
    <t>Sequeira, Guillermo A</t>
  </si>
  <si>
    <t>Vargas, Edna Jean</t>
  </si>
  <si>
    <t>August 2019</t>
  </si>
  <si>
    <t>Terminated</t>
  </si>
  <si>
    <t>Retired</t>
  </si>
  <si>
    <t>added her daughter</t>
  </si>
  <si>
    <t xml:space="preserve">Separation </t>
  </si>
  <si>
    <t>Part time</t>
  </si>
  <si>
    <t>retro 2 months</t>
  </si>
  <si>
    <t>September 2019</t>
  </si>
  <si>
    <t>Conley, Mercedes</t>
  </si>
  <si>
    <t>Newly added</t>
  </si>
  <si>
    <t>Rivera, Gabriela</t>
  </si>
  <si>
    <t>Retro 2 months</t>
  </si>
  <si>
    <t>Retro 1 months</t>
  </si>
  <si>
    <t>Lui, Sina W</t>
  </si>
  <si>
    <t>Wang, Shu Fen</t>
  </si>
  <si>
    <t>STEP</t>
  </si>
  <si>
    <t>Liu, Liting</t>
  </si>
  <si>
    <t>Gonzalez, Eugenia</t>
  </si>
  <si>
    <t>Waived</t>
  </si>
  <si>
    <t>Retro</t>
  </si>
  <si>
    <t xml:space="preserve">Lobato-Flores, Nathalie </t>
  </si>
  <si>
    <t>Newly hired</t>
  </si>
  <si>
    <t>x</t>
  </si>
  <si>
    <t>Gil, Douglas</t>
  </si>
  <si>
    <t>Hwang, Yutim</t>
  </si>
  <si>
    <t>Newly enrolled</t>
  </si>
  <si>
    <t>will drop dependent</t>
  </si>
  <si>
    <t>Quan, Lan Thitu</t>
  </si>
  <si>
    <t xml:space="preserve">Open enrollment </t>
  </si>
  <si>
    <t>Newly hired in Jan</t>
  </si>
  <si>
    <t>Newly hired in Oct 19</t>
  </si>
  <si>
    <t>Terminated in Oct</t>
  </si>
  <si>
    <t xml:space="preserve">add one child? </t>
  </si>
  <si>
    <t>added one child</t>
  </si>
  <si>
    <t>Hu, Alvin</t>
  </si>
  <si>
    <t>Lin, Cindy</t>
  </si>
  <si>
    <t>Retro, added one child</t>
  </si>
  <si>
    <t>Credit, dropped one child</t>
  </si>
  <si>
    <t>Dropped dependent</t>
  </si>
  <si>
    <t>Kai Ming Total:</t>
  </si>
  <si>
    <t xml:space="preserve">STEP Total: </t>
  </si>
  <si>
    <t>Kai Ming and STEP Total</t>
  </si>
  <si>
    <t>Fu, Mei Hua</t>
  </si>
  <si>
    <t>New hired, effective 2/01/20</t>
  </si>
  <si>
    <t>Terminated in Feb</t>
  </si>
  <si>
    <t>Terminated in Feb, credit</t>
  </si>
  <si>
    <t xml:space="preserve">Take out for $648.39 </t>
  </si>
  <si>
    <t>Li, Ben G</t>
  </si>
  <si>
    <t xml:space="preserve">Wrong need to adject for next Payment </t>
  </si>
  <si>
    <t xml:space="preserve"> Total: </t>
  </si>
  <si>
    <t>Qiana Zhao</t>
  </si>
  <si>
    <t>Nguyen, Angel</t>
  </si>
  <si>
    <t>New Hire</t>
  </si>
  <si>
    <t>Li, Ben Gui</t>
  </si>
  <si>
    <t>Terminated on March 1, credit</t>
  </si>
  <si>
    <t>Li, Mei Hong, dependent Li, Katie</t>
  </si>
  <si>
    <t>Terminated on Feb 1, credit</t>
  </si>
  <si>
    <t>New Hire, retro due for two months</t>
  </si>
  <si>
    <t>Sabrina Dong</t>
  </si>
  <si>
    <t>Yu, Xinxin</t>
  </si>
  <si>
    <t>490.62/month</t>
  </si>
  <si>
    <t>Joseph, Stephanie, dependent Pitts, Layla</t>
  </si>
  <si>
    <t>Joseph, Stephanie</t>
  </si>
  <si>
    <t>Stacy Yu</t>
  </si>
  <si>
    <t>New Hire in March, added in May</t>
  </si>
  <si>
    <t>Previous balance in June</t>
  </si>
  <si>
    <t>Previous balance in July</t>
  </si>
  <si>
    <t>Previous is $1776.16, One dependent turns 26 in July</t>
  </si>
  <si>
    <t>Coverarge Period</t>
  </si>
  <si>
    <t>9/1-9/30/2020</t>
  </si>
  <si>
    <t>Tsai, Grace</t>
  </si>
  <si>
    <t>PT to FT, enrolled in July</t>
  </si>
  <si>
    <t>Retro due for July</t>
  </si>
  <si>
    <t>Retro due for August</t>
  </si>
  <si>
    <t>8/1-8/31/2020</t>
  </si>
  <si>
    <t>10/1 - 10/31/2020</t>
  </si>
  <si>
    <t>Zhao, Qiyun</t>
  </si>
  <si>
    <t>Credit back for September</t>
  </si>
  <si>
    <t>PT to FT in August, Retro due for August and September</t>
  </si>
  <si>
    <t>PT to FT, enrolled in August</t>
  </si>
  <si>
    <t>11/1-11/30/2020</t>
  </si>
  <si>
    <t>Added Spouse in Sepember</t>
  </si>
  <si>
    <t>Added Spouse in Sepember, retro pay for 2 months (Sep and Oct)</t>
  </si>
  <si>
    <t>12/1-12/31/2020</t>
  </si>
  <si>
    <t>New Rate as of Dec 2020</t>
  </si>
  <si>
    <t>Calvit, Easter M</t>
  </si>
  <si>
    <t>Terminated in Oct, credit back Nov payment</t>
  </si>
  <si>
    <t>Terminated in Oct, should credit back 2 months payment next time</t>
  </si>
  <si>
    <t>1/1-1/31/2021</t>
  </si>
  <si>
    <t>Terminated in Oct, credit back Dec payment</t>
  </si>
  <si>
    <t>2/1-2/28/2021</t>
  </si>
  <si>
    <t>Deng, Yu Lian</t>
  </si>
  <si>
    <t>Newly enroll in 2021 from UHC</t>
  </si>
  <si>
    <t>Dropping from Kaiser to UHC</t>
  </si>
  <si>
    <t>Mui, Aileen</t>
  </si>
  <si>
    <t>Newly enroll in 2021</t>
  </si>
  <si>
    <t>Enrolled in Kaiser in 2021, 2 Months retro payment</t>
  </si>
  <si>
    <t>Adding dependent in 2021</t>
  </si>
  <si>
    <t>Should retro payback 1 more month payment</t>
  </si>
  <si>
    <t>Adding dependent in 2021, 2 months retro paymemt</t>
  </si>
  <si>
    <t>3/1-3/31/2021</t>
  </si>
  <si>
    <t>Dropping her spouse</t>
  </si>
  <si>
    <t>Retro payback 1 month payment</t>
  </si>
  <si>
    <t>Dropping her spouse, 1 month retro payback, should retro one more month</t>
  </si>
  <si>
    <t>Terminated in Jan, retro payment</t>
  </si>
  <si>
    <t>04/01-04/30/2021</t>
  </si>
  <si>
    <t>05/01-05/31/2021</t>
  </si>
  <si>
    <t>06/01 - 06/30/2021</t>
  </si>
  <si>
    <t>New Hire in April, should be active next month</t>
  </si>
  <si>
    <t>07/01-07/30/2021</t>
  </si>
  <si>
    <t>Adding spouse effective in May, should pay back April's amount $569.96</t>
  </si>
  <si>
    <t>Adding spouse effective in May, should pay back April's amount $363.93</t>
  </si>
  <si>
    <t>Retro-payment of April and May</t>
  </si>
  <si>
    <t>Adding spouse effective in May</t>
  </si>
  <si>
    <t>Adding dependent effective in May</t>
  </si>
  <si>
    <t>New Hire effecive in May</t>
  </si>
  <si>
    <t>08/01-08/31/2021</t>
  </si>
  <si>
    <t>Pay back April's amount $569.96</t>
  </si>
  <si>
    <t>Pay back April's amount $363.93</t>
  </si>
  <si>
    <t>Hsu, Terisa</t>
  </si>
  <si>
    <t>Mckeithan, Sandra</t>
  </si>
  <si>
    <t>Retro-payment of June &amp; July, EE + 2 Children</t>
  </si>
  <si>
    <t>Retro-payment of June &amp; July, EE + 3 Children</t>
  </si>
  <si>
    <t>Terminated in May, retro credit of June &amp; July payment</t>
  </si>
  <si>
    <t>New Hire effecive in June</t>
  </si>
  <si>
    <t>Terminated in May</t>
  </si>
  <si>
    <t>09/01-09/30/2021</t>
  </si>
  <si>
    <t>Terminated in June, retro July and August Payment</t>
  </si>
  <si>
    <t xml:space="preserve">Retried in June, should retro back </t>
  </si>
  <si>
    <t>Terminated in June</t>
  </si>
  <si>
    <t>Retired in June, should retro back</t>
  </si>
  <si>
    <t>10/01-10/31/2021</t>
  </si>
  <si>
    <t xml:space="preserve">Retried in June, should retro back 2 months </t>
  </si>
  <si>
    <t>Retired in June, should retro back 2 months</t>
  </si>
  <si>
    <t>EE Code -don't delete please</t>
  </si>
  <si>
    <t>CHAN XU, FANY GIOPENG</t>
  </si>
  <si>
    <t>YEUNG, WING HO</t>
  </si>
  <si>
    <t>VARGAS, EDNA JEAN D</t>
  </si>
  <si>
    <t>MCKEITHAN, SANDY</t>
  </si>
  <si>
    <t>WONG, VIVIAN YICK MAN</t>
  </si>
  <si>
    <t>LUI, SINA WAIYING</t>
  </si>
  <si>
    <t>HSU, TERISA MINGYU</t>
  </si>
  <si>
    <t>LEUNG, SUSANNA WAI SAU</t>
  </si>
  <si>
    <t>FONG, SARAH R</t>
  </si>
  <si>
    <t>KWONG, LILY SAU</t>
  </si>
  <si>
    <t>VELASCO, ROWENA A</t>
  </si>
  <si>
    <t>LIU, YANCHUN</t>
  </si>
  <si>
    <t>CHAN, LAUREN Z</t>
  </si>
  <si>
    <t>LIANG, JULIE YU XIAN</t>
  </si>
  <si>
    <t>CAI, MILEY JIANYING</t>
  </si>
  <si>
    <t>11/01-11/30/2021</t>
  </si>
  <si>
    <t>MILEY JIANYING</t>
  </si>
  <si>
    <t>LAUREN Z</t>
  </si>
  <si>
    <t>Yan Hui</t>
  </si>
  <si>
    <t>Li Mei</t>
  </si>
  <si>
    <t>Yu Lian</t>
  </si>
  <si>
    <t>Ruifang</t>
  </si>
  <si>
    <t>SARAH R</t>
  </si>
  <si>
    <t>Douglas</t>
  </si>
  <si>
    <t>Heung</t>
  </si>
  <si>
    <t>Shermond</t>
  </si>
  <si>
    <t>TERISA MINGYU</t>
  </si>
  <si>
    <t>Huang</t>
  </si>
  <si>
    <t>Hwang</t>
  </si>
  <si>
    <t>Venus</t>
  </si>
  <si>
    <t>KWONG</t>
  </si>
  <si>
    <t>Nesanna</t>
  </si>
  <si>
    <t>Shu Mei</t>
  </si>
  <si>
    <t>Iok Chan</t>
  </si>
  <si>
    <t>Kun Fun</t>
  </si>
  <si>
    <t>LEUNG</t>
  </si>
  <si>
    <t>LIANG</t>
  </si>
  <si>
    <t>Liting</t>
  </si>
  <si>
    <t>YANCHUN</t>
  </si>
  <si>
    <t>SINA WAIYING</t>
  </si>
  <si>
    <t>Cindy</t>
  </si>
  <si>
    <t>Aileen</t>
  </si>
  <si>
    <t>Osias</t>
  </si>
  <si>
    <t>Lan Thitu</t>
  </si>
  <si>
    <t>Hua Yue</t>
  </si>
  <si>
    <t>Xiao Rong</t>
  </si>
  <si>
    <t>Shu Fen</t>
  </si>
  <si>
    <t>VIVIAN YICK MAN</t>
  </si>
  <si>
    <t>Wen Fang</t>
  </si>
  <si>
    <t>YEUNG</t>
  </si>
  <si>
    <t>Qiyun</t>
  </si>
  <si>
    <t>CHAN</t>
  </si>
  <si>
    <t>Cheng</t>
  </si>
  <si>
    <t>CAI</t>
  </si>
  <si>
    <t>Chen</t>
  </si>
  <si>
    <t>Deng</t>
  </si>
  <si>
    <t>Dong</t>
  </si>
  <si>
    <t>FONG</t>
  </si>
  <si>
    <t>Fu</t>
  </si>
  <si>
    <t>Gil</t>
  </si>
  <si>
    <t>Hoi</t>
  </si>
  <si>
    <t>HSU</t>
  </si>
  <si>
    <t>Kong</t>
  </si>
  <si>
    <t>Lee</t>
  </si>
  <si>
    <t>Lei</t>
  </si>
  <si>
    <t>Li</t>
  </si>
  <si>
    <t>Liu</t>
  </si>
  <si>
    <t>LIU</t>
  </si>
  <si>
    <t>Lobato-Flores</t>
  </si>
  <si>
    <t>LUI</t>
  </si>
  <si>
    <t>Mach</t>
  </si>
  <si>
    <t>MCKEITHAN</t>
  </si>
  <si>
    <t>Mui</t>
  </si>
  <si>
    <t>Nguyen</t>
  </si>
  <si>
    <t>Quan</t>
  </si>
  <si>
    <t>Rivera</t>
  </si>
  <si>
    <t>Sequeira</t>
  </si>
  <si>
    <t>Tan</t>
  </si>
  <si>
    <t>VARGAS</t>
  </si>
  <si>
    <t>VELASCO</t>
  </si>
  <si>
    <t>Wang</t>
  </si>
  <si>
    <t>Williams</t>
  </si>
  <si>
    <t>WONG</t>
  </si>
  <si>
    <t>Wu</t>
  </si>
  <si>
    <t>Xie</t>
  </si>
  <si>
    <t>Yu</t>
  </si>
  <si>
    <t>Zhao</t>
  </si>
  <si>
    <t>CHAN XU</t>
  </si>
  <si>
    <t>Luo</t>
  </si>
  <si>
    <t>Last Name</t>
  </si>
  <si>
    <t>First Name</t>
  </si>
  <si>
    <t xml:space="preserve">EE Code </t>
  </si>
  <si>
    <t>Mei Hua</t>
  </si>
  <si>
    <t>Sonia</t>
  </si>
  <si>
    <t>Zixin</t>
  </si>
  <si>
    <t>Yutim</t>
  </si>
  <si>
    <t>LILY SAU</t>
  </si>
  <si>
    <t>SUSANNA WAI SAU</t>
  </si>
  <si>
    <t>Xiaofeng</t>
  </si>
  <si>
    <t>Yihao</t>
  </si>
  <si>
    <t>JULIE YU XIAN</t>
  </si>
  <si>
    <t xml:space="preserve">Nathalie </t>
  </si>
  <si>
    <t>SANDY</t>
  </si>
  <si>
    <t>Angel</t>
  </si>
  <si>
    <t>Josefina</t>
  </si>
  <si>
    <t>Gabriela</t>
  </si>
  <si>
    <t>Guillermo A</t>
  </si>
  <si>
    <t>EDNA JEAN D</t>
  </si>
  <si>
    <t>ROWENA A</t>
  </si>
  <si>
    <t>Beverly</t>
  </si>
  <si>
    <t>Linda</t>
  </si>
  <si>
    <t>Yue Xia</t>
  </si>
  <si>
    <t>WING HO</t>
  </si>
  <si>
    <t>Xinxin</t>
  </si>
  <si>
    <t>FANY GIOPENG</t>
  </si>
  <si>
    <t>Terminated in Sep.</t>
  </si>
  <si>
    <t>Chan</t>
  </si>
  <si>
    <t>Fany</t>
  </si>
  <si>
    <t>Terminated in Sep. retro Oct's payment</t>
  </si>
  <si>
    <t>Retired in June, should retro back 3 months</t>
  </si>
  <si>
    <t>Jie Ling</t>
  </si>
  <si>
    <t>Zhu</t>
  </si>
  <si>
    <t>PT to FT effective Sep.</t>
  </si>
  <si>
    <t xml:space="preserve">Retried in June, should retro back 3 months </t>
  </si>
  <si>
    <t>Shaoling</t>
  </si>
  <si>
    <t>Zhang</t>
  </si>
  <si>
    <t>NH effective Sep</t>
  </si>
  <si>
    <t>Chong</t>
  </si>
  <si>
    <t>Victoria</t>
  </si>
  <si>
    <t>Sept and Oct payment</t>
  </si>
  <si>
    <t>12/01-12/31/2021</t>
  </si>
  <si>
    <t>New Rate as of Dec 2021</t>
  </si>
  <si>
    <t>Old Rate</t>
  </si>
  <si>
    <t>Gonzalez</t>
  </si>
  <si>
    <t>Eugenia</t>
  </si>
  <si>
    <t>Should be EE + 1 Child</t>
  </si>
  <si>
    <t>Retired in June</t>
  </si>
  <si>
    <t>Retro 5 months payment (July - Nov)</t>
  </si>
  <si>
    <t>Peterson Allen</t>
  </si>
  <si>
    <t>Ellen Ann</t>
  </si>
  <si>
    <t>New Hire in Oct, benefit effective in Nov</t>
  </si>
  <si>
    <t>New hire in Oct, Nov payment</t>
  </si>
  <si>
    <t>Ruan</t>
  </si>
  <si>
    <t>Shu Ying</t>
  </si>
  <si>
    <t>Retried in June</t>
  </si>
  <si>
    <t>Terminated in Oct.</t>
  </si>
  <si>
    <t>Terminated in Oct, retro Nov payment</t>
  </si>
  <si>
    <t>Brown</t>
  </si>
  <si>
    <t>Samar Beverly Brenda</t>
  </si>
  <si>
    <t>01/01 - 01/30/2022</t>
  </si>
  <si>
    <t>Retro payment of Nov and Dec</t>
  </si>
  <si>
    <t>Adjusted Rate after Jan 2022</t>
  </si>
  <si>
    <t>Dec 2021 Rate</t>
  </si>
  <si>
    <t>New Rate as of Jan 2022</t>
  </si>
  <si>
    <t>02/01 - 02/27/2022</t>
  </si>
  <si>
    <t>Amount charged this month</t>
  </si>
  <si>
    <t>Switch to CCHP</t>
  </si>
  <si>
    <t>Yan Ling</t>
  </si>
  <si>
    <t>Adding 1 dependent, should be $1016.08</t>
  </si>
  <si>
    <t>dropping 1 dependent, should be $1717.74</t>
  </si>
  <si>
    <t>Isis C.</t>
  </si>
  <si>
    <t>Cedeno Garcia</t>
  </si>
  <si>
    <t>Should be $1196.39 effective Jan</t>
  </si>
  <si>
    <t>Yanai</t>
  </si>
  <si>
    <t xml:space="preserve">Should be $1314.66 effective Dec </t>
  </si>
  <si>
    <t>Melanie</t>
  </si>
  <si>
    <t>Should be $592.36 effective Dec</t>
  </si>
  <si>
    <t>Eva Qihua</t>
  </si>
  <si>
    <t>Should be $1862.53 effective Dec</t>
  </si>
  <si>
    <t>Adding Spouse, should be $3176.01</t>
  </si>
  <si>
    <t>Adding Spouse, should be $1140.22</t>
  </si>
  <si>
    <t>Xiaolan</t>
  </si>
  <si>
    <t>Should be $1526.49 effective Dec</t>
  </si>
  <si>
    <t>PT to FT effective Dec, should be $1307.25</t>
  </si>
  <si>
    <t>03/01 - 03/31/2022</t>
  </si>
  <si>
    <t>2022 Rate</t>
  </si>
  <si>
    <t>Caamal</t>
  </si>
  <si>
    <t>Sasha K.</t>
  </si>
  <si>
    <t>New Hire in Jan</t>
  </si>
  <si>
    <t>New Hire in Jan, February payment</t>
  </si>
  <si>
    <t>EE+ 1 change back to EE only</t>
  </si>
  <si>
    <t>New Hire in Dec</t>
  </si>
  <si>
    <t>New Hire in Dec, Jan &amp; Feb Payment</t>
  </si>
  <si>
    <t>Terminated in Jan 2022</t>
  </si>
  <si>
    <t>New Hire in Nov</t>
  </si>
  <si>
    <t>New Hire in Nov, Jan &amp; Feb Payment</t>
  </si>
  <si>
    <t>Wrong, Switch to CCHP</t>
  </si>
  <si>
    <t>Adding Spouse</t>
  </si>
  <si>
    <t>PT to FT in Nov</t>
  </si>
  <si>
    <t>Past due payment</t>
  </si>
  <si>
    <t>04/01 - 04/30/2022</t>
  </si>
  <si>
    <t>*EE+ 1 change back to EE only</t>
  </si>
  <si>
    <t>*Wrong, terminated in Jan</t>
  </si>
  <si>
    <t>Wrong,Terminated in Jan 2022</t>
  </si>
  <si>
    <t>wrong, dropping 1 dependent, should be $1717.74</t>
  </si>
  <si>
    <t>05/01-05/31/2022</t>
  </si>
  <si>
    <t>change back to EE only</t>
  </si>
  <si>
    <t>EE+1 to EE only</t>
  </si>
  <si>
    <t>3 months retro payment</t>
  </si>
  <si>
    <t>Shuhua</t>
  </si>
  <si>
    <t>New Hire in Feb 2022</t>
  </si>
  <si>
    <t>Feb - April retro payment</t>
  </si>
  <si>
    <t>Mar - April retro payment</t>
  </si>
  <si>
    <t>dropping 1 dependent</t>
  </si>
  <si>
    <t>dropping spouse</t>
  </si>
  <si>
    <t>March &amp; April payment</t>
  </si>
  <si>
    <t>Coverted Retro Dues</t>
  </si>
  <si>
    <t>EE + 1</t>
  </si>
  <si>
    <t>EE+1</t>
  </si>
  <si>
    <t>Matus</t>
  </si>
  <si>
    <t>Nicole</t>
  </si>
  <si>
    <t>New Hire in April</t>
  </si>
  <si>
    <t>06/01-06/30/2022</t>
  </si>
  <si>
    <t>7/1-7/31/2022</t>
  </si>
  <si>
    <t>Payment different for May &amp; June</t>
  </si>
  <si>
    <t>Koyano</t>
  </si>
  <si>
    <t>Leena</t>
  </si>
  <si>
    <t>New Hire in April, May &amp; June payment</t>
  </si>
  <si>
    <t>Dropping spouse in April</t>
  </si>
  <si>
    <t>June refund</t>
  </si>
  <si>
    <t>Terminated in April</t>
  </si>
  <si>
    <t>8/1-8/31/2022</t>
  </si>
  <si>
    <t>Terminated in May, June &amp; July retro payment</t>
  </si>
  <si>
    <t>Adding dependent in June</t>
  </si>
  <si>
    <t>Adding depedent, June&amp; July retro charge</t>
  </si>
  <si>
    <t>Terminated in July</t>
  </si>
  <si>
    <t>Death effective July</t>
  </si>
  <si>
    <t>9/1 - 9/30/2022</t>
  </si>
  <si>
    <t>Louie</t>
  </si>
  <si>
    <t>New Hire in June</t>
  </si>
  <si>
    <t>Retro charge for July and August</t>
  </si>
  <si>
    <t>Park</t>
  </si>
  <si>
    <t>Bandi</t>
  </si>
  <si>
    <t>Adding spouse &amp; dependent effective July</t>
  </si>
  <si>
    <t>Coverage Level</t>
  </si>
  <si>
    <t>EE + 1 Child</t>
  </si>
  <si>
    <t>EE + 2 Child</t>
  </si>
  <si>
    <t>EE + S + 2 Children</t>
  </si>
  <si>
    <t>EE + 3 Children</t>
  </si>
  <si>
    <t>EE + S + 1 Child</t>
  </si>
  <si>
    <t>EE Only</t>
  </si>
  <si>
    <t>10/1 - 10/30/2022</t>
  </si>
  <si>
    <t>11/1 - 11/30/2022</t>
  </si>
  <si>
    <t>Kai Ming Total</t>
  </si>
  <si>
    <t>Michelle Lee</t>
  </si>
  <si>
    <t>Mun Yee</t>
  </si>
  <si>
    <t>New on Invoice - effective 9/1/22</t>
  </si>
  <si>
    <t>Sept 2022 Retro</t>
  </si>
  <si>
    <t>Oct 2022 Retro</t>
  </si>
  <si>
    <t>2247</t>
  </si>
  <si>
    <t>2261</t>
  </si>
  <si>
    <t>2081</t>
  </si>
  <si>
    <t>1593</t>
  </si>
  <si>
    <t>2023</t>
  </si>
  <si>
    <t>2131</t>
  </si>
  <si>
    <t>1721</t>
  </si>
  <si>
    <t>2123</t>
  </si>
  <si>
    <t>1970</t>
  </si>
  <si>
    <t>1794</t>
  </si>
  <si>
    <t>2201</t>
  </si>
  <si>
    <t>2194</t>
  </si>
  <si>
    <t>2182</t>
  </si>
  <si>
    <t>1708</t>
  </si>
  <si>
    <t>2250</t>
  </si>
  <si>
    <t>2120</t>
  </si>
  <si>
    <t>2193</t>
  </si>
  <si>
    <t>2234</t>
  </si>
  <si>
    <t>1741</t>
  </si>
  <si>
    <t>1757</t>
  </si>
  <si>
    <t>2057</t>
  </si>
  <si>
    <t>1210</t>
  </si>
  <si>
    <t>1460</t>
  </si>
  <si>
    <t>2248</t>
  </si>
  <si>
    <t>2062</t>
  </si>
  <si>
    <t>2121</t>
  </si>
  <si>
    <t>2003</t>
  </si>
  <si>
    <t>2019</t>
  </si>
  <si>
    <t>2278</t>
  </si>
  <si>
    <t>2172</t>
  </si>
  <si>
    <t>2082</t>
  </si>
  <si>
    <t>2119</t>
  </si>
  <si>
    <t>2273</t>
  </si>
  <si>
    <t>2231</t>
  </si>
  <si>
    <t>1975</t>
  </si>
  <si>
    <t>2203</t>
  </si>
  <si>
    <t>2235</t>
  </si>
  <si>
    <t>2245</t>
  </si>
  <si>
    <t>2001</t>
  </si>
  <si>
    <t>2160</t>
  </si>
  <si>
    <t>2246</t>
  </si>
  <si>
    <t>2018</t>
  </si>
  <si>
    <t>1692</t>
  </si>
  <si>
    <t>2027</t>
  </si>
  <si>
    <t>2060</t>
  </si>
  <si>
    <t>1649</t>
  </si>
  <si>
    <t>1050</t>
  </si>
  <si>
    <t>1964</t>
  </si>
  <si>
    <t>1981</t>
  </si>
  <si>
    <t>1662</t>
  </si>
  <si>
    <t>1630</t>
  </si>
  <si>
    <t>2212</t>
  </si>
  <si>
    <t>2010</t>
  </si>
  <si>
    <t>2187</t>
  </si>
  <si>
    <t>2095</t>
  </si>
  <si>
    <t>2064</t>
  </si>
  <si>
    <t>2089</t>
  </si>
  <si>
    <t>0640</t>
  </si>
  <si>
    <t>0901</t>
  </si>
  <si>
    <t>2283</t>
  </si>
  <si>
    <t>FT &gt; PT</t>
  </si>
  <si>
    <t>Eff 10/31, remove Spouse from coverage - $695.25</t>
  </si>
  <si>
    <t>Paycom amt match Invoice?</t>
  </si>
  <si>
    <t>12/1 - 12/31/2022</t>
  </si>
  <si>
    <t>Oct &amp; Nov retro payment</t>
  </si>
  <si>
    <t>Bandelaria</t>
  </si>
  <si>
    <t>Evelyn A</t>
  </si>
  <si>
    <t>Paycom Rate</t>
  </si>
  <si>
    <t>Effective 11/01/2022</t>
  </si>
  <si>
    <t>Green</t>
  </si>
  <si>
    <t>Alexandra Lubov</t>
  </si>
  <si>
    <t>2289</t>
  </si>
  <si>
    <t>Robertson</t>
  </si>
  <si>
    <t>John A</t>
  </si>
  <si>
    <t>2290</t>
  </si>
  <si>
    <t>Effective 12/01/2022</t>
  </si>
  <si>
    <t>Tao</t>
  </si>
  <si>
    <t>Yin-Jung</t>
  </si>
  <si>
    <t>2288</t>
  </si>
  <si>
    <t>EE + 2 Children</t>
  </si>
  <si>
    <t>One dependent turns 26 in November</t>
  </si>
  <si>
    <t>WRONG, Needs to fix</t>
  </si>
  <si>
    <t>Stacy yu</t>
  </si>
  <si>
    <t>1729</t>
  </si>
  <si>
    <t>BANDELARIA</t>
  </si>
  <si>
    <t>BROWN</t>
  </si>
  <si>
    <t>CAAMAL</t>
  </si>
  <si>
    <t>CHEN</t>
  </si>
  <si>
    <t>DENG</t>
  </si>
  <si>
    <t>DONG</t>
  </si>
  <si>
    <t>FU</t>
  </si>
  <si>
    <t>GIL</t>
  </si>
  <si>
    <t>GREEN</t>
  </si>
  <si>
    <t>HOI</t>
  </si>
  <si>
    <t>HUANG</t>
  </si>
  <si>
    <t>HWANG</t>
  </si>
  <si>
    <t>KONG</t>
  </si>
  <si>
    <t>LEE</t>
  </si>
  <si>
    <t>LEI</t>
  </si>
  <si>
    <t>LI</t>
  </si>
  <si>
    <t>LOUIE</t>
  </si>
  <si>
    <t>LUO</t>
  </si>
  <si>
    <t>MACH</t>
  </si>
  <si>
    <t>MATUS</t>
  </si>
  <si>
    <t>MUI</t>
  </si>
  <si>
    <t>NGUYEN</t>
  </si>
  <si>
    <t>PARK</t>
  </si>
  <si>
    <t>PETERSON ALLEN</t>
  </si>
  <si>
    <t>QUAN</t>
  </si>
  <si>
    <t>RIVERA</t>
  </si>
  <si>
    <t>ROBERTSON</t>
  </si>
  <si>
    <t>RUAN</t>
  </si>
  <si>
    <t>SEQUEIRA</t>
  </si>
  <si>
    <t>TAN</t>
  </si>
  <si>
    <t>TAO</t>
  </si>
  <si>
    <t>WILLIAMS</t>
  </si>
  <si>
    <t>WU</t>
  </si>
  <si>
    <t>XIE</t>
  </si>
  <si>
    <t>YU</t>
  </si>
  <si>
    <t>ZHANG</t>
  </si>
  <si>
    <t>ZHAO</t>
  </si>
  <si>
    <t>EVELYN A</t>
  </si>
  <si>
    <t>SAMAR BEVERLY BRENDA</t>
  </si>
  <si>
    <t>SASHA KATRINA</t>
  </si>
  <si>
    <t>MUN YEE</t>
  </si>
  <si>
    <t>YAN HUI</t>
  </si>
  <si>
    <t>SHUHUA</t>
  </si>
  <si>
    <t>LI MEI</t>
  </si>
  <si>
    <t>YU LIAN</t>
  </si>
  <si>
    <t>RUIFANG</t>
  </si>
  <si>
    <t>MEI HUA</t>
  </si>
  <si>
    <t>DOUGLAS</t>
  </si>
  <si>
    <t>ALEXANDRA LUBOV</t>
  </si>
  <si>
    <t>SHERMOND</t>
  </si>
  <si>
    <t>YANAI</t>
  </si>
  <si>
    <t>ZIXIN</t>
  </si>
  <si>
    <t>YUTIM</t>
  </si>
  <si>
    <t>VENUS</t>
  </si>
  <si>
    <t>MELANIE</t>
  </si>
  <si>
    <t>NESANNA</t>
  </si>
  <si>
    <t>SHU MEI</t>
  </si>
  <si>
    <t>IOK CHAN</t>
  </si>
  <si>
    <t>KUN FUN</t>
  </si>
  <si>
    <t>EVA QIHUA</t>
  </si>
  <si>
    <t>XIAOFENG</t>
  </si>
  <si>
    <t>YIHAO</t>
  </si>
  <si>
    <t>LITING</t>
  </si>
  <si>
    <t>CINDY H</t>
  </si>
  <si>
    <t>CHENG</t>
  </si>
  <si>
    <t>CINDY</t>
  </si>
  <si>
    <t>NICOLE</t>
  </si>
  <si>
    <t>SANDRA PITCOCK</t>
  </si>
  <si>
    <t>AILEEN</t>
  </si>
  <si>
    <t>ANGEL</t>
  </si>
  <si>
    <t>BANDI LIM</t>
  </si>
  <si>
    <t>ELLEN ANN</t>
  </si>
  <si>
    <t>LAN THITU</t>
  </si>
  <si>
    <t>GABRIELA</t>
  </si>
  <si>
    <t>JOHN A</t>
  </si>
  <si>
    <t>SHU YING</t>
  </si>
  <si>
    <t>GUILLERMO A</t>
  </si>
  <si>
    <t>HUA YUE</t>
  </si>
  <si>
    <t>YIN-JUNG</t>
  </si>
  <si>
    <t>BEVERLY</t>
  </si>
  <si>
    <t>LINDA</t>
  </si>
  <si>
    <t>YUE XIA</t>
  </si>
  <si>
    <t>WEN FANG</t>
  </si>
  <si>
    <t>XINXIN</t>
  </si>
  <si>
    <t>SHAOLING</t>
  </si>
  <si>
    <t>XIAOLAN</t>
  </si>
  <si>
    <t>QIYUN</t>
  </si>
  <si>
    <t>YANLING</t>
  </si>
  <si>
    <t>Retroactive Adjustment</t>
  </si>
  <si>
    <t>Spouse on next Invoice</t>
  </si>
  <si>
    <t>New Rate as of Jan 2023</t>
  </si>
  <si>
    <t>2274</t>
  </si>
  <si>
    <t>CASTILLO</t>
  </si>
  <si>
    <t>MARIJANE HOPE DALAYAN</t>
  </si>
  <si>
    <t>New Enrollment Jan 2023</t>
  </si>
  <si>
    <t>1751</t>
  </si>
  <si>
    <t>XIU ER</t>
  </si>
  <si>
    <t>2254</t>
  </si>
  <si>
    <t>CHOI</t>
  </si>
  <si>
    <t>SANG EUN</t>
  </si>
  <si>
    <t>2279</t>
  </si>
  <si>
    <t>JIAYU</t>
  </si>
  <si>
    <t>Additional Dependent on next Invoice</t>
  </si>
  <si>
    <t>2023 Invoice Rate</t>
  </si>
  <si>
    <t xml:space="preserve">Payment Adjustment </t>
  </si>
  <si>
    <t>can't yet confirm until send to payroll</t>
  </si>
  <si>
    <t xml:space="preserve">Employee Enrollments confirmed </t>
  </si>
  <si>
    <t>Coverage Levels updated</t>
  </si>
  <si>
    <t>Need to confirm Paycom Rates</t>
  </si>
  <si>
    <t>Employee and Spouse</t>
  </si>
  <si>
    <t>Employee Only</t>
  </si>
  <si>
    <t>Employee and 2 Children</t>
  </si>
  <si>
    <t>Employee and 1 Child</t>
  </si>
  <si>
    <t>Employee, Spouse and 1 Child</t>
  </si>
  <si>
    <t>Employee, Spouse and 2 Children</t>
  </si>
  <si>
    <t>EE Deduction</t>
  </si>
  <si>
    <t>ER Deduction</t>
  </si>
  <si>
    <t>New Enrollment Jan 2023 - not on invoice yet</t>
  </si>
  <si>
    <t>Paycom
Total Rate</t>
  </si>
  <si>
    <t>Rate Match?</t>
  </si>
  <si>
    <t>Dropped Dependent - retro 2 months next invoice</t>
  </si>
  <si>
    <t>Additional Dependent - retro 2 months next invoice</t>
  </si>
  <si>
    <t>Paycom
Coverage Level</t>
  </si>
  <si>
    <t>Current Invoice Rate</t>
  </si>
  <si>
    <t>Coverage Period</t>
  </si>
  <si>
    <t>Added Spouse - retro 2 months next invoice</t>
  </si>
  <si>
    <t>2296</t>
  </si>
  <si>
    <t>KAIXIN</t>
  </si>
  <si>
    <t>ZHU</t>
  </si>
  <si>
    <t>-</t>
  </si>
  <si>
    <t>New Enrollment March 2023 - not on invoice yet</t>
  </si>
  <si>
    <t>Dependent coverage - Jan 2023</t>
  </si>
  <si>
    <t>Dependent coverage - Feb 2023</t>
  </si>
  <si>
    <t>Spouse coverage - Jan 2023</t>
  </si>
  <si>
    <t>Spouse coverage - Feb 2023</t>
  </si>
  <si>
    <t>Enroll - Jan 2023</t>
  </si>
  <si>
    <t>Enroll - Feb 2023</t>
  </si>
  <si>
    <t>Drop Enrollment - eff Feb 2023, retro 2 months</t>
  </si>
  <si>
    <t>Drop Enrollment - eff March 2023, retro 1 month</t>
  </si>
  <si>
    <t>Invoice Total</t>
  </si>
  <si>
    <t>Drop Dependent - Jan 2023</t>
  </si>
  <si>
    <t>Drop Dependent - Feb 2023</t>
  </si>
  <si>
    <t>$463.50</t>
  </si>
  <si>
    <t>$1488.01</t>
  </si>
  <si>
    <t>$1016.08</t>
  </si>
  <si>
    <t>$1181.01</t>
  </si>
  <si>
    <t>$1617.17</t>
  </si>
  <si>
    <t>$573.82</t>
  </si>
  <si>
    <t>$537.20</t>
  </si>
  <si>
    <t>$1670.00</t>
  </si>
  <si>
    <t>$577.52</t>
  </si>
  <si>
    <t>$923.85</t>
  </si>
  <si>
    <t>$1717.74</t>
  </si>
  <si>
    <t>$989.58</t>
  </si>
  <si>
    <t>$485.75</t>
  </si>
  <si>
    <t>$1368.26</t>
  </si>
  <si>
    <t>$1314.66</t>
  </si>
  <si>
    <t>$1285.46</t>
  </si>
  <si>
    <t>$555.28</t>
  </si>
  <si>
    <t>$1081.35</t>
  </si>
  <si>
    <t>$1390.50</t>
  </si>
  <si>
    <t>$592.36</t>
  </si>
  <si>
    <t>$904.76</t>
  </si>
  <si>
    <t>$1550.59</t>
  </si>
  <si>
    <t>$1302.44</t>
  </si>
  <si>
    <t>$757.83</t>
  </si>
  <si>
    <t>$1862.53</t>
  </si>
  <si>
    <t>$931.26</t>
  </si>
  <si>
    <t>$548.32</t>
  </si>
  <si>
    <t>$566.40</t>
  </si>
  <si>
    <t>$465.36</t>
  </si>
  <si>
    <t>$2311.58</t>
  </si>
  <si>
    <t>$938.68</t>
  </si>
  <si>
    <t>$562.69</t>
  </si>
  <si>
    <t>$1063.82</t>
  </si>
  <si>
    <t>$1273.33</t>
  </si>
  <si>
    <t>$1033.61</t>
  </si>
  <si>
    <t>$1544.85</t>
  </si>
  <si>
    <t>$1331.64</t>
  </si>
  <si>
    <t>$474.63</t>
  </si>
  <si>
    <t>$827.82</t>
  </si>
  <si>
    <t>$669.30</t>
  </si>
  <si>
    <t>$1158.75</t>
  </si>
  <si>
    <t>$1409.05</t>
  </si>
  <si>
    <t>$1254.24</t>
  </si>
  <si>
    <t>$1526.49</t>
  </si>
  <si>
    <t>$1910.73</t>
  </si>
  <si>
    <t>Children</t>
  </si>
  <si>
    <t>Spouses covered</t>
  </si>
  <si>
    <t>Children covered</t>
  </si>
  <si>
    <t>FELIX JR</t>
  </si>
  <si>
    <t>HUMBERTO</t>
  </si>
  <si>
    <t>2300</t>
  </si>
  <si>
    <t>ADD 4/2023 - retro 1 month</t>
  </si>
  <si>
    <t>DROP 4/2023 - retro 1 month</t>
  </si>
  <si>
    <t>ADD 3/2023</t>
  </si>
  <si>
    <t>DROP 2/2023 - retro 2 months</t>
  </si>
  <si>
    <t>DROP 3/2023 - retro 1 month</t>
  </si>
  <si>
    <t>ADD 5/2023 - retro 2 months</t>
  </si>
  <si>
    <t>ADD 4/2023 - retro 2 months</t>
  </si>
  <si>
    <t>ADD 5/2023 - retro 1 months</t>
  </si>
  <si>
    <t>AN</t>
  </si>
  <si>
    <t>SHUZHEN</t>
  </si>
  <si>
    <t>ADD 7/2023 - retro 1 month</t>
  </si>
  <si>
    <t>BLAQUERA</t>
  </si>
  <si>
    <t>JORDAN</t>
  </si>
  <si>
    <t>ADD 6/2023 - retro 1 month</t>
  </si>
  <si>
    <t xml:space="preserve">EUFEMIA BUENA </t>
  </si>
  <si>
    <t>BYRD ROWE</t>
  </si>
  <si>
    <t>2303</t>
  </si>
  <si>
    <t>WAI SHUN</t>
  </si>
  <si>
    <t>2302</t>
  </si>
  <si>
    <t>2301</t>
  </si>
  <si>
    <t>2305</t>
  </si>
  <si>
    <t>Term. Need to retro back for august 2023</t>
  </si>
  <si>
    <t>Yanling</t>
  </si>
  <si>
    <t xml:space="preserve">Retro adjustment </t>
  </si>
  <si>
    <t>ARGUMEDO</t>
  </si>
  <si>
    <t>CRUZ ESPERANZA</t>
  </si>
  <si>
    <t>New hire</t>
  </si>
  <si>
    <t xml:space="preserve">dropped spousal coverage </t>
  </si>
  <si>
    <t>Retro 18.31</t>
  </si>
  <si>
    <t>Retro 50.81</t>
  </si>
  <si>
    <t>CHONG</t>
  </si>
  <si>
    <t>VICTORIA</t>
  </si>
  <si>
    <t>GONG</t>
  </si>
  <si>
    <t>LILY</t>
  </si>
  <si>
    <t>GONZALEZ</t>
  </si>
  <si>
    <t xml:space="preserve">EUGENIA </t>
  </si>
  <si>
    <t>Retro adjustment for 8/23 &amp; 9/23</t>
  </si>
  <si>
    <t xml:space="preserve">IP </t>
  </si>
  <si>
    <t xml:space="preserve">ELIZABETH </t>
  </si>
  <si>
    <t>JOHNSON</t>
  </si>
  <si>
    <t>FELICIA VONDELL</t>
  </si>
  <si>
    <t>Retro adjustment for 12/21</t>
  </si>
  <si>
    <t>XUEXIA</t>
  </si>
  <si>
    <t>JULIE</t>
  </si>
  <si>
    <t>Retro adjustment for 12/21, 8/23, 9/23</t>
  </si>
  <si>
    <t>Retro adjustment for 12/21 &amp; 9/23</t>
  </si>
  <si>
    <t>Retro adjustment for 09/23</t>
  </si>
  <si>
    <t>XIAO RONG</t>
  </si>
  <si>
    <t xml:space="preserve">Updated coverage, employee only </t>
  </si>
  <si>
    <t xml:space="preserve">invoice different than paycom </t>
  </si>
  <si>
    <t xml:space="preserve">Invoice is employe w/1 child &amp; retro 34.33 </t>
  </si>
  <si>
    <t xml:space="preserve">ZHU </t>
  </si>
  <si>
    <t xml:space="preserve">JIE LING </t>
  </si>
  <si>
    <t xml:space="preserve">YEUNG </t>
  </si>
  <si>
    <t>WING</t>
  </si>
  <si>
    <t>SARAH ESCOTO</t>
  </si>
  <si>
    <t>TERM</t>
  </si>
  <si>
    <t>Retro add 08/2023</t>
  </si>
  <si>
    <t>dropped spousal coverage 08/2023</t>
  </si>
  <si>
    <t xml:space="preserve">retro term 08/2023 </t>
  </si>
  <si>
    <t xml:space="preserve">dropped child coverage </t>
  </si>
  <si>
    <t>retro add 08/2023</t>
  </si>
  <si>
    <t>retro term 07/2023</t>
  </si>
  <si>
    <t>Termed</t>
  </si>
  <si>
    <t>Paycom has spouse</t>
  </si>
  <si>
    <t>LIN</t>
  </si>
  <si>
    <t>YANXIU</t>
  </si>
  <si>
    <t>New addition - 10/2023</t>
  </si>
  <si>
    <t>New addition - 09/2023</t>
  </si>
  <si>
    <t>MAI</t>
  </si>
  <si>
    <t>CAIYAN</t>
  </si>
  <si>
    <t xml:space="preserve"> $            -  </t>
  </si>
  <si>
    <t>JIE LING</t>
  </si>
  <si>
    <t>New addition - 08/2023</t>
  </si>
  <si>
    <t>JOHN</t>
  </si>
  <si>
    <t xml:space="preserve"> Coverage Period </t>
  </si>
  <si>
    <t xml:space="preserve"> Current Invoice Rate </t>
  </si>
  <si>
    <t xml:space="preserve"> Paycom has spouse </t>
  </si>
  <si>
    <t xml:space="preserve"> Processed date:  </t>
  </si>
  <si>
    <t xml:space="preserve"> By </t>
  </si>
  <si>
    <t xml:space="preserve">Termed </t>
  </si>
  <si>
    <t>Termed - 11/2023</t>
  </si>
  <si>
    <t>Termed - 10/2023</t>
  </si>
  <si>
    <t>DANG</t>
  </si>
  <si>
    <t>LILIAN</t>
  </si>
  <si>
    <t xml:space="preserve">New hire </t>
  </si>
  <si>
    <t>Addition - 11/2023</t>
  </si>
  <si>
    <t>Addition - 10/2023</t>
  </si>
  <si>
    <t>HU</t>
  </si>
  <si>
    <t>JUNTAO</t>
  </si>
  <si>
    <t xml:space="preserve">new hire - not on invoice </t>
  </si>
  <si>
    <t>JINWEN</t>
  </si>
  <si>
    <t xml:space="preserve">JULIA </t>
  </si>
  <si>
    <t>Paycom</t>
  </si>
  <si>
    <t xml:space="preserve">Invoice </t>
  </si>
  <si>
    <t>SWITCHED to UHC</t>
  </si>
  <si>
    <t>retro for spouse coverage 11/2023</t>
  </si>
  <si>
    <t>retro for spouse coverage 12/2023</t>
  </si>
  <si>
    <t>retro for 11/2023</t>
  </si>
  <si>
    <t>retro for 12/2023</t>
  </si>
  <si>
    <t>CAROL</t>
  </si>
  <si>
    <t xml:space="preserve">not on invoice yet </t>
  </si>
  <si>
    <t>KELLY</t>
  </si>
  <si>
    <t>termed, retro 12/2023</t>
  </si>
  <si>
    <t xml:space="preserve">UNENROLLED </t>
  </si>
  <si>
    <t>ADRIANNA</t>
  </si>
  <si>
    <t xml:space="preserve">paycom is employee only, dropped employee covergae </t>
  </si>
  <si>
    <t xml:space="preserve"> no ee deduction </t>
  </si>
  <si>
    <t>LAM</t>
  </si>
  <si>
    <t>MAN GIA</t>
  </si>
  <si>
    <t>new hire - 01/2024</t>
  </si>
  <si>
    <t>new hire - 12/2023</t>
  </si>
  <si>
    <t xml:space="preserve">new addition </t>
  </si>
  <si>
    <t>switched back to Kaiser</t>
  </si>
  <si>
    <t>New Rate as of Jan 2024</t>
  </si>
  <si>
    <t xml:space="preserve">Employee only </t>
  </si>
  <si>
    <t>added</t>
  </si>
  <si>
    <t>retro term 01/2024</t>
  </si>
  <si>
    <t>retro term 02/2024</t>
  </si>
  <si>
    <t>retro addition 01/2024</t>
  </si>
  <si>
    <t>retro addition 02/2024</t>
  </si>
  <si>
    <t xml:space="preserve">retro term 01/2024 - should be enrolled </t>
  </si>
  <si>
    <t xml:space="preserve">retro term 02/2024 - should be enrolled </t>
  </si>
  <si>
    <t>needs to be added back to Kaiser</t>
  </si>
  <si>
    <t>retro coverage change 01/2024</t>
  </si>
  <si>
    <t>retro coverage change 02/2024</t>
  </si>
  <si>
    <t>retro for 02/2024</t>
  </si>
  <si>
    <t>retro for 03/2024</t>
  </si>
  <si>
    <t xml:space="preserve">added back </t>
  </si>
  <si>
    <t>Terminated 2/27</t>
  </si>
  <si>
    <t>04/2024 - term</t>
  </si>
  <si>
    <t>03/2024 - term</t>
  </si>
  <si>
    <t>terminated 04 2024</t>
  </si>
  <si>
    <t>Terminated 05 2024</t>
  </si>
  <si>
    <t>retro termination 05 2024</t>
  </si>
  <si>
    <t>SILMAN</t>
  </si>
  <si>
    <t>NATALIE</t>
  </si>
  <si>
    <t>NEW HIRE</t>
  </si>
  <si>
    <t>CANALES</t>
  </si>
  <si>
    <t>KEYLA</t>
  </si>
  <si>
    <t>new hire, not on invoice yet</t>
  </si>
  <si>
    <t>retro termination 06/2024</t>
  </si>
  <si>
    <t>new addition</t>
  </si>
  <si>
    <t>WANG</t>
  </si>
  <si>
    <t>YULING</t>
  </si>
  <si>
    <t>MINGJIAN</t>
  </si>
  <si>
    <t>AMY</t>
  </si>
  <si>
    <t>just added</t>
  </si>
  <si>
    <t>retro for 07/2024</t>
  </si>
  <si>
    <t>retro for 06/2024</t>
  </si>
  <si>
    <t>son was dropped coverage, not shown in paycom yet</t>
  </si>
  <si>
    <t xml:space="preserve">life eent, just added dependents </t>
  </si>
  <si>
    <t>XUE ZHONG</t>
  </si>
  <si>
    <t>updated</t>
  </si>
  <si>
    <t>retro term for 08/2024</t>
  </si>
  <si>
    <t>retro add for 08/2024</t>
  </si>
  <si>
    <t>retro add for 07/2024</t>
  </si>
  <si>
    <t xml:space="preserve">not updated to show baby </t>
  </si>
  <si>
    <t>updated to show son</t>
  </si>
  <si>
    <t xml:space="preserve">updated to show baby </t>
  </si>
  <si>
    <t>Employee and 12 Children</t>
  </si>
  <si>
    <t>retro for 10/2024</t>
  </si>
  <si>
    <t>retro for 09/2024</t>
  </si>
  <si>
    <t>retro for 08/2024</t>
  </si>
  <si>
    <t>retro term for 10/2024</t>
  </si>
  <si>
    <t>retro term for 09/2024</t>
  </si>
  <si>
    <t>terminated - needs to remove</t>
  </si>
  <si>
    <t>CHIN YEE</t>
  </si>
  <si>
    <t>unenrolled</t>
  </si>
  <si>
    <t>unenrolled moved to UHC</t>
  </si>
  <si>
    <t>added spouse not on invoice yet</t>
  </si>
  <si>
    <t>YU CHENG</t>
  </si>
  <si>
    <t xml:space="preserve">added child </t>
  </si>
  <si>
    <t>terminated benefits 11/2024</t>
  </si>
  <si>
    <t>terminated benefits 12/2024</t>
  </si>
  <si>
    <t>JIAN FENG</t>
  </si>
  <si>
    <t>New Rate as of Jan 2025</t>
  </si>
  <si>
    <t>Cobra</t>
  </si>
  <si>
    <t>Cobra total</t>
  </si>
  <si>
    <t>Paycom is 1551.34</t>
  </si>
  <si>
    <t>term retro 01/2025</t>
  </si>
  <si>
    <t>term retro 12/2024</t>
  </si>
  <si>
    <t>JOU-HAN</t>
  </si>
  <si>
    <t>COLINDRES VASQUEZ</t>
  </si>
  <si>
    <t>GLENDA</t>
  </si>
  <si>
    <t>paycom is is 1251.98</t>
  </si>
  <si>
    <t>paycom is 1643.52</t>
  </si>
  <si>
    <t>Paycom is 1902.43</t>
  </si>
  <si>
    <t>Paycom is 1175.46</t>
  </si>
  <si>
    <t>paycom is 1449.67</t>
  </si>
  <si>
    <t>Paycom is 1624.75</t>
  </si>
  <si>
    <t>paycom is 1999.25</t>
  </si>
  <si>
    <t>Paycom is 1998.08</t>
  </si>
  <si>
    <t xml:space="preserve">Cobra </t>
  </si>
  <si>
    <t>retro added 1/2025</t>
  </si>
  <si>
    <t>retro added 2/2025</t>
  </si>
  <si>
    <t>retro term added 1/2025</t>
  </si>
  <si>
    <t>retro term added 2/2025</t>
  </si>
  <si>
    <t>added spouse</t>
  </si>
  <si>
    <t>retro add spouse 1/2025</t>
  </si>
  <si>
    <t>retro add spouse 2/2025</t>
  </si>
  <si>
    <t>updated to include child</t>
  </si>
  <si>
    <t xml:space="preserve">re-enrolled </t>
  </si>
  <si>
    <t>retro add child 2/2025</t>
  </si>
  <si>
    <t>retro add child 1/2025</t>
  </si>
  <si>
    <t>retro termination</t>
  </si>
  <si>
    <t>retro added 1/1</t>
  </si>
  <si>
    <t>retro added 2/1</t>
  </si>
  <si>
    <t>retro added 3/1</t>
  </si>
  <si>
    <t>ER</t>
  </si>
  <si>
    <t>EE</t>
  </si>
  <si>
    <t>PULIDO TOBIASSEN</t>
  </si>
  <si>
    <t>DORA</t>
  </si>
  <si>
    <t>addition 1 month</t>
  </si>
  <si>
    <t>retro addition of depednent 1 month</t>
  </si>
  <si>
    <t xml:space="preserve">overpayment </t>
  </si>
  <si>
    <t>terminated</t>
  </si>
  <si>
    <t xml:space="preserve">termed </t>
  </si>
  <si>
    <t xml:space="preserve">Terminated </t>
  </si>
  <si>
    <t>Terminated - 1 month</t>
  </si>
  <si>
    <t>8/1-8/31/25</t>
  </si>
  <si>
    <t>Termed benefits - now Part time</t>
  </si>
  <si>
    <t>9/1-9/31/25</t>
  </si>
  <si>
    <t>terminated 1 month</t>
  </si>
  <si>
    <t>dropped a child</t>
  </si>
  <si>
    <t>10/1-10/31/25</t>
  </si>
  <si>
    <t>removed one child</t>
  </si>
  <si>
    <t>term</t>
  </si>
  <si>
    <t>CORREA ALMANZA</t>
  </si>
  <si>
    <t>ALONDRA</t>
  </si>
  <si>
    <t>newly added 10/1</t>
  </si>
  <si>
    <t xml:space="preserve">newly enrolled </t>
  </si>
  <si>
    <t>12/1-12/31/25</t>
  </si>
  <si>
    <t>dropped spouse</t>
  </si>
  <si>
    <t xml:space="preserve">paycom still has child but should be dropped </t>
  </si>
  <si>
    <t>GUAN</t>
  </si>
  <si>
    <t>WENFANG</t>
  </si>
  <si>
    <t xml:space="preserve">ended cobra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</si>
</sst>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yy;@"/>
  </numFmts>
  <fonts count="22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4"/>
      <name val="Arial"/>
      <family val="2"/>
    </font>
    <font>
      <sz val="12"/>
      <color theme="3"/>
      <name val="Bradley Hand Bold"/>
    </font>
    <font>
      <sz val="11"/>
      <color rgb="FF000000"/>
      <name val="Calibri"/>
      <family val="2"/>
    </font>
    <font>
      <sz val="10"/>
      <color theme="0"/>
      <name val="Arial"/>
      <family val="2"/>
    </font>
    <font>
      <sz val="10"/>
      <color rgb="FF9C57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sz val="12"/>
      <color rgb="FF1F497D"/>
      <name val="Bradley Hand Bold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E22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FE227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3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2" fillId="0" borderId="3" xfId="0" applyFont="1" applyBorder="1"/>
    <xf numFmtId="0" fontId="0" fillId="0" borderId="3" xfId="0" applyBorder="1" applyAlignment="1">
      <alignment horizontal="center"/>
    </xf>
    <xf numFmtId="44" fontId="2" fillId="0" borderId="3" xfId="1" applyFont="1" applyBorder="1" applyAlignment="1">
      <alignment horizontal="center"/>
    </xf>
    <xf numFmtId="0" fontId="0" fillId="0" borderId="4" xfId="0" applyBorder="1"/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4" fontId="0" fillId="0" borderId="0" xfId="0" applyNumberFormat="1"/>
    <xf numFmtId="43" fontId="0" fillId="0" borderId="0" xfId="2" applyFont="1" applyFill="1"/>
    <xf numFmtId="43" fontId="0" fillId="0" borderId="0" xfId="0" applyNumberFormat="1"/>
    <xf numFmtId="43" fontId="3" fillId="0" borderId="0" xfId="0" applyNumberFormat="1" applyFont="1"/>
    <xf numFmtId="43" fontId="3" fillId="0" borderId="0" xfId="2" applyFont="1" applyFill="1"/>
    <xf numFmtId="43" fontId="2" fillId="0" borderId="0" xfId="2" applyFont="1" applyFill="1"/>
    <xf numFmtId="2" fontId="0" fillId="0" borderId="2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4" fillId="0" borderId="0" xfId="0" applyFont="1"/>
    <xf numFmtId="2" fontId="4" fillId="0" borderId="2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0" fillId="0" borderId="3" xfId="0" applyBorder="1"/>
    <xf numFmtId="2" fontId="4" fillId="2" borderId="3" xfId="0" applyNumberFormat="1" applyFont="1" applyFill="1" applyBorder="1" applyAlignment="1">
      <alignment horizontal="center"/>
    </xf>
    <xf numFmtId="0" fontId="1" fillId="0" borderId="3" xfId="0" applyFont="1" applyBorder="1"/>
    <xf numFmtId="2" fontId="5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3" xfId="0" applyFont="1" applyBorder="1"/>
    <xf numFmtId="2" fontId="0" fillId="0" borderId="0" xfId="0" applyNumberFormat="1"/>
    <xf numFmtId="0" fontId="1" fillId="2" borderId="3" xfId="0" applyFont="1" applyFill="1" applyBorder="1"/>
    <xf numFmtId="0" fontId="5" fillId="0" borderId="3" xfId="0" applyFont="1" applyBorder="1"/>
    <xf numFmtId="0" fontId="5" fillId="2" borderId="3" xfId="0" applyFont="1" applyFill="1" applyBorder="1"/>
    <xf numFmtId="0" fontId="7" fillId="0" borderId="3" xfId="0" applyFont="1" applyBorder="1"/>
    <xf numFmtId="0" fontId="0" fillId="2" borderId="0" xfId="0" applyFill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8" fillId="0" borderId="3" xfId="0" applyFont="1" applyBorder="1"/>
    <xf numFmtId="2" fontId="5" fillId="2" borderId="3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0" fontId="0" fillId="2" borderId="3" xfId="0" applyFill="1" applyBorder="1"/>
    <xf numFmtId="2" fontId="0" fillId="2" borderId="3" xfId="0" applyNumberFormat="1" applyFill="1" applyBorder="1" applyAlignment="1">
      <alignment horizontal="center"/>
    </xf>
    <xf numFmtId="43" fontId="2" fillId="0" borderId="3" xfId="2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9" fillId="0" borderId="3" xfId="0" applyFont="1" applyBorder="1"/>
    <xf numFmtId="0" fontId="2" fillId="4" borderId="3" xfId="0" applyFont="1" applyFill="1" applyBorder="1" applyAlignment="1">
      <alignment horizontal="center"/>
    </xf>
    <xf numFmtId="44" fontId="0" fillId="0" borderId="3" xfId="1" applyFont="1" applyFill="1" applyBorder="1" applyAlignment="1">
      <alignment horizontal="center"/>
    </xf>
    <xf numFmtId="44" fontId="5" fillId="0" borderId="3" xfId="1" applyFont="1" applyFill="1" applyBorder="1" applyAlignment="1">
      <alignment horizontal="center"/>
    </xf>
    <xf numFmtId="44" fontId="0" fillId="0" borderId="3" xfId="1" applyFont="1" applyBorder="1" applyAlignment="1">
      <alignment horizontal="center"/>
    </xf>
    <xf numFmtId="44" fontId="5" fillId="0" borderId="3" xfId="1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4" borderId="3" xfId="0" applyFill="1" applyBorder="1"/>
    <xf numFmtId="44" fontId="0" fillId="4" borderId="3" xfId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44" fontId="5" fillId="4" borderId="3" xfId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9" fillId="0" borderId="0" xfId="0" applyFont="1"/>
    <xf numFmtId="0" fontId="2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44" fontId="5" fillId="6" borderId="3" xfId="1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44" fontId="0" fillId="6" borderId="3" xfId="1" applyFont="1" applyFill="1" applyBorder="1" applyAlignment="1">
      <alignment horizontal="center"/>
    </xf>
    <xf numFmtId="44" fontId="2" fillId="6" borderId="3" xfId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7" xfId="0" applyFont="1" applyBorder="1"/>
    <xf numFmtId="44" fontId="8" fillId="6" borderId="3" xfId="1" applyFont="1" applyFill="1" applyBorder="1" applyAlignment="1">
      <alignment horizontal="center"/>
    </xf>
    <xf numFmtId="0" fontId="2" fillId="6" borderId="3" xfId="0" applyFont="1" applyFill="1" applyBorder="1"/>
    <xf numFmtId="0" fontId="5" fillId="6" borderId="3" xfId="0" applyFont="1" applyFill="1" applyBorder="1"/>
    <xf numFmtId="0" fontId="8" fillId="0" borderId="3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2" fillId="0" borderId="0" xfId="0" applyFont="1" applyAlignment="1">
      <alignment horizontal="center"/>
    </xf>
    <xf numFmtId="49" fontId="2" fillId="0" borderId="3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8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8" xfId="0" applyFont="1" applyBorder="1" applyAlignment="1">
      <alignment horizontal="left"/>
    </xf>
    <xf numFmtId="44" fontId="8" fillId="0" borderId="3" xfId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7" fontId="2" fillId="0" borderId="3" xfId="0" applyNumberFormat="1" applyFont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center"/>
    </xf>
    <xf numFmtId="44" fontId="5" fillId="7" borderId="3" xfId="1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5" fillId="0" borderId="8" xfId="0" applyFont="1" applyBorder="1"/>
    <xf numFmtId="0" fontId="5" fillId="0" borderId="8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0" fillId="7" borderId="9" xfId="0" applyFont="1" applyFill="1" applyBorder="1" applyAlignment="1">
      <alignment horizontal="center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44" fontId="0" fillId="0" borderId="9" xfId="1" applyFont="1" applyFill="1" applyBorder="1" applyAlignment="1">
      <alignment horizontal="center"/>
    </xf>
    <xf numFmtId="0" fontId="0" fillId="0" borderId="9" xfId="0" applyBorder="1"/>
    <xf numFmtId="44" fontId="8" fillId="6" borderId="12" xfId="1" applyFont="1" applyFill="1" applyBorder="1" applyAlignment="1">
      <alignment horizontal="center"/>
    </xf>
    <xf numFmtId="0" fontId="2" fillId="6" borderId="12" xfId="0" applyFont="1" applyFill="1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8" fillId="0" borderId="8" xfId="0" applyFont="1" applyBorder="1" applyAlignment="1">
      <alignment horizontal="right"/>
    </xf>
    <xf numFmtId="44" fontId="2" fillId="0" borderId="0" xfId="0" applyNumberFormat="1" applyFont="1"/>
    <xf numFmtId="44" fontId="8" fillId="0" borderId="8" xfId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4" fontId="3" fillId="0" borderId="3" xfId="1" applyFont="1" applyBorder="1" applyAlignment="1">
      <alignment horizontal="center"/>
    </xf>
    <xf numFmtId="44" fontId="3" fillId="0" borderId="3" xfId="1" applyFont="1" applyFill="1" applyBorder="1" applyAlignment="1">
      <alignment horizontal="center"/>
    </xf>
    <xf numFmtId="44" fontId="3" fillId="0" borderId="9" xfId="1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8" borderId="3" xfId="0" applyFill="1" applyBorder="1"/>
    <xf numFmtId="0" fontId="0" fillId="8" borderId="3" xfId="0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44" fontId="5" fillId="0" borderId="9" xfId="1" applyFont="1" applyFill="1" applyBorder="1" applyAlignment="1">
      <alignment horizontal="center"/>
    </xf>
    <xf numFmtId="44" fontId="5" fillId="8" borderId="3" xfId="1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0" fillId="9" borderId="3" xfId="0" applyFill="1" applyBorder="1" applyAlignment="1">
      <alignment horizontal="center"/>
    </xf>
    <xf numFmtId="0" fontId="0" fillId="9" borderId="3" xfId="0" applyFill="1" applyBorder="1"/>
    <xf numFmtId="44" fontId="5" fillId="9" borderId="3" xfId="1" applyFont="1" applyFill="1" applyBorder="1" applyAlignment="1">
      <alignment horizontal="center"/>
    </xf>
    <xf numFmtId="0" fontId="0" fillId="9" borderId="0" xfId="0" applyFill="1"/>
    <xf numFmtId="0" fontId="5" fillId="9" borderId="3" xfId="0" applyFont="1" applyFill="1" applyBorder="1"/>
    <xf numFmtId="44" fontId="2" fillId="0" borderId="3" xfId="1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9" borderId="3" xfId="0" applyFill="1" applyBorder="1" applyAlignment="1">
      <alignment horizontal="left" vertical="center"/>
    </xf>
    <xf numFmtId="0" fontId="0" fillId="9" borderId="3" xfId="0" applyFill="1" applyBorder="1" applyAlignment="1">
      <alignment horizontal="center" vertical="center"/>
    </xf>
    <xf numFmtId="0" fontId="5" fillId="0" borderId="7" xfId="0" applyFont="1" applyBorder="1" applyAlignment="1">
      <alignment horizontal="right"/>
    </xf>
    <xf numFmtId="0" fontId="0" fillId="0" borderId="13" xfId="0" applyBorder="1"/>
    <xf numFmtId="0" fontId="12" fillId="0" borderId="13" xfId="0" applyFont="1" applyBorder="1"/>
    <xf numFmtId="0" fontId="12" fillId="0" borderId="3" xfId="0" applyFont="1" applyBorder="1"/>
    <xf numFmtId="0" fontId="10" fillId="0" borderId="3" xfId="0" applyFont="1" applyBorder="1" applyAlignment="1">
      <alignment horizontal="center"/>
    </xf>
    <xf numFmtId="44" fontId="2" fillId="5" borderId="3" xfId="1" applyFont="1" applyFill="1" applyBorder="1" applyAlignment="1">
      <alignment horizontal="center"/>
    </xf>
    <xf numFmtId="44" fontId="2" fillId="4" borderId="3" xfId="1" applyFont="1" applyFill="1" applyBorder="1" applyAlignment="1">
      <alignment horizontal="center"/>
    </xf>
    <xf numFmtId="44" fontId="0" fillId="0" borderId="3" xfId="1" applyFont="1" applyBorder="1"/>
    <xf numFmtId="44" fontId="0" fillId="0" borderId="3" xfId="1" applyFont="1" applyFill="1" applyBorder="1"/>
    <xf numFmtId="44" fontId="0" fillId="9" borderId="3" xfId="1" applyFont="1" applyFill="1" applyBorder="1"/>
    <xf numFmtId="44" fontId="6" fillId="0" borderId="0" xfId="1" applyFont="1" applyFill="1" applyAlignment="1">
      <alignment horizontal="right"/>
    </xf>
    <xf numFmtId="44" fontId="0" fillId="0" borderId="0" xfId="1" applyFont="1" applyFill="1"/>
    <xf numFmtId="0" fontId="0" fillId="11" borderId="3" xfId="0" applyFill="1" applyBorder="1" applyAlignment="1">
      <alignment horizontal="center"/>
    </xf>
    <xf numFmtId="0" fontId="5" fillId="11" borderId="3" xfId="0" applyFont="1" applyFill="1" applyBorder="1"/>
    <xf numFmtId="0" fontId="5" fillId="11" borderId="3" xfId="0" applyFont="1" applyFill="1" applyBorder="1" applyAlignment="1">
      <alignment horizontal="center"/>
    </xf>
    <xf numFmtId="44" fontId="0" fillId="11" borderId="3" xfId="1" applyFont="1" applyFill="1" applyBorder="1"/>
    <xf numFmtId="44" fontId="5" fillId="11" borderId="3" xfId="1" applyFont="1" applyFill="1" applyBorder="1" applyAlignment="1">
      <alignment horizontal="center"/>
    </xf>
    <xf numFmtId="0" fontId="0" fillId="11" borderId="3" xfId="0" applyFill="1" applyBorder="1"/>
    <xf numFmtId="0" fontId="0" fillId="11" borderId="0" xfId="0" applyFill="1"/>
    <xf numFmtId="44" fontId="1" fillId="0" borderId="3" xfId="1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9" borderId="3" xfId="0" applyFill="1" applyBorder="1" applyAlignment="1">
      <alignment horizontal="left"/>
    </xf>
    <xf numFmtId="0" fontId="0" fillId="9" borderId="3" xfId="0" applyFill="1" applyBorder="1" applyAlignment="1">
      <alignment horizontal="right"/>
    </xf>
    <xf numFmtId="44" fontId="1" fillId="9" borderId="3" xfId="1" applyFont="1" applyFill="1" applyBorder="1" applyAlignment="1">
      <alignment horizontal="center"/>
    </xf>
    <xf numFmtId="0" fontId="8" fillId="6" borderId="6" xfId="0" applyFont="1" applyFill="1" applyBorder="1" applyAlignment="1">
      <alignment horizontal="left"/>
    </xf>
    <xf numFmtId="0" fontId="8" fillId="6" borderId="8" xfId="0" applyFont="1" applyFill="1" applyBorder="1" applyAlignment="1">
      <alignment horizontal="left"/>
    </xf>
    <xf numFmtId="0" fontId="8" fillId="6" borderId="7" xfId="0" applyFont="1" applyFill="1" applyBorder="1" applyAlignment="1">
      <alignment horizontal="left"/>
    </xf>
    <xf numFmtId="44" fontId="2" fillId="4" borderId="3" xfId="1" applyFont="1" applyFill="1" applyBorder="1" applyAlignment="1">
      <alignment horizontal="center" wrapText="1"/>
    </xf>
    <xf numFmtId="44" fontId="1" fillId="11" borderId="3" xfId="1" applyFont="1" applyFill="1" applyBorder="1" applyAlignment="1">
      <alignment horizontal="center"/>
    </xf>
    <xf numFmtId="0" fontId="12" fillId="11" borderId="3" xfId="0" applyFont="1" applyFill="1" applyBorder="1"/>
    <xf numFmtId="0" fontId="0" fillId="11" borderId="3" xfId="0" applyFill="1" applyBorder="1" applyAlignment="1">
      <alignment horizontal="center" vertical="center"/>
    </xf>
    <xf numFmtId="0" fontId="8" fillId="6" borderId="6" xfId="0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2" fillId="11" borderId="3" xfId="0" applyFont="1" applyFill="1" applyBorder="1" applyAlignment="1">
      <alignment horizontal="center"/>
    </xf>
    <xf numFmtId="0" fontId="2" fillId="11" borderId="3" xfId="0" applyFont="1" applyFill="1" applyBorder="1"/>
    <xf numFmtId="0" fontId="8" fillId="11" borderId="3" xfId="0" applyFont="1" applyFill="1" applyBorder="1"/>
    <xf numFmtId="0" fontId="8" fillId="11" borderId="3" xfId="0" applyFont="1" applyFill="1" applyBorder="1" applyAlignment="1">
      <alignment horizontal="center"/>
    </xf>
    <xf numFmtId="44" fontId="2" fillId="11" borderId="3" xfId="1" applyFont="1" applyFill="1" applyBorder="1"/>
    <xf numFmtId="0" fontId="2" fillId="11" borderId="0" xfId="0" applyFont="1" applyFill="1"/>
    <xf numFmtId="44" fontId="1" fillId="11" borderId="3" xfId="1" applyFont="1" applyFill="1" applyBorder="1"/>
    <xf numFmtId="0" fontId="2" fillId="11" borderId="3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center" vertical="center"/>
    </xf>
    <xf numFmtId="44" fontId="5" fillId="6" borderId="9" xfId="1" applyFont="1" applyFill="1" applyBorder="1" applyAlignment="1">
      <alignment horizontal="center"/>
    </xf>
    <xf numFmtId="0" fontId="0" fillId="6" borderId="9" xfId="0" applyFill="1" applyBorder="1"/>
    <xf numFmtId="0" fontId="0" fillId="6" borderId="12" xfId="0" applyFill="1" applyBorder="1"/>
    <xf numFmtId="0" fontId="8" fillId="0" borderId="3" xfId="0" applyFont="1" applyBorder="1" applyAlignment="1">
      <alignment horizontal="left"/>
    </xf>
    <xf numFmtId="44" fontId="0" fillId="0" borderId="3" xfId="0" applyNumberFormat="1" applyBorder="1"/>
    <xf numFmtId="44" fontId="1" fillId="0" borderId="3" xfId="1" applyFont="1" applyFill="1" applyBorder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44" fontId="2" fillId="0" borderId="3" xfId="1" applyFont="1" applyFill="1" applyBorder="1"/>
    <xf numFmtId="0" fontId="2" fillId="9" borderId="3" xfId="0" applyFont="1" applyFill="1" applyBorder="1" applyAlignment="1">
      <alignment horizontal="center"/>
    </xf>
    <xf numFmtId="44" fontId="1" fillId="9" borderId="3" xfId="1" applyFont="1" applyFill="1" applyBorder="1"/>
    <xf numFmtId="0" fontId="2" fillId="9" borderId="0" xfId="0" applyFont="1" applyFill="1"/>
    <xf numFmtId="0" fontId="5" fillId="0" borderId="3" xfId="0" applyFont="1" applyBorder="1" applyAlignment="1">
      <alignment horizontal="left"/>
    </xf>
    <xf numFmtId="44" fontId="2" fillId="0" borderId="3" xfId="0" applyNumberFormat="1" applyFont="1" applyBorder="1"/>
    <xf numFmtId="0" fontId="14" fillId="12" borderId="3" xfId="0" applyFont="1" applyFill="1" applyBorder="1" applyAlignment="1">
      <alignment horizontal="center"/>
    </xf>
    <xf numFmtId="8" fontId="0" fillId="13" borderId="0" xfId="0" applyNumberFormat="1" applyFill="1"/>
    <xf numFmtId="44" fontId="2" fillId="13" borderId="3" xfId="1" applyFont="1" applyFill="1" applyBorder="1"/>
    <xf numFmtId="0" fontId="13" fillId="10" borderId="8" xfId="0" applyFont="1" applyFill="1" applyBorder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49" fontId="0" fillId="0" borderId="3" xfId="0" applyNumberForma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11" borderId="3" xfId="0" applyNumberFormat="1" applyFont="1" applyFill="1" applyBorder="1" applyAlignment="1">
      <alignment horizontal="right"/>
    </xf>
    <xf numFmtId="8" fontId="0" fillId="0" borderId="0" xfId="0" applyNumberFormat="1"/>
    <xf numFmtId="0" fontId="0" fillId="14" borderId="0" xfId="0" applyFill="1"/>
    <xf numFmtId="0" fontId="8" fillId="0" borderId="11" xfId="0" applyFont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2" fillId="0" borderId="7" xfId="0" applyFont="1" applyBorder="1" applyAlignment="1">
      <alignment horizontal="right"/>
    </xf>
    <xf numFmtId="49" fontId="5" fillId="9" borderId="3" xfId="0" applyNumberFormat="1" applyFont="1" applyFill="1" applyBorder="1" applyAlignment="1">
      <alignment horizontal="right"/>
    </xf>
    <xf numFmtId="8" fontId="0" fillId="9" borderId="0" xfId="0" applyNumberFormat="1" applyFill="1"/>
    <xf numFmtId="0" fontId="12" fillId="9" borderId="3" xfId="0" applyFont="1" applyFill="1" applyBorder="1"/>
    <xf numFmtId="0" fontId="2" fillId="14" borderId="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4" borderId="3" xfId="0" applyFont="1" applyFill="1" applyBorder="1" applyAlignment="1">
      <alignment horizontal="left"/>
    </xf>
    <xf numFmtId="44" fontId="6" fillId="0" borderId="0" xfId="1" applyFont="1" applyFill="1" applyAlignment="1">
      <alignment horizontal="left"/>
    </xf>
    <xf numFmtId="49" fontId="2" fillId="4" borderId="3" xfId="0" applyNumberFormat="1" applyFont="1" applyFill="1" applyBorder="1"/>
    <xf numFmtId="49" fontId="0" fillId="0" borderId="3" xfId="0" applyNumberFormat="1" applyBorder="1"/>
    <xf numFmtId="49" fontId="5" fillId="0" borderId="3" xfId="0" applyNumberFormat="1" applyFont="1" applyBorder="1"/>
    <xf numFmtId="49" fontId="0" fillId="0" borderId="0" xfId="0" applyNumberFormat="1"/>
    <xf numFmtId="49" fontId="5" fillId="0" borderId="0" xfId="0" applyNumberFormat="1" applyFont="1"/>
    <xf numFmtId="49" fontId="0" fillId="8" borderId="3" xfId="0" applyNumberFormat="1" applyFill="1" applyBorder="1"/>
    <xf numFmtId="44" fontId="0" fillId="0" borderId="0" xfId="1" applyFont="1" applyFill="1" applyBorder="1"/>
    <xf numFmtId="8" fontId="0" fillId="0" borderId="3" xfId="1" applyNumberFormat="1" applyFont="1" applyFill="1" applyBorder="1"/>
    <xf numFmtId="49" fontId="0" fillId="8" borderId="0" xfId="0" applyNumberFormat="1" applyFill="1"/>
    <xf numFmtId="0" fontId="0" fillId="8" borderId="0" xfId="0" applyFill="1"/>
    <xf numFmtId="0" fontId="2" fillId="5" borderId="3" xfId="0" applyFont="1" applyFill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13" fillId="10" borderId="8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6" borderId="1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16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7" fontId="0" fillId="0" borderId="3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6" xfId="0" applyFont="1" applyBorder="1"/>
    <xf numFmtId="0" fontId="0" fillId="0" borderId="6" xfId="0" applyBorder="1" applyAlignment="1">
      <alignment horizontal="left" vertical="center"/>
    </xf>
    <xf numFmtId="0" fontId="2" fillId="6" borderId="7" xfId="0" applyFont="1" applyFill="1" applyBorder="1" applyAlignment="1">
      <alignment horizontal="right"/>
    </xf>
    <xf numFmtId="0" fontId="8" fillId="6" borderId="11" xfId="0" applyFont="1" applyFill="1" applyBorder="1" applyAlignment="1">
      <alignment horizontal="right"/>
    </xf>
    <xf numFmtId="0" fontId="8" fillId="6" borderId="4" xfId="0" applyFont="1" applyFill="1" applyBorder="1" applyAlignment="1">
      <alignment horizontal="left"/>
    </xf>
    <xf numFmtId="17" fontId="0" fillId="0" borderId="3" xfId="1" applyNumberFormat="1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44" fontId="0" fillId="0" borderId="3" xfId="0" applyNumberFormat="1" applyBorder="1" applyAlignment="1">
      <alignment horizontal="left"/>
    </xf>
    <xf numFmtId="0" fontId="2" fillId="17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left" wrapText="1"/>
    </xf>
    <xf numFmtId="0" fontId="2" fillId="18" borderId="0" xfId="0" applyFont="1" applyFill="1"/>
    <xf numFmtId="0" fontId="2" fillId="6" borderId="10" xfId="0" applyFont="1" applyFill="1" applyBorder="1" applyAlignment="1">
      <alignment horizontal="left"/>
    </xf>
    <xf numFmtId="0" fontId="0" fillId="6" borderId="14" xfId="0" applyFill="1" applyBorder="1" applyAlignment="1">
      <alignment horizontal="left"/>
    </xf>
    <xf numFmtId="17" fontId="0" fillId="0" borderId="6" xfId="0" applyNumberFormat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5" fillId="0" borderId="5" xfId="0" applyFont="1" applyBorder="1"/>
    <xf numFmtId="0" fontId="8" fillId="0" borderId="5" xfId="0" applyFont="1" applyBorder="1" applyAlignment="1">
      <alignment horizontal="left"/>
    </xf>
    <xf numFmtId="44" fontId="8" fillId="0" borderId="5" xfId="0" applyNumberFormat="1" applyFont="1" applyBorder="1" applyAlignment="1">
      <alignment horizontal="right"/>
    </xf>
    <xf numFmtId="44" fontId="8" fillId="6" borderId="11" xfId="0" applyNumberFormat="1" applyFont="1" applyFill="1" applyBorder="1" applyAlignment="1">
      <alignment horizontal="right"/>
    </xf>
    <xf numFmtId="44" fontId="3" fillId="0" borderId="3" xfId="0" applyNumberFormat="1" applyFont="1" applyBorder="1" applyAlignment="1">
      <alignment horizontal="left"/>
    </xf>
    <xf numFmtId="44" fontId="0" fillId="0" borderId="3" xfId="0" applyNumberFormat="1" applyBorder="1" applyAlignment="1">
      <alignment horizontal="center"/>
    </xf>
    <xf numFmtId="0" fontId="15" fillId="6" borderId="7" xfId="0" applyFont="1" applyFill="1" applyBorder="1" applyAlignment="1">
      <alignment horizontal="right"/>
    </xf>
    <xf numFmtId="44" fontId="15" fillId="6" borderId="3" xfId="1" applyFont="1" applyFill="1" applyBorder="1" applyAlignment="1">
      <alignment horizontal="center"/>
    </xf>
    <xf numFmtId="44" fontId="0" fillId="0" borderId="0" xfId="0" applyNumberFormat="1" applyAlignment="1">
      <alignment horizontal="left"/>
    </xf>
    <xf numFmtId="44" fontId="0" fillId="0" borderId="0" xfId="0" applyNumberFormat="1" applyAlignment="1">
      <alignment horizontal="center"/>
    </xf>
    <xf numFmtId="0" fontId="5" fillId="0" borderId="6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44" fontId="6" fillId="0" borderId="0" xfId="1" applyFont="1" applyFill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44" fontId="3" fillId="0" borderId="3" xfId="1" applyFont="1" applyFill="1" applyBorder="1"/>
    <xf numFmtId="44" fontId="5" fillId="0" borderId="3" xfId="0" applyNumberFormat="1" applyFont="1" applyBorder="1" applyAlignment="1">
      <alignment horizontal="left"/>
    </xf>
    <xf numFmtId="0" fontId="5" fillId="0" borderId="0" xfId="0" applyFont="1"/>
    <xf numFmtId="8" fontId="5" fillId="0" borderId="3" xfId="1" applyNumberFormat="1" applyFont="1" applyFill="1" applyBorder="1"/>
    <xf numFmtId="44" fontId="5" fillId="0" borderId="0" xfId="0" applyNumberFormat="1" applyFont="1"/>
    <xf numFmtId="44" fontId="5" fillId="0" borderId="3" xfId="0" applyNumberFormat="1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17" fontId="5" fillId="0" borderId="3" xfId="0" applyNumberFormat="1" applyFont="1" applyBorder="1" applyAlignment="1">
      <alignment horizontal="left"/>
    </xf>
    <xf numFmtId="8" fontId="8" fillId="6" borderId="12" xfId="1" applyNumberFormat="1" applyFont="1" applyFill="1" applyBorder="1" applyAlignment="1">
      <alignment horizontal="right"/>
    </xf>
    <xf numFmtId="44" fontId="5" fillId="0" borderId="3" xfId="1" applyFont="1" applyFill="1" applyBorder="1"/>
    <xf numFmtId="0" fontId="2" fillId="0" borderId="3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3" borderId="0" xfId="0" applyFill="1"/>
    <xf numFmtId="44" fontId="0" fillId="3" borderId="0" xfId="0" applyNumberFormat="1" applyFill="1"/>
    <xf numFmtId="0" fontId="8" fillId="3" borderId="3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44" fontId="8" fillId="6" borderId="12" xfId="1" applyFont="1" applyFill="1" applyBorder="1" applyAlignment="1">
      <alignment horizontal="right"/>
    </xf>
    <xf numFmtId="0" fontId="0" fillId="3" borderId="6" xfId="0" applyFill="1" applyBorder="1" applyAlignment="1">
      <alignment horizontal="left"/>
    </xf>
    <xf numFmtId="0" fontId="0" fillId="0" borderId="7" xfId="0" applyBorder="1"/>
    <xf numFmtId="0" fontId="16" fillId="0" borderId="7" xfId="0" applyFont="1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44" fontId="0" fillId="0" borderId="7" xfId="0" applyNumberFormat="1" applyBorder="1" applyAlignment="1">
      <alignment horizontal="left"/>
    </xf>
    <xf numFmtId="44" fontId="0" fillId="0" borderId="7" xfId="0" applyNumberFormat="1" applyBorder="1" applyAlignment="1">
      <alignment horizontal="center"/>
    </xf>
    <xf numFmtId="44" fontId="3" fillId="0" borderId="7" xfId="0" applyNumberFormat="1" applyFont="1" applyBorder="1"/>
    <xf numFmtId="44" fontId="8" fillId="0" borderId="5" xfId="1" applyFont="1" applyBorder="1" applyAlignment="1">
      <alignment horizontal="center"/>
    </xf>
    <xf numFmtId="4" fontId="8" fillId="0" borderId="5" xfId="0" applyNumberFormat="1" applyFont="1" applyBorder="1" applyAlignment="1">
      <alignment horizontal="left"/>
    </xf>
    <xf numFmtId="44" fontId="2" fillId="19" borderId="3" xfId="0" applyNumberFormat="1" applyFont="1" applyFill="1" applyBorder="1" applyAlignment="1">
      <alignment horizontal="center"/>
    </xf>
    <xf numFmtId="0" fontId="2" fillId="19" borderId="7" xfId="0" applyFont="1" applyFill="1" applyBorder="1" applyAlignment="1">
      <alignment horizontal="left"/>
    </xf>
    <xf numFmtId="17" fontId="0" fillId="0" borderId="12" xfId="0" applyNumberFormat="1" applyBorder="1" applyAlignment="1">
      <alignment horizontal="center"/>
    </xf>
    <xf numFmtId="14" fontId="2" fillId="0" borderId="11" xfId="0" applyNumberFormat="1" applyFont="1" applyBorder="1" applyAlignment="1">
      <alignment horizontal="left"/>
    </xf>
    <xf numFmtId="0" fontId="19" fillId="20" borderId="5" xfId="0" applyFont="1" applyFill="1" applyBorder="1" applyAlignment="1">
      <alignment horizontal="center"/>
    </xf>
    <xf numFmtId="0" fontId="19" fillId="20" borderId="5" xfId="0" applyFont="1" applyFill="1" applyBorder="1" applyAlignment="1">
      <alignment horizontal="left"/>
    </xf>
    <xf numFmtId="0" fontId="2" fillId="21" borderId="3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 wrapText="1"/>
    </xf>
    <xf numFmtId="0" fontId="2" fillId="22" borderId="7" xfId="0" applyFont="1" applyFill="1" applyBorder="1" applyAlignment="1">
      <alignment horizontal="center"/>
    </xf>
    <xf numFmtId="0" fontId="2" fillId="23" borderId="7" xfId="0" applyFont="1" applyFill="1" applyBorder="1" applyAlignment="1">
      <alignment horizontal="center"/>
    </xf>
    <xf numFmtId="0" fontId="2" fillId="24" borderId="7" xfId="0" applyFont="1" applyFill="1" applyBorder="1" applyAlignment="1">
      <alignment horizontal="center" wrapText="1"/>
    </xf>
    <xf numFmtId="44" fontId="2" fillId="21" borderId="11" xfId="0" applyNumberFormat="1" applyFont="1" applyFill="1" applyBorder="1" applyAlignment="1">
      <alignment horizontal="center" wrapText="1"/>
    </xf>
    <xf numFmtId="0" fontId="2" fillId="21" borderId="11" xfId="0" applyFont="1" applyFill="1" applyBorder="1" applyAlignment="1">
      <alignment horizontal="left"/>
    </xf>
    <xf numFmtId="0" fontId="2" fillId="25" borderId="0" xfId="0" applyFont="1" applyFill="1"/>
    <xf numFmtId="0" fontId="2" fillId="0" borderId="12" xfId="0" applyFont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/>
    </xf>
    <xf numFmtId="44" fontId="0" fillId="0" borderId="11" xfId="0" applyNumberFormat="1" applyBorder="1" applyAlignment="1">
      <alignment horizontal="left"/>
    </xf>
    <xf numFmtId="44" fontId="0" fillId="0" borderId="11" xfId="0" applyNumberFormat="1" applyBorder="1" applyAlignment="1">
      <alignment horizontal="center"/>
    </xf>
    <xf numFmtId="44" fontId="3" fillId="0" borderId="11" xfId="0" applyNumberFormat="1" applyFont="1" applyBorder="1"/>
    <xf numFmtId="0" fontId="0" fillId="0" borderId="12" xfId="0" applyBorder="1" applyAlignment="1">
      <alignment horizontal="center"/>
    </xf>
    <xf numFmtId="44" fontId="3" fillId="0" borderId="11" xfId="0" applyNumberFormat="1" applyFont="1" applyBorder="1" applyAlignment="1">
      <alignment horizontal="center"/>
    </xf>
    <xf numFmtId="0" fontId="0" fillId="0" borderId="12" xfId="0" applyBorder="1"/>
    <xf numFmtId="0" fontId="2" fillId="0" borderId="7" xfId="0" applyFont="1" applyBorder="1" applyAlignment="1">
      <alignment horizontal="left"/>
    </xf>
    <xf numFmtId="0" fontId="16" fillId="0" borderId="11" xfId="0" applyFont="1" applyBorder="1"/>
    <xf numFmtId="0" fontId="0" fillId="0" borderId="11" xfId="0" applyBorder="1" applyAlignment="1">
      <alignment horizontal="left" vertical="center"/>
    </xf>
    <xf numFmtId="0" fontId="2" fillId="0" borderId="11" xfId="0" applyFont="1" applyBorder="1"/>
    <xf numFmtId="0" fontId="17" fillId="26" borderId="3" xfId="0" applyFont="1" applyFill="1" applyBorder="1" applyAlignment="1">
      <alignment horizontal="left"/>
    </xf>
    <xf numFmtId="0" fontId="16" fillId="0" borderId="5" xfId="0" applyFont="1" applyBorder="1"/>
    <xf numFmtId="0" fontId="16" fillId="0" borderId="5" xfId="0" applyFont="1" applyBorder="1" applyAlignment="1">
      <alignment horizontal="center"/>
    </xf>
    <xf numFmtId="0" fontId="20" fillId="0" borderId="5" xfId="0" applyFont="1" applyBorder="1" applyAlignment="1">
      <alignment horizontal="left"/>
    </xf>
    <xf numFmtId="4" fontId="20" fillId="0" borderId="5" xfId="0" applyNumberFormat="1" applyFont="1" applyBorder="1" applyAlignment="1">
      <alignment horizontal="left"/>
    </xf>
    <xf numFmtId="44" fontId="20" fillId="0" borderId="5" xfId="0" applyNumberFormat="1" applyFont="1" applyBorder="1" applyAlignment="1">
      <alignment horizontal="right"/>
    </xf>
    <xf numFmtId="0" fontId="20" fillId="27" borderId="11" xfId="0" applyFont="1" applyFill="1" applyBorder="1" applyAlignment="1">
      <alignment horizontal="right"/>
    </xf>
    <xf numFmtId="44" fontId="20" fillId="27" borderId="11" xfId="0" applyNumberFormat="1" applyFont="1" applyFill="1" applyBorder="1" applyAlignment="1">
      <alignment horizontal="right"/>
    </xf>
    <xf numFmtId="44" fontId="20" fillId="27" borderId="11" xfId="0" applyNumberFormat="1" applyFont="1" applyFill="1" applyBorder="1" applyAlignment="1">
      <alignment horizontal="center"/>
    </xf>
    <xf numFmtId="0" fontId="2" fillId="27" borderId="5" xfId="0" applyFont="1" applyFill="1" applyBorder="1" applyAlignment="1">
      <alignment horizontal="left"/>
    </xf>
    <xf numFmtId="0" fontId="16" fillId="0" borderId="11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0" fillId="0" borderId="11" xfId="0" applyBorder="1" applyAlignment="1">
      <alignment horizontal="right"/>
    </xf>
    <xf numFmtId="0" fontId="16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right"/>
    </xf>
    <xf numFmtId="0" fontId="20" fillId="0" borderId="5" xfId="0" applyFont="1" applyBorder="1" applyAlignment="1">
      <alignment horizontal="right"/>
    </xf>
    <xf numFmtId="0" fontId="20" fillId="0" borderId="12" xfId="0" applyFont="1" applyBorder="1" applyAlignment="1">
      <alignment horizontal="center"/>
    </xf>
    <xf numFmtId="0" fontId="20" fillId="27" borderId="17" xfId="0" applyFont="1" applyFill="1" applyBorder="1" applyAlignment="1">
      <alignment horizontal="left"/>
    </xf>
    <xf numFmtId="44" fontId="16" fillId="27" borderId="17" xfId="0" applyNumberFormat="1" applyFont="1" applyFill="1" applyBorder="1" applyAlignment="1">
      <alignment horizontal="center"/>
    </xf>
    <xf numFmtId="0" fontId="20" fillId="28" borderId="12" xfId="0" applyFont="1" applyFill="1" applyBorder="1" applyAlignment="1">
      <alignment horizontal="left"/>
    </xf>
    <xf numFmtId="0" fontId="0" fillId="28" borderId="0" xfId="0" applyFill="1"/>
    <xf numFmtId="44" fontId="0" fillId="28" borderId="0" xfId="0" applyNumberFormat="1" applyFill="1"/>
    <xf numFmtId="0" fontId="0" fillId="27" borderId="5" xfId="0" applyFill="1" applyBorder="1" applyAlignment="1">
      <alignment horizontal="left"/>
    </xf>
    <xf numFmtId="0" fontId="20" fillId="27" borderId="10" xfId="0" applyFont="1" applyFill="1" applyBorder="1" applyAlignment="1">
      <alignment horizontal="right"/>
    </xf>
    <xf numFmtId="0" fontId="20" fillId="27" borderId="5" xfId="0" applyFont="1" applyFill="1" applyBorder="1" applyAlignment="1">
      <alignment horizontal="right"/>
    </xf>
    <xf numFmtId="0" fontId="20" fillId="27" borderId="5" xfId="0" applyFont="1" applyFill="1" applyBorder="1" applyAlignment="1">
      <alignment horizontal="center"/>
    </xf>
    <xf numFmtId="0" fontId="20" fillId="27" borderId="11" xfId="0" applyFont="1" applyFill="1" applyBorder="1" applyAlignment="1">
      <alignment horizontal="left"/>
    </xf>
    <xf numFmtId="0" fontId="15" fillId="27" borderId="11" xfId="0" applyFont="1" applyFill="1" applyBorder="1" applyAlignment="1">
      <alignment horizontal="right"/>
    </xf>
    <xf numFmtId="44" fontId="15" fillId="27" borderId="11" xfId="0" applyNumberFormat="1" applyFont="1" applyFill="1" applyBorder="1" applyAlignment="1">
      <alignment horizontal="center"/>
    </xf>
    <xf numFmtId="44" fontId="6" fillId="0" borderId="0" xfId="0" applyNumberFormat="1" applyFont="1" applyAlignment="1">
      <alignment horizontal="left"/>
    </xf>
    <xf numFmtId="164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49" fontId="0" fillId="0" borderId="11" xfId="0" applyNumberFormat="1" applyBorder="1" applyAlignment="1">
      <alignment horizontal="right"/>
    </xf>
    <xf numFmtId="49" fontId="2" fillId="21" borderId="7" xfId="0" applyNumberFormat="1" applyFont="1" applyFill="1" applyBorder="1" applyAlignment="1">
      <alignment horizontal="center"/>
    </xf>
    <xf numFmtId="0" fontId="16" fillId="0" borderId="0" xfId="0" applyFont="1"/>
    <xf numFmtId="44" fontId="3" fillId="0" borderId="0" xfId="0" applyNumberFormat="1" applyFont="1"/>
    <xf numFmtId="0" fontId="18" fillId="0" borderId="3" xfId="0" applyFont="1" applyBorder="1" applyAlignment="1">
      <alignment horizontal="left"/>
    </xf>
    <xf numFmtId="0" fontId="20" fillId="27" borderId="8" xfId="0" applyFont="1" applyFill="1" applyBorder="1" applyAlignment="1">
      <alignment horizontal="left"/>
    </xf>
    <xf numFmtId="0" fontId="17" fillId="26" borderId="11" xfId="0" applyFont="1" applyFill="1" applyBorder="1" applyAlignment="1">
      <alignment horizontal="left"/>
    </xf>
    <xf numFmtId="44" fontId="20" fillId="27" borderId="5" xfId="0" applyNumberFormat="1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44" fontId="20" fillId="0" borderId="3" xfId="0" applyNumberFormat="1" applyFont="1" applyBorder="1" applyAlignment="1">
      <alignment horizontal="center"/>
    </xf>
    <xf numFmtId="0" fontId="2" fillId="27" borderId="3" xfId="0" applyFont="1" applyFill="1" applyBorder="1" applyAlignment="1">
      <alignment horizontal="left"/>
    </xf>
    <xf numFmtId="0" fontId="0" fillId="27" borderId="3" xfId="0" applyFill="1" applyBorder="1" applyAlignment="1">
      <alignment horizontal="left"/>
    </xf>
    <xf numFmtId="4" fontId="0" fillId="0" borderId="0" xfId="0" applyNumberFormat="1" applyAlignment="1">
      <alignment horizontal="left"/>
    </xf>
    <xf numFmtId="44" fontId="3" fillId="0" borderId="11" xfId="0" applyNumberFormat="1" applyFont="1" applyBorder="1" applyAlignment="1">
      <alignment horizontal="left"/>
    </xf>
    <xf numFmtId="0" fontId="5" fillId="29" borderId="11" xfId="0" applyFont="1" applyFill="1" applyBorder="1"/>
    <xf numFmtId="8" fontId="0" fillId="0" borderId="11" xfId="0" applyNumberFormat="1" applyBorder="1" applyAlignment="1">
      <alignment horizontal="center"/>
    </xf>
    <xf numFmtId="0" fontId="0" fillId="27" borderId="7" xfId="0" applyFill="1" applyBorder="1" applyAlignment="1">
      <alignment horizontal="left"/>
    </xf>
    <xf numFmtId="0" fontId="20" fillId="0" borderId="17" xfId="0" applyFont="1" applyBorder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44" fontId="16" fillId="27" borderId="8" xfId="0" applyNumberFormat="1" applyFont="1" applyFill="1" applyBorder="1" applyAlignment="1">
      <alignment horizontal="center"/>
    </xf>
    <xf numFmtId="44" fontId="5" fillId="0" borderId="11" xfId="0" applyNumberFormat="1" applyFont="1" applyBorder="1"/>
    <xf numFmtId="0" fontId="17" fillId="0" borderId="11" xfId="0" applyFont="1" applyBorder="1" applyAlignment="1">
      <alignment horizontal="left"/>
    </xf>
    <xf numFmtId="8" fontId="3" fillId="0" borderId="11" xfId="0" applyNumberFormat="1" applyFont="1" applyBorder="1"/>
    <xf numFmtId="0" fontId="0" fillId="29" borderId="11" xfId="0" applyFill="1" applyBorder="1"/>
    <xf numFmtId="0" fontId="16" fillId="29" borderId="11" xfId="0" applyFont="1" applyFill="1" applyBorder="1"/>
    <xf numFmtId="44" fontId="0" fillId="27" borderId="5" xfId="0" applyNumberFormat="1" applyFill="1" applyBorder="1" applyAlignment="1">
      <alignment horizontal="left"/>
    </xf>
    <xf numFmtId="0" fontId="0" fillId="30" borderId="0" xfId="0" applyFill="1"/>
    <xf numFmtId="44" fontId="2" fillId="19" borderId="7" xfId="0" applyNumberFormat="1" applyFont="1" applyFill="1" applyBorder="1" applyAlignment="1">
      <alignment horizontal="center"/>
    </xf>
    <xf numFmtId="17" fontId="0" fillId="0" borderId="11" xfId="0" applyNumberFormat="1" applyBorder="1" applyAlignment="1">
      <alignment horizontal="center"/>
    </xf>
    <xf numFmtId="44" fontId="20" fillId="27" borderId="5" xfId="0" applyNumberFormat="1" applyFont="1" applyFill="1" applyBorder="1" applyAlignment="1">
      <alignment horizontal="right"/>
    </xf>
    <xf numFmtId="44" fontId="15" fillId="27" borderId="5" xfId="0" applyNumberFormat="1" applyFont="1" applyFill="1" applyBorder="1" applyAlignment="1">
      <alignment horizontal="center"/>
    </xf>
    <xf numFmtId="14" fontId="3" fillId="0" borderId="11" xfId="0" applyNumberFormat="1" applyFont="1" applyBorder="1"/>
    <xf numFmtId="44" fontId="5" fillId="0" borderId="11" xfId="0" applyNumberFormat="1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0" fontId="20" fillId="0" borderId="3" xfId="0" applyFont="1" applyBorder="1" applyAlignment="1">
      <alignment horizontal="left"/>
    </xf>
    <xf numFmtId="4" fontId="20" fillId="0" borderId="3" xfId="0" applyNumberFormat="1" applyFont="1" applyBorder="1" applyAlignment="1">
      <alignment horizontal="left"/>
    </xf>
    <xf numFmtId="44" fontId="20" fillId="0" borderId="3" xfId="0" applyNumberFormat="1" applyFont="1" applyBorder="1" applyAlignment="1">
      <alignment horizontal="right"/>
    </xf>
    <xf numFmtId="44" fontId="2" fillId="0" borderId="11" xfId="0" applyNumberFormat="1" applyFont="1" applyBorder="1" applyAlignment="1">
      <alignment horizontal="left"/>
    </xf>
    <xf numFmtId="44" fontId="0" fillId="0" borderId="11" xfId="0" applyNumberFormat="1" applyBorder="1" applyAlignment="1">
      <alignment horizontal="right"/>
    </xf>
    <xf numFmtId="0" fontId="16" fillId="0" borderId="3" xfId="0" applyFont="1" applyBorder="1" applyAlignment="1">
      <alignment horizontal="left"/>
    </xf>
    <xf numFmtId="44" fontId="16" fillId="0" borderId="3" xfId="0" applyNumberFormat="1" applyFont="1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center"/>
    </xf>
    <xf numFmtId="0" fontId="2" fillId="6" borderId="6" xfId="0" applyFont="1" applyFill="1" applyBorder="1" applyAlignment="1">
      <alignment horizontal="right"/>
    </xf>
    <xf numFmtId="0" fontId="2" fillId="6" borderId="8" xfId="0" applyFont="1" applyFill="1" applyBorder="1" applyAlignment="1">
      <alignment horizontal="right"/>
    </xf>
    <xf numFmtId="0" fontId="2" fillId="6" borderId="7" xfId="0" applyFont="1" applyFill="1" applyBorder="1" applyAlignment="1">
      <alignment horizontal="right"/>
    </xf>
    <xf numFmtId="0" fontId="8" fillId="6" borderId="6" xfId="0" applyFont="1" applyFill="1" applyBorder="1" applyAlignment="1">
      <alignment horizontal="left"/>
    </xf>
    <xf numFmtId="0" fontId="8" fillId="6" borderId="8" xfId="0" applyFont="1" applyFill="1" applyBorder="1" applyAlignment="1">
      <alignment horizontal="left"/>
    </xf>
    <xf numFmtId="0" fontId="8" fillId="6" borderId="7" xfId="0" applyFont="1" applyFill="1" applyBorder="1" applyAlignment="1">
      <alignment horizontal="left"/>
    </xf>
    <xf numFmtId="0" fontId="8" fillId="6" borderId="6" xfId="0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0" fontId="8" fillId="6" borderId="7" xfId="0" applyFont="1" applyFill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15" fillId="27" borderId="6" xfId="0" applyFont="1" applyFill="1" applyBorder="1" applyAlignment="1">
      <alignment horizontal="right"/>
    </xf>
    <xf numFmtId="0" fontId="15" fillId="27" borderId="8" xfId="0" applyFont="1" applyFill="1" applyBorder="1" applyAlignment="1">
      <alignment horizontal="right"/>
    </xf>
    <xf numFmtId="0" fontId="15" fillId="27" borderId="16" xfId="0" applyFont="1" applyFill="1" applyBorder="1" applyAlignment="1">
      <alignment horizontal="right"/>
    </xf>
    <xf numFmtId="0" fontId="20" fillId="27" borderId="6" xfId="0" applyFont="1" applyFill="1" applyBorder="1" applyAlignment="1">
      <alignment horizontal="right"/>
    </xf>
    <xf numFmtId="0" fontId="20" fillId="27" borderId="8" xfId="0" applyFont="1" applyFill="1" applyBorder="1" applyAlignment="1">
      <alignment horizontal="right"/>
    </xf>
    <xf numFmtId="0" fontId="20" fillId="27" borderId="16" xfId="0" applyFont="1" applyFill="1" applyBorder="1" applyAlignment="1">
      <alignment horizontal="right"/>
    </xf>
    <xf numFmtId="0" fontId="16" fillId="0" borderId="6" xfId="0" applyFont="1" applyBorder="1" applyAlignment="1">
      <alignment horizontal="right"/>
    </xf>
    <xf numFmtId="0" fontId="16" fillId="0" borderId="8" xfId="0" applyFont="1" applyBorder="1" applyAlignment="1">
      <alignment horizontal="right"/>
    </xf>
    <xf numFmtId="0" fontId="16" fillId="0" borderId="16" xfId="0" applyFont="1" applyBorder="1" applyAlignment="1">
      <alignment horizontal="right"/>
    </xf>
    <xf numFmtId="0" fontId="20" fillId="0" borderId="6" xfId="0" applyFont="1" applyBorder="1" applyAlignment="1">
      <alignment horizontal="right"/>
    </xf>
    <xf numFmtId="0" fontId="20" fillId="0" borderId="8" xfId="0" applyFont="1" applyBorder="1" applyAlignment="1">
      <alignment horizontal="right"/>
    </xf>
    <xf numFmtId="0" fontId="20" fillId="0" borderId="16" xfId="0" applyFont="1" applyBorder="1" applyAlignment="1">
      <alignment horizontal="right"/>
    </xf>
    <xf numFmtId="0" fontId="20" fillId="27" borderId="6" xfId="0" applyFont="1" applyFill="1" applyBorder="1" applyAlignment="1">
      <alignment horizontal="left"/>
    </xf>
    <xf numFmtId="0" fontId="20" fillId="27" borderId="8" xfId="0" applyFont="1" applyFill="1" applyBorder="1" applyAlignment="1">
      <alignment horizontal="left"/>
    </xf>
    <xf numFmtId="0" fontId="20" fillId="27" borderId="16" xfId="0" applyFont="1" applyFill="1" applyBorder="1" applyAlignment="1">
      <alignment horizontal="left"/>
    </xf>
    <xf numFmtId="0" fontId="15" fillId="6" borderId="6" xfId="0" applyFont="1" applyFill="1" applyBorder="1" applyAlignment="1">
      <alignment horizontal="right"/>
    </xf>
    <xf numFmtId="0" fontId="15" fillId="6" borderId="8" xfId="0" applyFont="1" applyFill="1" applyBorder="1" applyAlignment="1">
      <alignment horizontal="right"/>
    </xf>
    <xf numFmtId="0" fontId="15" fillId="6" borderId="7" xfId="0" applyFont="1" applyFill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6" borderId="14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left"/>
    </xf>
    <xf numFmtId="0" fontId="8" fillId="6" borderId="4" xfId="0" applyFont="1" applyFill="1" applyBorder="1" applyAlignment="1">
      <alignment horizontal="left"/>
    </xf>
    <xf numFmtId="0" fontId="8" fillId="6" borderId="10" xfId="0" applyFont="1" applyFill="1" applyBorder="1" applyAlignment="1">
      <alignment horizontal="right"/>
    </xf>
    <xf numFmtId="0" fontId="8" fillId="6" borderId="5" xfId="0" applyFont="1" applyFill="1" applyBorder="1" applyAlignment="1">
      <alignment horizontal="right"/>
    </xf>
    <xf numFmtId="0" fontId="8" fillId="6" borderId="11" xfId="0" applyFont="1" applyFill="1" applyBorder="1" applyAlignment="1">
      <alignment horizontal="right"/>
    </xf>
    <xf numFmtId="0" fontId="13" fillId="10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158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2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microsoft.com/office/2017/10/relationships/person" Target="persons/person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ma Zhang" id="{3898D57E-ED27-5041-8BD1-6B0FAD9C4EBE}" userId="S::kama.zhang@kaiming.org::88e81310-6528-4ff0-bb5b-fc931ccc89e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4" dT="2024-01-19T18:23:30.92" personId="{3898D57E-ED27-5041-8BD1-6B0FAD9C4EBE}" id="{F00D15CA-16B1-6C47-8B21-2555CFE27188}">
    <text>No ee deduction??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3" dT="2024-01-19T18:23:30.92" personId="{3898D57E-ED27-5041-8BD1-6B0FAD9C4EBE}" id="{3E25A0B6-C52B-624C-8278-6B9005A3EDFE}">
    <text>No ee deduction??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2" dT="2024-01-19T18:23:30.92" personId="{3898D57E-ED27-5041-8BD1-6B0FAD9C4EBE}" id="{3FAB175F-A6CB-9A49-9926-077959751C44}">
    <text>No ee deduction??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22" dT="2024-01-19T18:23:30.92" personId="{3898D57E-ED27-5041-8BD1-6B0FAD9C4EBE}" id="{8215B4C3-2F35-294D-9A38-15E043F016CD}">
    <text>No ee deduction??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M22" dT="2024-01-19T18:23:30.92" personId="{3898D57E-ED27-5041-8BD1-6B0FAD9C4EBE}" id="{3BD968B0-5918-CF4E-B225-DA9988D91B4D}">
    <text>No ee deduction??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M22" dT="2024-01-19T18:23:30.92" personId="{3898D57E-ED27-5041-8BD1-6B0FAD9C4EBE}" id="{0E088675-12C6-0D4F-8E01-3F55F9AF7824}">
    <text>No ee deduction??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M22" dT="2024-01-19T18:23:30.92" personId="{3898D57E-ED27-5041-8BD1-6B0FAD9C4EBE}" id="{F4987CDC-B9A6-8E4E-A2F8-7546485F8000}">
    <text>No ee deduction??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M22" dT="2024-01-19T18:23:30.92" personId="{3898D57E-ED27-5041-8BD1-6B0FAD9C4EBE}" id="{D9A8EBF8-9E2F-3D41-9764-802B762CB717}">
    <text>No ee deduction??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M21" dT="2024-01-19T18:23:30.92" personId="{3898D57E-ED27-5041-8BD1-6B0FAD9C4EBE}" id="{40552240-5F42-7246-BD2E-631E23BD9DCA}">
    <text>No ee deduction??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M21" dT="2024-01-19T18:23:30.92" personId="{3898D57E-ED27-5041-8BD1-6B0FAD9C4EBE}" id="{6A9F570E-4583-3C4F-866C-DF1EB746CAE4}">
    <text>No ee deduction??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M21" dT="2024-01-19T18:23:30.92" personId="{3898D57E-ED27-5041-8BD1-6B0FAD9C4EBE}" id="{8F81F823-8795-2E4C-BB0A-1E6451510E1F}">
    <text>No ee deduction??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M21" dT="2024-01-19T18:23:30.92" personId="{3898D57E-ED27-5041-8BD1-6B0FAD9C4EBE}" id="{D0286032-B5CF-7148-9339-EC62D9053A07}">
    <text>No ee deduction??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M22" dT="2024-01-19T18:23:30.92" personId="{3898D57E-ED27-5041-8BD1-6B0FAD9C4EBE}" id="{D78CCC5E-3ECB-2244-B123-426A0D49BB04}">
    <text>No ee deduction??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M22" dT="2024-01-19T18:23:30.92" personId="{3898D57E-ED27-5041-8BD1-6B0FAD9C4EBE}" id="{75D4AF74-8368-9047-A618-D7F3363D5720}">
    <text>No ee deduction??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7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7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7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8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8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8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8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9" width="7.6640625" customWidth="1"/>
    <col min="10" max="10" width="11.1640625" bestFit="1" customWidth="1"/>
  </cols>
  <sheetData>
    <row r="1" spans="1:17">
      <c r="A1" s="1" t="s">
        <v>0</v>
      </c>
    </row>
    <row r="2" spans="1:17" ht="13.5" customHeight="1">
      <c r="A2" s="1"/>
    </row>
    <row r="3" spans="1:17">
      <c r="A3" s="1" t="s">
        <v>39</v>
      </c>
    </row>
    <row r="4" spans="1:17">
      <c r="A4" s="1"/>
    </row>
    <row r="5" spans="1:17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/>
    </row>
    <row r="6" spans="1:17" ht="14" thickTop="1">
      <c r="A6" t="s">
        <v>9</v>
      </c>
      <c r="B6" s="4">
        <v>388</v>
      </c>
      <c r="C6" s="4"/>
      <c r="D6" s="4"/>
      <c r="E6" s="4"/>
      <c r="F6" s="4"/>
      <c r="G6" s="4"/>
      <c r="H6" s="4"/>
      <c r="I6" s="4"/>
    </row>
    <row r="7" spans="1:17">
      <c r="A7" s="5" t="s">
        <v>10</v>
      </c>
      <c r="B7" s="4"/>
      <c r="C7" s="4">
        <v>301</v>
      </c>
      <c r="D7" s="4"/>
      <c r="E7" s="4"/>
      <c r="F7" s="4"/>
      <c r="G7" s="4"/>
      <c r="H7" s="4"/>
      <c r="I7" s="4"/>
    </row>
    <row r="8" spans="1:17">
      <c r="A8" s="5" t="s">
        <v>11</v>
      </c>
      <c r="B8" s="4"/>
      <c r="C8" s="4"/>
      <c r="D8" s="4">
        <v>301</v>
      </c>
      <c r="E8" s="4"/>
      <c r="F8" s="4"/>
      <c r="G8" s="4"/>
      <c r="H8" s="4"/>
      <c r="I8" s="4"/>
    </row>
    <row r="9" spans="1:17">
      <c r="A9" t="s">
        <v>12</v>
      </c>
      <c r="B9" s="4"/>
      <c r="C9" s="4"/>
      <c r="D9" s="4"/>
      <c r="E9" s="4"/>
      <c r="F9" s="4"/>
      <c r="G9" s="4">
        <v>505</v>
      </c>
      <c r="H9" s="4"/>
      <c r="I9" s="4"/>
    </row>
    <row r="10" spans="1:17">
      <c r="A10" s="5" t="s">
        <v>13</v>
      </c>
      <c r="B10" s="4"/>
      <c r="C10" s="4"/>
      <c r="D10" s="4"/>
      <c r="E10" s="4"/>
      <c r="F10" s="4">
        <v>787</v>
      </c>
      <c r="G10" s="4"/>
      <c r="H10" s="4"/>
      <c r="I10" s="4"/>
      <c r="Q10" t="s">
        <v>14</v>
      </c>
    </row>
    <row r="11" spans="1:17">
      <c r="A11" s="5" t="s">
        <v>15</v>
      </c>
      <c r="B11" s="4"/>
      <c r="C11" s="4"/>
      <c r="D11" s="4"/>
      <c r="E11" s="4"/>
      <c r="F11" s="4"/>
      <c r="G11" s="4"/>
      <c r="H11" s="4"/>
      <c r="I11" s="4">
        <v>638</v>
      </c>
    </row>
    <row r="12" spans="1:17">
      <c r="A12" s="5" t="s">
        <v>16</v>
      </c>
      <c r="B12" s="4"/>
      <c r="C12" s="4"/>
      <c r="D12" s="4"/>
      <c r="E12" s="4"/>
      <c r="F12" s="4"/>
      <c r="G12" s="4"/>
      <c r="H12" s="4"/>
      <c r="I12" s="4">
        <v>388</v>
      </c>
    </row>
    <row r="13" spans="1:17">
      <c r="A13" t="s">
        <v>17</v>
      </c>
      <c r="B13" s="4">
        <v>787</v>
      </c>
      <c r="C13" s="4"/>
      <c r="D13" s="4"/>
      <c r="E13" s="4"/>
      <c r="F13" s="4"/>
      <c r="G13" s="4"/>
      <c r="H13" s="4"/>
      <c r="I13" s="4"/>
    </row>
    <row r="14" spans="1:17">
      <c r="A14" t="s">
        <v>18</v>
      </c>
      <c r="B14" s="4"/>
      <c r="C14" s="4"/>
      <c r="D14" s="4"/>
      <c r="E14" s="4"/>
      <c r="F14" s="4"/>
      <c r="G14" s="4"/>
      <c r="H14" s="4"/>
      <c r="I14" s="4">
        <v>388</v>
      </c>
    </row>
    <row r="15" spans="1:17">
      <c r="A15" t="s">
        <v>19</v>
      </c>
      <c r="B15" s="4"/>
      <c r="C15" s="4"/>
      <c r="D15" s="4"/>
      <c r="E15" s="4">
        <v>301</v>
      </c>
      <c r="F15" s="4"/>
      <c r="G15" s="4"/>
      <c r="H15" s="4"/>
      <c r="I15" s="4"/>
    </row>
    <row r="16" spans="1:17">
      <c r="A16" t="s">
        <v>20</v>
      </c>
      <c r="B16" s="4"/>
      <c r="C16" s="4"/>
      <c r="D16" s="4"/>
      <c r="E16" s="4"/>
      <c r="F16" s="4"/>
      <c r="G16" s="4"/>
      <c r="H16" s="4"/>
      <c r="I16" s="4">
        <v>638</v>
      </c>
    </row>
    <row r="17" spans="1:11">
      <c r="A17" t="s">
        <v>21</v>
      </c>
      <c r="B17" s="4"/>
      <c r="C17" s="4"/>
      <c r="D17" s="4">
        <v>505</v>
      </c>
      <c r="E17" s="4"/>
      <c r="F17" s="4"/>
      <c r="G17" s="4"/>
      <c r="H17" s="4"/>
      <c r="I17" s="4"/>
    </row>
    <row r="18" spans="1:11">
      <c r="A18" t="s">
        <v>22</v>
      </c>
      <c r="B18" s="4"/>
      <c r="C18" s="4"/>
      <c r="D18" s="4"/>
      <c r="E18" s="4"/>
      <c r="F18" s="4"/>
      <c r="G18" s="4"/>
      <c r="H18" s="4"/>
      <c r="I18" s="4">
        <v>787</v>
      </c>
    </row>
    <row r="19" spans="1:11">
      <c r="A19" t="s">
        <v>23</v>
      </c>
      <c r="B19" s="4"/>
      <c r="C19" s="4"/>
      <c r="D19" s="4"/>
      <c r="E19" s="4"/>
      <c r="F19" s="4">
        <v>388</v>
      </c>
      <c r="G19" s="4"/>
      <c r="H19" s="4"/>
      <c r="I19" s="4"/>
    </row>
    <row r="20" spans="1:11">
      <c r="A20" t="s">
        <v>24</v>
      </c>
      <c r="B20" s="4"/>
      <c r="C20" s="4"/>
      <c r="D20" s="4"/>
      <c r="E20" s="4"/>
      <c r="F20" s="4"/>
      <c r="G20" s="4">
        <v>505</v>
      </c>
      <c r="H20" s="4"/>
      <c r="I20" s="4"/>
    </row>
    <row r="21" spans="1:11">
      <c r="A21" s="5" t="s">
        <v>25</v>
      </c>
      <c r="B21" s="4"/>
      <c r="C21" s="4"/>
      <c r="D21" s="4">
        <v>388</v>
      </c>
      <c r="E21" s="4"/>
      <c r="F21" s="4"/>
      <c r="G21" s="4"/>
      <c r="H21" s="4"/>
      <c r="I21" s="4"/>
    </row>
    <row r="22" spans="1:11">
      <c r="A22" t="s">
        <v>26</v>
      </c>
      <c r="B22" s="4"/>
      <c r="C22" s="4"/>
      <c r="D22" s="4"/>
      <c r="E22" s="4">
        <v>301</v>
      </c>
      <c r="F22" s="4"/>
      <c r="G22" s="4"/>
      <c r="H22" s="4"/>
      <c r="I22" s="4"/>
    </row>
    <row r="23" spans="1:11">
      <c r="A23" s="5" t="s">
        <v>27</v>
      </c>
      <c r="B23" s="4"/>
      <c r="C23" s="4"/>
      <c r="D23" s="4"/>
      <c r="E23" s="4"/>
      <c r="F23" s="4"/>
      <c r="G23" s="4">
        <v>787</v>
      </c>
      <c r="H23" s="4"/>
      <c r="I23" s="4"/>
    </row>
    <row r="24" spans="1:11">
      <c r="A24" s="5" t="s">
        <v>28</v>
      </c>
      <c r="B24" s="4"/>
      <c r="C24" s="4"/>
      <c r="D24" s="4"/>
      <c r="E24" s="4"/>
      <c r="F24" s="4"/>
      <c r="G24" s="4"/>
      <c r="H24" s="4">
        <v>388</v>
      </c>
      <c r="I24" s="4"/>
    </row>
    <row r="25" spans="1:11">
      <c r="A25" s="5" t="s">
        <v>29</v>
      </c>
      <c r="B25" s="4"/>
      <c r="C25" s="4"/>
      <c r="D25" s="4">
        <v>638</v>
      </c>
      <c r="E25" s="4"/>
      <c r="F25" s="4"/>
      <c r="G25" s="4"/>
      <c r="H25" s="4"/>
      <c r="I25" s="4"/>
    </row>
    <row r="26" spans="1:11">
      <c r="A26" s="5" t="s">
        <v>30</v>
      </c>
      <c r="B26" s="4"/>
      <c r="C26" s="4">
        <v>301</v>
      </c>
      <c r="D26" s="4"/>
      <c r="E26" s="4"/>
      <c r="F26" s="4"/>
      <c r="G26" s="4"/>
      <c r="H26" s="4"/>
      <c r="I26" s="4"/>
    </row>
    <row r="27" spans="1:11">
      <c r="A27" s="5" t="s">
        <v>31</v>
      </c>
      <c r="B27" s="4"/>
      <c r="C27" s="4"/>
      <c r="D27" s="4"/>
      <c r="E27" s="4">
        <v>638</v>
      </c>
      <c r="F27" s="4"/>
      <c r="G27" s="4"/>
      <c r="H27" s="4"/>
      <c r="I27" s="4"/>
      <c r="K27" t="s">
        <v>32</v>
      </c>
    </row>
    <row r="28" spans="1:11">
      <c r="A28" s="5" t="s">
        <v>33</v>
      </c>
      <c r="B28" s="4"/>
      <c r="C28" s="4"/>
      <c r="D28" s="4"/>
      <c r="E28" s="4"/>
      <c r="F28" s="4">
        <v>301</v>
      </c>
      <c r="G28" s="4"/>
      <c r="H28" s="4"/>
      <c r="I28" s="4"/>
    </row>
    <row r="29" spans="1:11">
      <c r="A29" t="s">
        <v>34</v>
      </c>
      <c r="B29" s="4"/>
      <c r="C29" s="4"/>
      <c r="D29" s="4"/>
      <c r="E29" s="4"/>
      <c r="F29" s="4"/>
      <c r="G29" s="4"/>
      <c r="H29" s="4">
        <v>388</v>
      </c>
      <c r="I29" s="4"/>
    </row>
    <row r="30" spans="1:11">
      <c r="A30" s="5" t="s">
        <v>35</v>
      </c>
      <c r="B30" s="4"/>
      <c r="C30" s="4"/>
      <c r="D30" s="4"/>
      <c r="E30" s="4"/>
      <c r="F30" s="4"/>
      <c r="G30" s="4"/>
      <c r="H30" s="4"/>
      <c r="I30" s="4">
        <v>787</v>
      </c>
    </row>
    <row r="31" spans="1:11">
      <c r="A31" t="s">
        <v>36</v>
      </c>
      <c r="B31" s="4"/>
      <c r="C31" s="4"/>
      <c r="D31" s="4"/>
      <c r="E31" s="4"/>
      <c r="F31" s="4"/>
      <c r="G31" s="4"/>
      <c r="H31" s="4"/>
      <c r="I31" s="4"/>
    </row>
    <row r="32" spans="1:11">
      <c r="A32" s="6" t="s">
        <v>37</v>
      </c>
      <c r="B32" s="7">
        <f t="shared" ref="B32:I32" si="0">SUM(B6:B31)</f>
        <v>1175</v>
      </c>
      <c r="C32" s="7">
        <f t="shared" si="0"/>
        <v>602</v>
      </c>
      <c r="D32" s="7">
        <f t="shared" si="0"/>
        <v>1832</v>
      </c>
      <c r="E32" s="7">
        <f t="shared" si="0"/>
        <v>1240</v>
      </c>
      <c r="F32" s="7">
        <f t="shared" si="0"/>
        <v>1476</v>
      </c>
      <c r="G32" s="7">
        <f t="shared" si="0"/>
        <v>1797</v>
      </c>
      <c r="H32" s="7">
        <f t="shared" si="0"/>
        <v>776</v>
      </c>
      <c r="I32" s="7">
        <f t="shared" si="0"/>
        <v>3626</v>
      </c>
      <c r="J32" s="8">
        <f>SUM(B32:I32)</f>
        <v>12524</v>
      </c>
    </row>
    <row r="33" spans="1:10">
      <c r="A33" s="9"/>
      <c r="B33" s="7" t="s">
        <v>38</v>
      </c>
      <c r="C33" s="7" t="s">
        <v>2</v>
      </c>
      <c r="D33" s="7" t="s">
        <v>3</v>
      </c>
      <c r="E33" s="7" t="s">
        <v>4</v>
      </c>
      <c r="F33" s="7" t="s">
        <v>5</v>
      </c>
      <c r="G33" s="7" t="s">
        <v>6</v>
      </c>
      <c r="H33" s="7" t="s">
        <v>7</v>
      </c>
      <c r="I33" s="7" t="s">
        <v>8</v>
      </c>
      <c r="J33" s="10" t="s">
        <v>37</v>
      </c>
    </row>
    <row r="36" spans="1:10">
      <c r="A36">
        <f>COUNTA(A6:A30)</f>
        <v>25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9" width="7.6640625" customWidth="1"/>
    <col min="10" max="10" width="11.1640625" bestFit="1" customWidth="1"/>
  </cols>
  <sheetData>
    <row r="1" spans="1:17">
      <c r="A1" s="1" t="s">
        <v>0</v>
      </c>
    </row>
    <row r="2" spans="1:17" ht="13.5" customHeight="1">
      <c r="A2" s="1"/>
    </row>
    <row r="3" spans="1:17">
      <c r="A3" s="1" t="s">
        <v>40</v>
      </c>
    </row>
    <row r="4" spans="1:17">
      <c r="A4" s="1"/>
    </row>
    <row r="5" spans="1:17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/>
    </row>
    <row r="6" spans="1:17" ht="14" thickTop="1">
      <c r="A6" t="s">
        <v>9</v>
      </c>
      <c r="B6" s="4">
        <v>388</v>
      </c>
      <c r="C6" s="4"/>
      <c r="D6" s="4"/>
      <c r="E6" s="4"/>
      <c r="F6" s="4"/>
      <c r="G6" s="4"/>
      <c r="H6" s="4"/>
      <c r="I6" s="4"/>
    </row>
    <row r="7" spans="1:17">
      <c r="A7" s="5" t="s">
        <v>10</v>
      </c>
      <c r="B7" s="4"/>
      <c r="C7" s="4">
        <v>301</v>
      </c>
      <c r="D7" s="4"/>
      <c r="E7" s="4"/>
      <c r="F7" s="4"/>
      <c r="G7" s="4"/>
      <c r="H7" s="4"/>
      <c r="I7" s="4"/>
    </row>
    <row r="8" spans="1:17">
      <c r="A8" s="5" t="s">
        <v>11</v>
      </c>
      <c r="B8" s="4"/>
      <c r="C8" s="4"/>
      <c r="D8" s="4">
        <v>301</v>
      </c>
      <c r="E8" s="4"/>
      <c r="F8" s="4"/>
      <c r="G8" s="4"/>
      <c r="H8" s="4"/>
      <c r="I8" s="4"/>
    </row>
    <row r="9" spans="1:17">
      <c r="A9" t="s">
        <v>12</v>
      </c>
      <c r="B9" s="4"/>
      <c r="C9" s="4"/>
      <c r="D9" s="4"/>
      <c r="E9" s="4"/>
      <c r="F9" s="4"/>
      <c r="G9" s="4">
        <v>505</v>
      </c>
      <c r="H9" s="4"/>
      <c r="I9" s="4"/>
    </row>
    <row r="10" spans="1:17">
      <c r="A10" s="5" t="s">
        <v>13</v>
      </c>
      <c r="B10" s="4"/>
      <c r="C10" s="4"/>
      <c r="D10" s="4"/>
      <c r="E10" s="4"/>
      <c r="F10" s="4">
        <v>787</v>
      </c>
      <c r="G10" s="4"/>
      <c r="H10" s="4"/>
      <c r="I10" s="4"/>
      <c r="Q10" t="s">
        <v>14</v>
      </c>
    </row>
    <row r="11" spans="1:17">
      <c r="A11" s="5" t="s">
        <v>15</v>
      </c>
      <c r="B11" s="4"/>
      <c r="C11" s="4"/>
      <c r="D11" s="4"/>
      <c r="E11" s="4"/>
      <c r="F11" s="4"/>
      <c r="G11" s="4"/>
      <c r="H11" s="4"/>
      <c r="I11" s="4">
        <v>638</v>
      </c>
    </row>
    <row r="12" spans="1:17">
      <c r="A12" s="5" t="s">
        <v>16</v>
      </c>
      <c r="B12" s="4"/>
      <c r="C12" s="4"/>
      <c r="D12" s="4"/>
      <c r="E12" s="4"/>
      <c r="F12" s="4"/>
      <c r="G12" s="4"/>
      <c r="H12" s="4"/>
      <c r="I12" s="4">
        <v>388</v>
      </c>
    </row>
    <row r="13" spans="1:17">
      <c r="A13" t="s">
        <v>17</v>
      </c>
      <c r="B13" s="4">
        <v>787</v>
      </c>
      <c r="C13" s="4"/>
      <c r="D13" s="4"/>
      <c r="E13" s="4"/>
      <c r="F13" s="4"/>
      <c r="G13" s="4"/>
      <c r="H13" s="4"/>
      <c r="I13" s="4"/>
    </row>
    <row r="14" spans="1:17">
      <c r="A14" t="s">
        <v>18</v>
      </c>
      <c r="B14" s="4"/>
      <c r="C14" s="4"/>
      <c r="D14" s="4"/>
      <c r="E14" s="4"/>
      <c r="F14" s="4"/>
      <c r="G14" s="4"/>
      <c r="H14" s="4"/>
      <c r="I14" s="4">
        <v>388</v>
      </c>
    </row>
    <row r="15" spans="1:17">
      <c r="A15" t="s">
        <v>19</v>
      </c>
      <c r="B15" s="4"/>
      <c r="C15" s="4"/>
      <c r="D15" s="4"/>
      <c r="E15" s="4">
        <v>301</v>
      </c>
      <c r="F15" s="4"/>
      <c r="G15" s="4"/>
      <c r="H15" s="4"/>
      <c r="I15" s="4"/>
    </row>
    <row r="16" spans="1:17">
      <c r="A16" t="s">
        <v>20</v>
      </c>
      <c r="B16" s="4"/>
      <c r="C16" s="4"/>
      <c r="D16" s="4"/>
      <c r="E16" s="4"/>
      <c r="F16" s="4"/>
      <c r="G16" s="4"/>
      <c r="H16" s="4"/>
      <c r="I16" s="4">
        <v>638</v>
      </c>
    </row>
    <row r="17" spans="1:11">
      <c r="A17" t="s">
        <v>21</v>
      </c>
      <c r="B17" s="4"/>
      <c r="C17" s="4"/>
      <c r="D17" s="4">
        <v>505</v>
      </c>
      <c r="E17" s="4"/>
      <c r="F17" s="4"/>
      <c r="G17" s="4"/>
      <c r="H17" s="4"/>
      <c r="I17" s="4"/>
    </row>
    <row r="18" spans="1:11">
      <c r="A18" t="s">
        <v>22</v>
      </c>
      <c r="B18" s="4"/>
      <c r="C18" s="4"/>
      <c r="D18" s="4"/>
      <c r="E18" s="4"/>
      <c r="F18" s="4"/>
      <c r="G18" s="4"/>
      <c r="H18" s="4"/>
      <c r="I18" s="4">
        <v>787</v>
      </c>
    </row>
    <row r="19" spans="1:11">
      <c r="A19" t="s">
        <v>23</v>
      </c>
      <c r="B19" s="4"/>
      <c r="C19" s="4"/>
      <c r="D19" s="4"/>
      <c r="E19" s="4"/>
      <c r="F19" s="4">
        <v>388</v>
      </c>
      <c r="G19" s="4"/>
      <c r="H19" s="4"/>
      <c r="I19" s="4"/>
    </row>
    <row r="20" spans="1:11">
      <c r="A20" t="s">
        <v>24</v>
      </c>
      <c r="B20" s="4"/>
      <c r="C20" s="4"/>
      <c r="D20" s="4"/>
      <c r="E20" s="4"/>
      <c r="F20" s="4"/>
      <c r="G20" s="4">
        <v>505</v>
      </c>
      <c r="H20" s="4"/>
      <c r="I20" s="4"/>
    </row>
    <row r="21" spans="1:11">
      <c r="A21" s="5" t="s">
        <v>25</v>
      </c>
      <c r="B21" s="4"/>
      <c r="C21" s="4"/>
      <c r="D21" s="4">
        <v>388</v>
      </c>
      <c r="E21" s="4"/>
      <c r="F21" s="4"/>
      <c r="G21" s="4"/>
      <c r="H21" s="4"/>
      <c r="I21" s="4"/>
    </row>
    <row r="22" spans="1:11">
      <c r="A22" t="s">
        <v>26</v>
      </c>
      <c r="B22" s="4"/>
      <c r="C22" s="4"/>
      <c r="D22" s="4"/>
      <c r="E22" s="4">
        <v>301</v>
      </c>
      <c r="F22" s="4"/>
      <c r="G22" s="4"/>
      <c r="H22" s="4"/>
      <c r="I22" s="4"/>
    </row>
    <row r="23" spans="1:11">
      <c r="A23" s="5" t="s">
        <v>27</v>
      </c>
      <c r="B23" s="4"/>
      <c r="C23" s="4"/>
      <c r="D23" s="4"/>
      <c r="E23" s="4"/>
      <c r="F23" s="4"/>
      <c r="G23" s="4">
        <v>787</v>
      </c>
      <c r="H23" s="4"/>
      <c r="I23" s="4"/>
    </row>
    <row r="24" spans="1:11">
      <c r="A24" s="5" t="s">
        <v>28</v>
      </c>
      <c r="B24" s="4"/>
      <c r="C24" s="4"/>
      <c r="D24" s="4"/>
      <c r="E24" s="4"/>
      <c r="F24" s="4"/>
      <c r="G24" s="4"/>
      <c r="H24" s="4">
        <v>388</v>
      </c>
      <c r="I24" s="4"/>
    </row>
    <row r="25" spans="1:11">
      <c r="A25" t="s">
        <v>41</v>
      </c>
      <c r="B25" s="4"/>
      <c r="C25" s="4"/>
      <c r="D25" s="4"/>
      <c r="E25" s="4">
        <f>787+787+787</f>
        <v>2361</v>
      </c>
      <c r="F25" s="4"/>
      <c r="G25" s="4"/>
      <c r="H25" s="4"/>
      <c r="I25" s="4"/>
    </row>
    <row r="26" spans="1:11">
      <c r="A26" s="5" t="s">
        <v>29</v>
      </c>
      <c r="B26" s="4"/>
      <c r="C26" s="4"/>
      <c r="D26" s="4">
        <v>638</v>
      </c>
      <c r="E26" s="4"/>
      <c r="F26" s="4"/>
      <c r="G26" s="4"/>
      <c r="H26" s="4"/>
      <c r="I26" s="4"/>
    </row>
    <row r="27" spans="1:11">
      <c r="A27" s="5" t="s">
        <v>30</v>
      </c>
      <c r="B27" s="4"/>
      <c r="C27" s="4">
        <v>301</v>
      </c>
      <c r="D27" s="4"/>
      <c r="E27" s="4"/>
      <c r="F27" s="4"/>
      <c r="G27" s="4"/>
      <c r="H27" s="4"/>
      <c r="I27" s="4"/>
    </row>
    <row r="28" spans="1:11">
      <c r="A28" s="5" t="s">
        <v>31</v>
      </c>
      <c r="B28" s="4"/>
      <c r="C28" s="4"/>
      <c r="D28" s="4"/>
      <c r="E28" s="4">
        <v>638</v>
      </c>
      <c r="F28" s="4"/>
      <c r="G28" s="4"/>
      <c r="H28" s="4"/>
      <c r="I28" s="4"/>
      <c r="K28" t="s">
        <v>32</v>
      </c>
    </row>
    <row r="29" spans="1:11">
      <c r="A29" s="5" t="s">
        <v>33</v>
      </c>
      <c r="B29" s="4"/>
      <c r="C29" s="4"/>
      <c r="D29" s="4"/>
      <c r="E29" s="4"/>
      <c r="F29" s="4">
        <v>301</v>
      </c>
      <c r="G29" s="4"/>
      <c r="H29" s="4"/>
      <c r="I29" s="4"/>
    </row>
    <row r="30" spans="1:11">
      <c r="A30" t="s">
        <v>34</v>
      </c>
      <c r="B30" s="4"/>
      <c r="C30" s="4"/>
      <c r="D30" s="4"/>
      <c r="E30" s="4"/>
      <c r="F30" s="4"/>
      <c r="G30" s="4"/>
      <c r="H30" s="4">
        <v>388</v>
      </c>
      <c r="I30" s="4"/>
    </row>
    <row r="31" spans="1:11">
      <c r="A31" s="5" t="s">
        <v>35</v>
      </c>
      <c r="B31" s="4"/>
      <c r="C31" s="4"/>
      <c r="D31" s="4"/>
      <c r="E31" s="4"/>
      <c r="F31" s="4"/>
      <c r="G31" s="4"/>
      <c r="H31" s="4"/>
      <c r="I31" s="4">
        <v>787</v>
      </c>
    </row>
    <row r="32" spans="1:11">
      <c r="A32" t="s">
        <v>36</v>
      </c>
      <c r="B32" s="4"/>
      <c r="C32" s="4"/>
      <c r="D32" s="4"/>
      <c r="E32" s="4"/>
      <c r="F32" s="4"/>
      <c r="G32" s="4"/>
      <c r="H32" s="4"/>
      <c r="I32" s="4"/>
    </row>
    <row r="33" spans="1:10">
      <c r="A33" s="6" t="s">
        <v>37</v>
      </c>
      <c r="B33" s="7">
        <f t="shared" ref="B33:I33" si="0">SUM(B6:B32)</f>
        <v>1175</v>
      </c>
      <c r="C33" s="7">
        <f t="shared" si="0"/>
        <v>602</v>
      </c>
      <c r="D33" s="7">
        <f t="shared" si="0"/>
        <v>1832</v>
      </c>
      <c r="E33" s="7">
        <f t="shared" si="0"/>
        <v>3601</v>
      </c>
      <c r="F33" s="7">
        <f t="shared" si="0"/>
        <v>1476</v>
      </c>
      <c r="G33" s="7">
        <f t="shared" si="0"/>
        <v>1797</v>
      </c>
      <c r="H33" s="7">
        <f t="shared" si="0"/>
        <v>776</v>
      </c>
      <c r="I33" s="7">
        <f t="shared" si="0"/>
        <v>3626</v>
      </c>
      <c r="J33" s="8">
        <f>SUM(B33:I33)</f>
        <v>14885</v>
      </c>
    </row>
    <row r="34" spans="1:10">
      <c r="A34" s="9"/>
      <c r="B34" s="7" t="s">
        <v>38</v>
      </c>
      <c r="C34" s="7" t="s">
        <v>2</v>
      </c>
      <c r="D34" s="7" t="s">
        <v>3</v>
      </c>
      <c r="E34" s="7" t="s">
        <v>4</v>
      </c>
      <c r="F34" s="7" t="s">
        <v>5</v>
      </c>
      <c r="G34" s="7" t="s">
        <v>6</v>
      </c>
      <c r="H34" s="7" t="s">
        <v>7</v>
      </c>
      <c r="I34" s="7" t="s">
        <v>8</v>
      </c>
      <c r="J34" s="10" t="s">
        <v>37</v>
      </c>
    </row>
    <row r="37" spans="1:10">
      <c r="A37">
        <f>COUNTA(A6:A31)</f>
        <v>26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9" width="7.6640625" customWidth="1"/>
    <col min="10" max="10" width="11.1640625" bestFit="1" customWidth="1"/>
  </cols>
  <sheetData>
    <row r="1" spans="1:17">
      <c r="A1" s="1" t="s">
        <v>0</v>
      </c>
    </row>
    <row r="2" spans="1:17" ht="13.5" customHeight="1">
      <c r="A2" s="1"/>
    </row>
    <row r="3" spans="1:17">
      <c r="A3" s="1" t="s">
        <v>42</v>
      </c>
    </row>
    <row r="4" spans="1:17">
      <c r="A4" s="1"/>
    </row>
    <row r="5" spans="1:17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/>
    </row>
    <row r="6" spans="1:17" ht="14" thickTop="1">
      <c r="A6" t="s">
        <v>9</v>
      </c>
      <c r="B6" s="4">
        <v>388</v>
      </c>
      <c r="C6" s="4"/>
      <c r="D6" s="4"/>
      <c r="E6" s="4"/>
      <c r="F6" s="4"/>
      <c r="G6" s="4"/>
      <c r="H6" s="4"/>
      <c r="I6" s="4"/>
    </row>
    <row r="7" spans="1:17">
      <c r="A7" s="5" t="s">
        <v>10</v>
      </c>
      <c r="B7" s="4"/>
      <c r="C7" s="4">
        <v>301</v>
      </c>
      <c r="D7" s="4"/>
      <c r="E7" s="4"/>
      <c r="F7" s="4"/>
      <c r="G7" s="4"/>
      <c r="H7" s="4"/>
      <c r="I7" s="4"/>
    </row>
    <row r="8" spans="1:17">
      <c r="A8" s="5" t="s">
        <v>11</v>
      </c>
      <c r="B8" s="4"/>
      <c r="C8" s="4"/>
      <c r="D8" s="4">
        <v>301</v>
      </c>
      <c r="E8" s="4"/>
      <c r="F8" s="4"/>
      <c r="G8" s="4"/>
      <c r="H8" s="4"/>
      <c r="I8" s="4"/>
    </row>
    <row r="9" spans="1:17">
      <c r="A9" t="s">
        <v>12</v>
      </c>
      <c r="B9" s="4"/>
      <c r="C9" s="4"/>
      <c r="D9" s="4"/>
      <c r="E9" s="4"/>
      <c r="F9" s="4"/>
      <c r="G9" s="4">
        <v>505</v>
      </c>
      <c r="H9" s="4"/>
      <c r="I9" s="4"/>
    </row>
    <row r="10" spans="1:17">
      <c r="A10" s="5" t="s">
        <v>13</v>
      </c>
      <c r="B10" s="4"/>
      <c r="C10" s="4"/>
      <c r="D10" s="4"/>
      <c r="E10" s="4"/>
      <c r="F10" s="4">
        <v>787</v>
      </c>
      <c r="G10" s="4"/>
      <c r="H10" s="4"/>
      <c r="I10" s="4"/>
      <c r="Q10" t="s">
        <v>14</v>
      </c>
    </row>
    <row r="11" spans="1:17">
      <c r="A11" s="5" t="s">
        <v>15</v>
      </c>
      <c r="B11" s="4"/>
      <c r="C11" s="4"/>
      <c r="D11" s="4"/>
      <c r="E11" s="4"/>
      <c r="F11" s="4"/>
      <c r="G11" s="4"/>
      <c r="H11" s="4"/>
      <c r="I11" s="4">
        <v>638</v>
      </c>
    </row>
    <row r="12" spans="1:17">
      <c r="A12" s="5" t="s">
        <v>16</v>
      </c>
      <c r="B12" s="4"/>
      <c r="C12" s="4"/>
      <c r="D12" s="4"/>
      <c r="E12" s="4"/>
      <c r="F12" s="4"/>
      <c r="G12" s="4"/>
      <c r="H12" s="4"/>
      <c r="I12" s="4">
        <v>505</v>
      </c>
    </row>
    <row r="13" spans="1:17">
      <c r="A13" t="s">
        <v>17</v>
      </c>
      <c r="B13" s="4">
        <v>787</v>
      </c>
      <c r="C13" s="4"/>
      <c r="D13" s="4"/>
      <c r="E13" s="4"/>
      <c r="F13" s="4"/>
      <c r="G13" s="4"/>
      <c r="H13" s="4"/>
      <c r="I13" s="4"/>
    </row>
    <row r="14" spans="1:17">
      <c r="A14" t="s">
        <v>18</v>
      </c>
      <c r="B14" s="4"/>
      <c r="C14" s="4"/>
      <c r="D14" s="4"/>
      <c r="E14" s="4"/>
      <c r="F14" s="4"/>
      <c r="G14" s="4"/>
      <c r="H14" s="4"/>
      <c r="I14" s="4">
        <v>388</v>
      </c>
    </row>
    <row r="15" spans="1:17">
      <c r="A15" t="s">
        <v>19</v>
      </c>
      <c r="B15" s="4"/>
      <c r="C15" s="4"/>
      <c r="D15" s="4"/>
      <c r="E15" s="4">
        <v>301</v>
      </c>
      <c r="F15" s="4"/>
      <c r="G15" s="4"/>
      <c r="H15" s="4"/>
      <c r="I15" s="4"/>
    </row>
    <row r="16" spans="1:17">
      <c r="A16" t="s">
        <v>20</v>
      </c>
      <c r="B16" s="4"/>
      <c r="C16" s="4"/>
      <c r="D16" s="4"/>
      <c r="E16" s="4"/>
      <c r="F16" s="4"/>
      <c r="G16" s="4"/>
      <c r="H16" s="4"/>
      <c r="I16" s="4">
        <v>638</v>
      </c>
    </row>
    <row r="17" spans="1:11">
      <c r="A17" t="s">
        <v>21</v>
      </c>
      <c r="B17" s="4"/>
      <c r="C17" s="4"/>
      <c r="D17" s="4">
        <v>505</v>
      </c>
      <c r="E17" s="4"/>
      <c r="F17" s="4"/>
      <c r="G17" s="4"/>
      <c r="H17" s="4"/>
      <c r="I17" s="4"/>
    </row>
    <row r="18" spans="1:11">
      <c r="A18" t="s">
        <v>22</v>
      </c>
      <c r="B18" s="4"/>
      <c r="C18" s="4"/>
      <c r="D18" s="4"/>
      <c r="E18" s="4"/>
      <c r="F18" s="4"/>
      <c r="G18" s="4"/>
      <c r="H18" s="4"/>
      <c r="I18" s="4">
        <v>787</v>
      </c>
    </row>
    <row r="19" spans="1:11">
      <c r="A19" t="s">
        <v>23</v>
      </c>
      <c r="B19" s="4"/>
      <c r="C19" s="4"/>
      <c r="D19" s="4"/>
      <c r="E19" s="4"/>
      <c r="F19" s="4">
        <v>388</v>
      </c>
      <c r="G19" s="4"/>
      <c r="H19" s="4"/>
      <c r="I19" s="4"/>
    </row>
    <row r="20" spans="1:11">
      <c r="A20" t="s">
        <v>24</v>
      </c>
      <c r="B20" s="4"/>
      <c r="C20" s="4"/>
      <c r="D20" s="4"/>
      <c r="E20" s="4"/>
      <c r="F20" s="4"/>
      <c r="G20" s="4">
        <v>505</v>
      </c>
      <c r="H20" s="4"/>
      <c r="I20" s="4"/>
    </row>
    <row r="21" spans="1:11">
      <c r="A21" s="5" t="s">
        <v>25</v>
      </c>
      <c r="B21" s="4"/>
      <c r="C21" s="4"/>
      <c r="D21" s="4">
        <v>388</v>
      </c>
      <c r="E21" s="4"/>
      <c r="F21" s="4"/>
      <c r="G21" s="4"/>
      <c r="H21" s="4"/>
      <c r="I21" s="4"/>
    </row>
    <row r="22" spans="1:11">
      <c r="A22" t="s">
        <v>26</v>
      </c>
      <c r="B22" s="4"/>
      <c r="C22" s="4"/>
      <c r="D22" s="4"/>
      <c r="E22" s="4">
        <v>301</v>
      </c>
      <c r="F22" s="4"/>
      <c r="G22" s="4"/>
      <c r="H22" s="4"/>
      <c r="I22" s="4"/>
    </row>
    <row r="23" spans="1:11">
      <c r="A23" s="5" t="s">
        <v>27</v>
      </c>
      <c r="B23" s="4"/>
      <c r="C23" s="4"/>
      <c r="D23" s="4"/>
      <c r="E23" s="4"/>
      <c r="F23" s="4"/>
      <c r="G23" s="4">
        <v>787</v>
      </c>
      <c r="H23" s="4"/>
      <c r="I23" s="4"/>
    </row>
    <row r="24" spans="1:11">
      <c r="A24" s="5" t="s">
        <v>28</v>
      </c>
      <c r="B24" s="4"/>
      <c r="C24" s="4"/>
      <c r="D24" s="4"/>
      <c r="E24" s="4"/>
      <c r="F24" s="4"/>
      <c r="G24" s="4"/>
      <c r="H24" s="4">
        <v>388</v>
      </c>
      <c r="I24" s="4"/>
    </row>
    <row r="25" spans="1:11">
      <c r="A25" t="s">
        <v>41</v>
      </c>
      <c r="B25" s="4"/>
      <c r="C25" s="4"/>
      <c r="D25" s="4"/>
      <c r="E25" s="4">
        <v>787</v>
      </c>
      <c r="F25" s="4"/>
      <c r="G25" s="4"/>
      <c r="H25" s="4"/>
      <c r="I25" s="4"/>
    </row>
    <row r="26" spans="1:11">
      <c r="A26" s="5" t="s">
        <v>29</v>
      </c>
      <c r="B26" s="4"/>
      <c r="C26" s="4"/>
      <c r="D26" s="4">
        <v>638</v>
      </c>
      <c r="E26" s="4"/>
      <c r="F26" s="4"/>
      <c r="G26" s="4"/>
      <c r="H26" s="4"/>
      <c r="I26" s="4"/>
    </row>
    <row r="27" spans="1:11">
      <c r="A27" s="5" t="s">
        <v>30</v>
      </c>
      <c r="B27" s="4"/>
      <c r="C27" s="4">
        <v>-602</v>
      </c>
      <c r="D27" s="4"/>
      <c r="E27" s="4"/>
      <c r="F27" s="4"/>
      <c r="G27" s="4"/>
      <c r="H27" s="4"/>
      <c r="I27" s="4"/>
    </row>
    <row r="28" spans="1:11">
      <c r="A28" s="5" t="s">
        <v>31</v>
      </c>
      <c r="B28" s="4"/>
      <c r="C28" s="4"/>
      <c r="D28" s="4"/>
      <c r="E28" s="4">
        <v>638</v>
      </c>
      <c r="F28" s="4"/>
      <c r="G28" s="4"/>
      <c r="H28" s="4"/>
      <c r="I28" s="4"/>
      <c r="K28" t="s">
        <v>32</v>
      </c>
    </row>
    <row r="29" spans="1:11">
      <c r="A29" s="5" t="s">
        <v>33</v>
      </c>
      <c r="B29" s="4"/>
      <c r="C29" s="4"/>
      <c r="D29" s="4"/>
      <c r="E29" s="4"/>
      <c r="F29" s="4">
        <v>301</v>
      </c>
      <c r="G29" s="4"/>
      <c r="H29" s="4"/>
      <c r="I29" s="4"/>
    </row>
    <row r="30" spans="1:11">
      <c r="A30" t="s">
        <v>34</v>
      </c>
      <c r="B30" s="4"/>
      <c r="C30" s="4"/>
      <c r="D30" s="4"/>
      <c r="E30" s="4"/>
      <c r="F30" s="4"/>
      <c r="G30" s="4"/>
      <c r="H30" s="4">
        <v>388</v>
      </c>
      <c r="I30" s="4"/>
    </row>
    <row r="31" spans="1:11">
      <c r="A31" s="5" t="s">
        <v>35</v>
      </c>
      <c r="B31" s="4"/>
      <c r="C31" s="4"/>
      <c r="D31" s="4"/>
      <c r="E31" s="4"/>
      <c r="F31" s="4"/>
      <c r="G31" s="4"/>
      <c r="H31" s="4"/>
      <c r="I31" s="4">
        <v>787</v>
      </c>
    </row>
    <row r="32" spans="1:11">
      <c r="A32" t="s">
        <v>36</v>
      </c>
      <c r="B32" s="4"/>
      <c r="C32" s="4"/>
      <c r="D32" s="4"/>
      <c r="E32" s="4"/>
      <c r="F32" s="4"/>
      <c r="G32" s="4"/>
      <c r="H32" s="4"/>
      <c r="I32" s="4"/>
    </row>
    <row r="33" spans="1:10">
      <c r="A33" s="6" t="s">
        <v>37</v>
      </c>
      <c r="B33" s="7">
        <f t="shared" ref="B33:I33" si="0">SUM(B6:B32)</f>
        <v>1175</v>
      </c>
      <c r="C33" s="7">
        <f>SUM(C6:C32)</f>
        <v>-301</v>
      </c>
      <c r="D33" s="7">
        <f t="shared" si="0"/>
        <v>1832</v>
      </c>
      <c r="E33" s="7">
        <f t="shared" si="0"/>
        <v>2027</v>
      </c>
      <c r="F33" s="7">
        <f t="shared" si="0"/>
        <v>1476</v>
      </c>
      <c r="G33" s="7">
        <f t="shared" si="0"/>
        <v>1797</v>
      </c>
      <c r="H33" s="7">
        <f t="shared" si="0"/>
        <v>776</v>
      </c>
      <c r="I33" s="7">
        <f t="shared" si="0"/>
        <v>3743</v>
      </c>
      <c r="J33" s="8">
        <f>SUM(B33:I33)</f>
        <v>12525</v>
      </c>
    </row>
    <row r="34" spans="1:10">
      <c r="A34" s="9"/>
      <c r="B34" s="7" t="s">
        <v>38</v>
      </c>
      <c r="C34" s="7" t="s">
        <v>2</v>
      </c>
      <c r="D34" s="7" t="s">
        <v>3</v>
      </c>
      <c r="E34" s="7" t="s">
        <v>4</v>
      </c>
      <c r="F34" s="7" t="s">
        <v>5</v>
      </c>
      <c r="G34" s="7" t="s">
        <v>6</v>
      </c>
      <c r="H34" s="7" t="s">
        <v>7</v>
      </c>
      <c r="I34" s="7" t="s">
        <v>8</v>
      </c>
      <c r="J34" s="10" t="s">
        <v>37</v>
      </c>
    </row>
    <row r="37" spans="1:10">
      <c r="A37">
        <f>COUNTA(A6:A31)</f>
        <v>26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6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9" width="7.6640625" customWidth="1"/>
    <col min="10" max="10" width="11.1640625" bestFit="1" customWidth="1"/>
  </cols>
  <sheetData>
    <row r="1" spans="1:17">
      <c r="A1" s="1" t="s">
        <v>0</v>
      </c>
    </row>
    <row r="2" spans="1:17" ht="13.5" customHeight="1">
      <c r="A2" s="1"/>
    </row>
    <row r="3" spans="1:17">
      <c r="A3" s="1" t="s">
        <v>43</v>
      </c>
    </row>
    <row r="4" spans="1:17">
      <c r="A4" s="1"/>
    </row>
    <row r="5" spans="1:17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/>
    </row>
    <row r="6" spans="1:17" ht="14" thickTop="1">
      <c r="A6" t="s">
        <v>9</v>
      </c>
      <c r="B6" s="4">
        <v>388</v>
      </c>
      <c r="C6" s="4"/>
      <c r="D6" s="4"/>
      <c r="E6" s="4"/>
      <c r="F6" s="4"/>
      <c r="G6" s="4"/>
      <c r="H6" s="4"/>
      <c r="I6" s="4"/>
    </row>
    <row r="7" spans="1:17">
      <c r="A7" s="5" t="s">
        <v>10</v>
      </c>
      <c r="B7" s="4"/>
      <c r="C7" s="4">
        <v>301</v>
      </c>
      <c r="D7" s="4"/>
      <c r="E7" s="4"/>
      <c r="F7" s="4"/>
      <c r="G7" s="4"/>
      <c r="H7" s="4"/>
      <c r="I7" s="4"/>
    </row>
    <row r="8" spans="1:17">
      <c r="A8" s="5" t="s">
        <v>11</v>
      </c>
      <c r="B8" s="4"/>
      <c r="C8" s="4"/>
      <c r="D8" s="4">
        <v>301</v>
      </c>
      <c r="E8" s="4"/>
      <c r="F8" s="4"/>
      <c r="G8" s="4"/>
      <c r="H8" s="4"/>
      <c r="I8" s="4"/>
    </row>
    <row r="9" spans="1:17">
      <c r="A9" t="s">
        <v>12</v>
      </c>
      <c r="B9" s="4"/>
      <c r="C9" s="4"/>
      <c r="D9" s="4"/>
      <c r="E9" s="4"/>
      <c r="F9" s="4"/>
      <c r="G9" s="4">
        <v>505</v>
      </c>
      <c r="H9" s="4"/>
      <c r="I9" s="4"/>
    </row>
    <row r="10" spans="1:17">
      <c r="A10" s="5" t="s">
        <v>13</v>
      </c>
      <c r="B10" s="4"/>
      <c r="C10" s="4"/>
      <c r="D10" s="4"/>
      <c r="E10" s="4"/>
      <c r="F10" s="4">
        <v>787</v>
      </c>
      <c r="G10" s="4"/>
      <c r="H10" s="4"/>
      <c r="I10" s="4"/>
      <c r="Q10" t="s">
        <v>14</v>
      </c>
    </row>
    <row r="11" spans="1:17">
      <c r="A11" s="5" t="s">
        <v>15</v>
      </c>
      <c r="B11" s="4"/>
      <c r="C11" s="4"/>
      <c r="D11" s="4"/>
      <c r="E11" s="4"/>
      <c r="F11" s="4"/>
      <c r="G11" s="4"/>
      <c r="H11" s="4"/>
      <c r="I11" s="4">
        <v>638</v>
      </c>
    </row>
    <row r="12" spans="1:17">
      <c r="A12" s="5" t="s">
        <v>16</v>
      </c>
      <c r="B12" s="4"/>
      <c r="C12" s="4"/>
      <c r="D12" s="4"/>
      <c r="E12" s="4"/>
      <c r="F12" s="4"/>
      <c r="G12" s="4"/>
      <c r="H12" s="4"/>
      <c r="I12" s="4">
        <v>505</v>
      </c>
    </row>
    <row r="13" spans="1:17">
      <c r="A13" t="s">
        <v>17</v>
      </c>
      <c r="B13" s="4">
        <v>787</v>
      </c>
      <c r="C13" s="4"/>
      <c r="D13" s="4"/>
      <c r="E13" s="4"/>
      <c r="F13" s="4"/>
      <c r="G13" s="4"/>
      <c r="H13" s="4"/>
      <c r="I13" s="4"/>
    </row>
    <row r="14" spans="1:17">
      <c r="A14" t="s">
        <v>18</v>
      </c>
      <c r="B14" s="4"/>
      <c r="C14" s="4"/>
      <c r="D14" s="4"/>
      <c r="E14" s="4"/>
      <c r="F14" s="4"/>
      <c r="G14" s="4"/>
      <c r="H14" s="4"/>
      <c r="I14" s="4">
        <v>388</v>
      </c>
    </row>
    <row r="15" spans="1:17">
      <c r="A15" t="s">
        <v>19</v>
      </c>
      <c r="B15" s="4"/>
      <c r="C15" s="4"/>
      <c r="D15" s="4"/>
      <c r="E15" s="4">
        <v>301</v>
      </c>
      <c r="F15" s="4"/>
      <c r="G15" s="4"/>
      <c r="H15" s="4"/>
      <c r="I15" s="4"/>
    </row>
    <row r="16" spans="1:17">
      <c r="A16" t="s">
        <v>20</v>
      </c>
      <c r="B16" s="4"/>
      <c r="C16" s="4"/>
      <c r="D16" s="4"/>
      <c r="E16" s="4"/>
      <c r="F16" s="4"/>
      <c r="G16" s="4"/>
      <c r="H16" s="4"/>
      <c r="I16" s="4">
        <v>638</v>
      </c>
    </row>
    <row r="17" spans="1:11">
      <c r="A17" t="s">
        <v>21</v>
      </c>
      <c r="B17" s="4"/>
      <c r="C17" s="4"/>
      <c r="D17" s="4">
        <v>505</v>
      </c>
      <c r="E17" s="4"/>
      <c r="F17" s="4"/>
      <c r="G17" s="4"/>
      <c r="H17" s="4"/>
      <c r="I17" s="4"/>
    </row>
    <row r="18" spans="1:11">
      <c r="A18" t="s">
        <v>22</v>
      </c>
      <c r="B18" s="4"/>
      <c r="C18" s="4"/>
      <c r="D18" s="4"/>
      <c r="E18" s="4"/>
      <c r="F18" s="4"/>
      <c r="G18" s="4"/>
      <c r="H18" s="4"/>
      <c r="I18" s="4">
        <v>787</v>
      </c>
    </row>
    <row r="19" spans="1:11">
      <c r="A19" t="s">
        <v>23</v>
      </c>
      <c r="B19" s="4"/>
      <c r="C19" s="4"/>
      <c r="D19" s="4"/>
      <c r="E19" s="4"/>
      <c r="F19" s="4">
        <v>388</v>
      </c>
      <c r="G19" s="4"/>
      <c r="H19" s="4"/>
      <c r="I19" s="4"/>
    </row>
    <row r="20" spans="1:11">
      <c r="A20" t="s">
        <v>24</v>
      </c>
      <c r="B20" s="4"/>
      <c r="C20" s="4"/>
      <c r="D20" s="4"/>
      <c r="E20" s="4"/>
      <c r="F20" s="4"/>
      <c r="G20" s="4">
        <v>505</v>
      </c>
      <c r="H20" s="4"/>
      <c r="I20" s="4"/>
    </row>
    <row r="21" spans="1:11">
      <c r="A21" s="5" t="s">
        <v>25</v>
      </c>
      <c r="B21" s="4"/>
      <c r="C21" s="4"/>
      <c r="D21" s="4">
        <v>388</v>
      </c>
      <c r="E21" s="4"/>
      <c r="F21" s="4"/>
      <c r="G21" s="4"/>
      <c r="H21" s="4"/>
      <c r="I21" s="4"/>
    </row>
    <row r="22" spans="1:11">
      <c r="A22" t="s">
        <v>26</v>
      </c>
      <c r="B22" s="4"/>
      <c r="C22" s="4"/>
      <c r="D22" s="4"/>
      <c r="E22" s="4">
        <v>301</v>
      </c>
      <c r="F22" s="4"/>
      <c r="G22" s="4"/>
      <c r="H22" s="4"/>
      <c r="I22" s="4"/>
    </row>
    <row r="23" spans="1:11">
      <c r="A23" s="5" t="s">
        <v>27</v>
      </c>
      <c r="B23" s="4"/>
      <c r="C23" s="4"/>
      <c r="D23" s="4"/>
      <c r="E23" s="4"/>
      <c r="F23" s="4"/>
      <c r="G23" s="4">
        <v>787</v>
      </c>
      <c r="H23" s="4"/>
      <c r="I23" s="4"/>
    </row>
    <row r="24" spans="1:11">
      <c r="A24" s="5" t="s">
        <v>28</v>
      </c>
      <c r="B24" s="4"/>
      <c r="C24" s="4"/>
      <c r="D24" s="4"/>
      <c r="E24" s="4"/>
      <c r="F24" s="4"/>
      <c r="G24" s="4"/>
      <c r="H24" s="4">
        <v>388</v>
      </c>
      <c r="I24" s="4"/>
    </row>
    <row r="25" spans="1:11">
      <c r="A25" t="s">
        <v>41</v>
      </c>
      <c r="B25" s="4"/>
      <c r="C25" s="4"/>
      <c r="D25" s="4"/>
      <c r="E25" s="4">
        <v>787</v>
      </c>
      <c r="F25" s="4"/>
      <c r="G25" s="4"/>
      <c r="H25" s="4"/>
      <c r="I25" s="4"/>
    </row>
    <row r="26" spans="1:11">
      <c r="A26" s="5" t="s">
        <v>29</v>
      </c>
      <c r="B26" s="4"/>
      <c r="C26" s="4"/>
      <c r="D26" s="4">
        <v>638</v>
      </c>
      <c r="E26" s="4"/>
      <c r="F26" s="4"/>
      <c r="G26" s="4"/>
      <c r="H26" s="4"/>
      <c r="I26" s="4"/>
    </row>
    <row r="27" spans="1:11">
      <c r="A27" s="5" t="s">
        <v>31</v>
      </c>
      <c r="B27" s="4"/>
      <c r="C27" s="4"/>
      <c r="D27" s="4"/>
      <c r="E27" s="4">
        <v>638</v>
      </c>
      <c r="F27" s="4"/>
      <c r="G27" s="4"/>
      <c r="H27" s="4"/>
      <c r="I27" s="4"/>
      <c r="K27" t="s">
        <v>32</v>
      </c>
    </row>
    <row r="28" spans="1:11">
      <c r="A28" s="5" t="s">
        <v>33</v>
      </c>
      <c r="B28" s="4"/>
      <c r="C28" s="4"/>
      <c r="D28" s="4"/>
      <c r="E28" s="4"/>
      <c r="F28" s="4">
        <v>301</v>
      </c>
      <c r="G28" s="4"/>
      <c r="H28" s="4"/>
      <c r="I28" s="4"/>
    </row>
    <row r="29" spans="1:11">
      <c r="A29" t="s">
        <v>34</v>
      </c>
      <c r="B29" s="4"/>
      <c r="C29" s="4"/>
      <c r="D29" s="4"/>
      <c r="E29" s="4"/>
      <c r="F29" s="4"/>
      <c r="G29" s="4"/>
      <c r="H29" s="4">
        <v>388</v>
      </c>
      <c r="I29" s="4"/>
    </row>
    <row r="30" spans="1:11">
      <c r="A30" s="5" t="s">
        <v>35</v>
      </c>
      <c r="B30" s="4"/>
      <c r="C30" s="4"/>
      <c r="D30" s="4"/>
      <c r="E30" s="4"/>
      <c r="F30" s="4"/>
      <c r="G30" s="4"/>
      <c r="H30" s="4"/>
      <c r="I30" s="4">
        <v>787</v>
      </c>
    </row>
    <row r="31" spans="1:11">
      <c r="A31" t="s">
        <v>36</v>
      </c>
      <c r="B31" s="4"/>
      <c r="C31" s="4"/>
      <c r="D31" s="4"/>
      <c r="E31" s="4"/>
      <c r="F31" s="4"/>
      <c r="G31" s="4"/>
      <c r="H31" s="4"/>
      <c r="I31" s="4"/>
    </row>
    <row r="32" spans="1:11">
      <c r="A32" s="6" t="s">
        <v>37</v>
      </c>
      <c r="B32" s="7">
        <f t="shared" ref="B32:I32" si="0">SUM(B6:B31)</f>
        <v>1175</v>
      </c>
      <c r="C32" s="7">
        <f>SUM(C6:C31)</f>
        <v>301</v>
      </c>
      <c r="D32" s="7">
        <f t="shared" si="0"/>
        <v>1832</v>
      </c>
      <c r="E32" s="7">
        <f t="shared" si="0"/>
        <v>2027</v>
      </c>
      <c r="F32" s="7">
        <f t="shared" si="0"/>
        <v>1476</v>
      </c>
      <c r="G32" s="7">
        <f t="shared" si="0"/>
        <v>1797</v>
      </c>
      <c r="H32" s="7">
        <f t="shared" si="0"/>
        <v>776</v>
      </c>
      <c r="I32" s="7">
        <f t="shared" si="0"/>
        <v>3743</v>
      </c>
      <c r="J32" s="8">
        <f>SUM(B32:I32)</f>
        <v>13127</v>
      </c>
    </row>
    <row r="33" spans="1:10">
      <c r="A33" s="9"/>
      <c r="B33" s="7" t="s">
        <v>38</v>
      </c>
      <c r="C33" s="7" t="s">
        <v>2</v>
      </c>
      <c r="D33" s="7" t="s">
        <v>3</v>
      </c>
      <c r="E33" s="7" t="s">
        <v>4</v>
      </c>
      <c r="F33" s="7" t="s">
        <v>5</v>
      </c>
      <c r="G33" s="7" t="s">
        <v>6</v>
      </c>
      <c r="H33" s="7" t="s">
        <v>7</v>
      </c>
      <c r="I33" s="7" t="s">
        <v>8</v>
      </c>
      <c r="J33" s="10" t="s">
        <v>37</v>
      </c>
    </row>
    <row r="36" spans="1:10">
      <c r="A36">
        <f>COUNTA(A6:A30)</f>
        <v>25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9" width="7.6640625" customWidth="1"/>
    <col min="10" max="10" width="11.1640625" bestFit="1" customWidth="1"/>
  </cols>
  <sheetData>
    <row r="1" spans="1:17">
      <c r="A1" s="1" t="s">
        <v>0</v>
      </c>
    </row>
    <row r="2" spans="1:17" ht="13.5" customHeight="1">
      <c r="A2" s="1"/>
    </row>
    <row r="3" spans="1:17">
      <c r="A3" s="1" t="s">
        <v>44</v>
      </c>
    </row>
    <row r="4" spans="1:17">
      <c r="A4" s="1"/>
    </row>
    <row r="5" spans="1:17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/>
    </row>
    <row r="6" spans="1:17" ht="14" thickTop="1">
      <c r="A6" t="s">
        <v>9</v>
      </c>
      <c r="B6" s="4">
        <v>388</v>
      </c>
      <c r="C6" s="4"/>
      <c r="D6" s="4"/>
      <c r="E6" s="4"/>
      <c r="F6" s="4"/>
      <c r="G6" s="4"/>
      <c r="H6" s="4"/>
      <c r="I6" s="4"/>
    </row>
    <row r="7" spans="1:17">
      <c r="A7" t="s">
        <v>45</v>
      </c>
      <c r="B7" s="4">
        <v>1164</v>
      </c>
      <c r="C7" s="4"/>
      <c r="D7" s="4"/>
      <c r="E7" s="4"/>
      <c r="F7" s="4"/>
      <c r="G7" s="4"/>
      <c r="H7" s="4"/>
      <c r="I7" s="4"/>
    </row>
    <row r="8" spans="1:17">
      <c r="A8" s="5" t="s">
        <v>10</v>
      </c>
      <c r="B8" s="4"/>
      <c r="C8" s="4">
        <v>301</v>
      </c>
      <c r="D8" s="4"/>
      <c r="E8" s="4"/>
      <c r="F8" s="4"/>
      <c r="G8" s="4"/>
      <c r="H8" s="4"/>
      <c r="I8" s="4"/>
    </row>
    <row r="9" spans="1:17">
      <c r="A9" s="5" t="s">
        <v>11</v>
      </c>
      <c r="B9" s="4"/>
      <c r="C9" s="4"/>
      <c r="D9" s="4">
        <v>301</v>
      </c>
      <c r="E9" s="4"/>
      <c r="F9" s="4"/>
      <c r="G9" s="4"/>
      <c r="H9" s="4"/>
      <c r="I9" s="4"/>
    </row>
    <row r="10" spans="1:17">
      <c r="A10" t="s">
        <v>12</v>
      </c>
      <c r="B10" s="4"/>
      <c r="C10" s="4"/>
      <c r="D10" s="4"/>
      <c r="E10" s="4"/>
      <c r="F10" s="4"/>
      <c r="G10" s="4">
        <v>505</v>
      </c>
      <c r="H10" s="4"/>
      <c r="I10" s="4"/>
    </row>
    <row r="11" spans="1:17">
      <c r="A11" s="5" t="s">
        <v>13</v>
      </c>
      <c r="B11" s="4"/>
      <c r="C11" s="4"/>
      <c r="D11" s="4"/>
      <c r="E11" s="4"/>
      <c r="F11" s="4">
        <v>787</v>
      </c>
      <c r="G11" s="4"/>
      <c r="H11" s="4"/>
      <c r="I11" s="4"/>
      <c r="Q11" t="s">
        <v>14</v>
      </c>
    </row>
    <row r="12" spans="1:17">
      <c r="A12" s="5" t="s">
        <v>15</v>
      </c>
      <c r="B12" s="4"/>
      <c r="C12" s="4"/>
      <c r="D12" s="4"/>
      <c r="E12" s="4"/>
      <c r="F12" s="4"/>
      <c r="G12" s="4"/>
      <c r="H12" s="4"/>
      <c r="I12" s="4">
        <v>638</v>
      </c>
    </row>
    <row r="13" spans="1:17">
      <c r="A13" s="5" t="s">
        <v>16</v>
      </c>
      <c r="B13" s="4"/>
      <c r="C13" s="4"/>
      <c r="D13" s="4"/>
      <c r="E13" s="4"/>
      <c r="F13" s="4"/>
      <c r="G13" s="4"/>
      <c r="H13" s="4"/>
      <c r="I13" s="4">
        <v>505</v>
      </c>
    </row>
    <row r="14" spans="1:17">
      <c r="A14" t="s">
        <v>46</v>
      </c>
      <c r="B14" s="4">
        <v>-1574</v>
      </c>
      <c r="C14" s="4"/>
      <c r="D14" s="4"/>
      <c r="E14" s="4"/>
      <c r="F14" s="4"/>
      <c r="G14" s="4"/>
      <c r="H14" s="4"/>
      <c r="I14" s="4"/>
    </row>
    <row r="15" spans="1:17">
      <c r="A15" t="s">
        <v>18</v>
      </c>
      <c r="B15" s="4"/>
      <c r="C15" s="4"/>
      <c r="D15" s="4"/>
      <c r="E15" s="4"/>
      <c r="F15" s="4"/>
      <c r="G15" s="4"/>
      <c r="H15" s="4"/>
      <c r="I15" s="4">
        <v>388</v>
      </c>
    </row>
    <row r="16" spans="1:17">
      <c r="A16" t="s">
        <v>19</v>
      </c>
      <c r="B16" s="4"/>
      <c r="C16" s="4"/>
      <c r="D16" s="4"/>
      <c r="E16" s="4">
        <v>301</v>
      </c>
      <c r="F16" s="4"/>
      <c r="G16" s="4"/>
      <c r="H16" s="4"/>
      <c r="I16" s="4"/>
    </row>
    <row r="17" spans="1:11">
      <c r="A17" t="s">
        <v>20</v>
      </c>
      <c r="B17" s="4"/>
      <c r="C17" s="4"/>
      <c r="D17" s="4"/>
      <c r="E17" s="4"/>
      <c r="F17" s="4"/>
      <c r="G17" s="4"/>
      <c r="H17" s="4"/>
      <c r="I17" s="4">
        <v>638</v>
      </c>
    </row>
    <row r="18" spans="1:11">
      <c r="A18" t="s">
        <v>21</v>
      </c>
      <c r="B18" s="4"/>
      <c r="C18" s="4"/>
      <c r="D18" s="4">
        <v>505</v>
      </c>
      <c r="E18" s="4"/>
      <c r="F18" s="4"/>
      <c r="G18" s="4"/>
      <c r="H18" s="4"/>
      <c r="I18" s="4"/>
    </row>
    <row r="19" spans="1:11">
      <c r="A19" t="s">
        <v>22</v>
      </c>
      <c r="B19" s="4"/>
      <c r="C19" s="4"/>
      <c r="D19" s="4"/>
      <c r="E19" s="4"/>
      <c r="F19" s="4"/>
      <c r="G19" s="4"/>
      <c r="H19" s="4"/>
      <c r="I19" s="4">
        <v>787</v>
      </c>
    </row>
    <row r="20" spans="1:11">
      <c r="A20" t="s">
        <v>23</v>
      </c>
      <c r="B20" s="4"/>
      <c r="C20" s="4"/>
      <c r="D20" s="4"/>
      <c r="E20" s="4"/>
      <c r="F20" s="4">
        <v>388</v>
      </c>
      <c r="G20" s="4"/>
      <c r="H20" s="4"/>
      <c r="I20" s="4"/>
    </row>
    <row r="21" spans="1:11">
      <c r="A21" t="s">
        <v>24</v>
      </c>
      <c r="B21" s="4"/>
      <c r="C21" s="4"/>
      <c r="D21" s="4"/>
      <c r="E21" s="4"/>
      <c r="F21" s="4"/>
      <c r="G21" s="4">
        <v>505</v>
      </c>
      <c r="H21" s="4"/>
      <c r="I21" s="4"/>
    </row>
    <row r="22" spans="1:11">
      <c r="A22" s="5" t="s">
        <v>25</v>
      </c>
      <c r="B22" s="4"/>
      <c r="C22" s="4"/>
      <c r="D22" s="4">
        <v>388</v>
      </c>
      <c r="E22" s="4"/>
      <c r="F22" s="4"/>
      <c r="G22" s="4"/>
      <c r="H22" s="4"/>
      <c r="I22" s="4"/>
    </row>
    <row r="23" spans="1:11">
      <c r="A23" t="s">
        <v>26</v>
      </c>
      <c r="B23" s="4"/>
      <c r="C23" s="4"/>
      <c r="D23" s="4"/>
      <c r="E23" s="4">
        <v>301</v>
      </c>
      <c r="F23" s="4"/>
      <c r="G23" s="4"/>
      <c r="H23" s="4"/>
      <c r="I23" s="4"/>
    </row>
    <row r="24" spans="1:11">
      <c r="A24" s="5" t="s">
        <v>27</v>
      </c>
      <c r="B24" s="4"/>
      <c r="C24" s="4"/>
      <c r="D24" s="4"/>
      <c r="E24" s="4"/>
      <c r="F24" s="4"/>
      <c r="G24" s="4">
        <v>787</v>
      </c>
      <c r="H24" s="4"/>
      <c r="I24" s="4"/>
    </row>
    <row r="25" spans="1:11">
      <c r="A25" s="5" t="s">
        <v>28</v>
      </c>
      <c r="B25" s="4"/>
      <c r="C25" s="4"/>
      <c r="D25" s="4"/>
      <c r="E25" s="4"/>
      <c r="F25" s="4"/>
      <c r="G25" s="4"/>
      <c r="H25" s="4">
        <v>388</v>
      </c>
      <c r="I25" s="4"/>
    </row>
    <row r="26" spans="1:11">
      <c r="A26" t="s">
        <v>41</v>
      </c>
      <c r="B26" s="4"/>
      <c r="C26" s="4"/>
      <c r="D26" s="4"/>
      <c r="E26" s="4">
        <v>787</v>
      </c>
      <c r="F26" s="4"/>
      <c r="G26" s="4"/>
      <c r="H26" s="4"/>
      <c r="I26" s="4"/>
    </row>
    <row r="27" spans="1:11">
      <c r="A27" s="5" t="s">
        <v>29</v>
      </c>
      <c r="B27" s="4"/>
      <c r="C27" s="4"/>
      <c r="D27" s="4">
        <v>638</v>
      </c>
      <c r="E27" s="4"/>
      <c r="F27" s="4"/>
      <c r="G27" s="4"/>
      <c r="H27" s="4"/>
      <c r="I27" s="4"/>
    </row>
    <row r="28" spans="1:11">
      <c r="A28" s="5" t="s">
        <v>31</v>
      </c>
      <c r="B28" s="4"/>
      <c r="C28" s="4"/>
      <c r="D28" s="4"/>
      <c r="E28" s="4">
        <v>638</v>
      </c>
      <c r="F28" s="4"/>
      <c r="G28" s="4"/>
      <c r="H28" s="4"/>
      <c r="I28" s="4"/>
      <c r="K28" t="s">
        <v>32</v>
      </c>
    </row>
    <row r="29" spans="1:11">
      <c r="A29" s="5" t="s">
        <v>33</v>
      </c>
      <c r="B29" s="4"/>
      <c r="C29" s="4"/>
      <c r="D29" s="4"/>
      <c r="E29" s="4"/>
      <c r="F29" s="4">
        <v>301</v>
      </c>
      <c r="G29" s="4"/>
      <c r="H29" s="4"/>
      <c r="I29" s="4"/>
    </row>
    <row r="30" spans="1:11">
      <c r="A30" t="s">
        <v>34</v>
      </c>
      <c r="B30" s="4"/>
      <c r="C30" s="4"/>
      <c r="D30" s="4"/>
      <c r="E30" s="4"/>
      <c r="F30" s="4"/>
      <c r="G30" s="4"/>
      <c r="H30" s="4">
        <v>388</v>
      </c>
      <c r="I30" s="4"/>
    </row>
    <row r="31" spans="1:11">
      <c r="A31" s="5" t="s">
        <v>35</v>
      </c>
      <c r="B31" s="4"/>
      <c r="C31" s="4"/>
      <c r="D31" s="4"/>
      <c r="E31" s="4"/>
      <c r="F31" s="4"/>
      <c r="G31" s="4"/>
      <c r="H31" s="4"/>
      <c r="I31" s="4">
        <v>787</v>
      </c>
    </row>
    <row r="32" spans="1:11">
      <c r="A32" t="s">
        <v>36</v>
      </c>
      <c r="B32" s="4"/>
      <c r="C32" s="4"/>
      <c r="D32" s="4"/>
      <c r="E32" s="4"/>
      <c r="F32" s="4"/>
      <c r="G32" s="4"/>
      <c r="H32" s="4"/>
      <c r="I32" s="4"/>
    </row>
    <row r="33" spans="1:10">
      <c r="A33" s="6" t="s">
        <v>37</v>
      </c>
      <c r="B33" s="7">
        <f t="shared" ref="B33:I33" si="0">SUM(B6:B32)</f>
        <v>-22</v>
      </c>
      <c r="C33" s="7">
        <f>SUM(C6:C32)</f>
        <v>301</v>
      </c>
      <c r="D33" s="7">
        <f t="shared" si="0"/>
        <v>1832</v>
      </c>
      <c r="E33" s="7">
        <f t="shared" si="0"/>
        <v>2027</v>
      </c>
      <c r="F33" s="7">
        <f t="shared" si="0"/>
        <v>1476</v>
      </c>
      <c r="G33" s="7">
        <f t="shared" si="0"/>
        <v>1797</v>
      </c>
      <c r="H33" s="7">
        <f t="shared" si="0"/>
        <v>776</v>
      </c>
      <c r="I33" s="7">
        <f t="shared" si="0"/>
        <v>3743</v>
      </c>
      <c r="J33" s="8">
        <f>SUM(B33:I33)</f>
        <v>11930</v>
      </c>
    </row>
    <row r="34" spans="1:10">
      <c r="A34" s="9"/>
      <c r="B34" s="7" t="s">
        <v>38</v>
      </c>
      <c r="C34" s="7" t="s">
        <v>2</v>
      </c>
      <c r="D34" s="7" t="s">
        <v>3</v>
      </c>
      <c r="E34" s="7" t="s">
        <v>4</v>
      </c>
      <c r="F34" s="7" t="s">
        <v>5</v>
      </c>
      <c r="G34" s="7" t="s">
        <v>6</v>
      </c>
      <c r="H34" s="7" t="s">
        <v>7</v>
      </c>
      <c r="I34" s="7" t="s">
        <v>8</v>
      </c>
      <c r="J34" s="10" t="s">
        <v>37</v>
      </c>
    </row>
    <row r="37" spans="1:10">
      <c r="A37">
        <f>COUNTA(A6:A31)</f>
        <v>26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5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9" width="7.6640625" customWidth="1"/>
    <col min="10" max="10" width="11.1640625" bestFit="1" customWidth="1"/>
  </cols>
  <sheetData>
    <row r="1" spans="1:17">
      <c r="A1" s="1" t="s">
        <v>0</v>
      </c>
    </row>
    <row r="2" spans="1:17" ht="13.5" customHeight="1">
      <c r="A2" s="1"/>
    </row>
    <row r="3" spans="1:17">
      <c r="A3" s="1" t="s">
        <v>47</v>
      </c>
    </row>
    <row r="4" spans="1:17">
      <c r="A4" s="1"/>
    </row>
    <row r="5" spans="1:17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/>
    </row>
    <row r="6" spans="1:17" ht="14" thickTop="1">
      <c r="A6" t="s">
        <v>9</v>
      </c>
      <c r="B6" s="4">
        <v>400</v>
      </c>
      <c r="C6" s="4"/>
      <c r="D6" s="4"/>
      <c r="E6" s="4"/>
      <c r="F6" s="4"/>
      <c r="G6" s="4"/>
      <c r="H6" s="4"/>
      <c r="I6" s="4"/>
    </row>
    <row r="7" spans="1:17">
      <c r="A7" t="s">
        <v>45</v>
      </c>
      <c r="B7" s="4">
        <v>400</v>
      </c>
      <c r="C7" s="4"/>
      <c r="D7" s="4"/>
      <c r="E7" s="4"/>
      <c r="F7" s="4"/>
      <c r="G7" s="4"/>
      <c r="H7" s="4"/>
      <c r="I7" s="4"/>
    </row>
    <row r="8" spans="1:17">
      <c r="A8" s="5" t="s">
        <v>11</v>
      </c>
      <c r="B8" s="4"/>
      <c r="C8" s="4"/>
      <c r="D8" s="4">
        <v>310</v>
      </c>
      <c r="E8" s="4"/>
      <c r="F8" s="4"/>
      <c r="G8" s="4"/>
      <c r="H8" s="4"/>
      <c r="I8" s="4"/>
    </row>
    <row r="9" spans="1:17">
      <c r="A9" t="s">
        <v>12</v>
      </c>
      <c r="B9" s="4"/>
      <c r="C9" s="4"/>
      <c r="D9" s="4"/>
      <c r="E9" s="4"/>
      <c r="F9" s="4"/>
      <c r="G9" s="4">
        <v>521</v>
      </c>
      <c r="H9" s="4"/>
      <c r="I9" s="4"/>
    </row>
    <row r="10" spans="1:17">
      <c r="A10" t="s">
        <v>48</v>
      </c>
      <c r="B10" s="4"/>
      <c r="C10" s="4">
        <v>281</v>
      </c>
      <c r="D10" s="4"/>
      <c r="E10" s="4"/>
      <c r="F10" s="4"/>
      <c r="G10" s="4"/>
      <c r="H10" s="4"/>
      <c r="I10" s="4"/>
    </row>
    <row r="11" spans="1:17">
      <c r="A11" s="5" t="s">
        <v>13</v>
      </c>
      <c r="B11" s="4"/>
      <c r="C11" s="4"/>
      <c r="D11" s="4"/>
      <c r="E11" s="4"/>
      <c r="F11" s="4">
        <v>812</v>
      </c>
      <c r="G11" s="4"/>
      <c r="H11" s="4"/>
      <c r="I11" s="4"/>
      <c r="Q11" t="s">
        <v>14</v>
      </c>
    </row>
    <row r="12" spans="1:17">
      <c r="A12" s="5" t="s">
        <v>15</v>
      </c>
      <c r="B12" s="4">
        <v>658</v>
      </c>
      <c r="C12" s="4"/>
      <c r="D12" s="4"/>
      <c r="E12" s="4"/>
      <c r="F12" s="4"/>
      <c r="G12" s="4"/>
      <c r="H12" s="4"/>
      <c r="I12" s="4"/>
    </row>
    <row r="13" spans="1:17">
      <c r="A13" s="5" t="s">
        <v>16</v>
      </c>
      <c r="B13" s="4"/>
      <c r="C13" s="4"/>
      <c r="D13" s="4"/>
      <c r="E13" s="4"/>
      <c r="F13" s="4"/>
      <c r="G13" s="4"/>
      <c r="H13" s="4"/>
      <c r="I13" s="4">
        <v>521</v>
      </c>
    </row>
    <row r="14" spans="1:17">
      <c r="A14" t="s">
        <v>18</v>
      </c>
      <c r="B14" s="4"/>
      <c r="C14" s="4"/>
      <c r="D14" s="4"/>
      <c r="E14" s="4"/>
      <c r="F14" s="4"/>
      <c r="G14" s="4"/>
      <c r="H14" s="4"/>
      <c r="I14" s="4">
        <v>400</v>
      </c>
    </row>
    <row r="15" spans="1:17">
      <c r="A15" t="s">
        <v>20</v>
      </c>
      <c r="B15" s="4"/>
      <c r="C15" s="4"/>
      <c r="D15" s="4"/>
      <c r="E15" s="4">
        <v>658</v>
      </c>
      <c r="F15" s="4"/>
      <c r="G15" s="4"/>
      <c r="H15" s="4"/>
      <c r="I15" s="4"/>
    </row>
    <row r="16" spans="1:17">
      <c r="A16" t="s">
        <v>21</v>
      </c>
      <c r="B16" s="4"/>
      <c r="C16" s="4"/>
      <c r="D16" s="4">
        <v>521</v>
      </c>
      <c r="E16" s="4"/>
      <c r="F16" s="4"/>
      <c r="G16" s="4"/>
      <c r="H16" s="4"/>
      <c r="I16" s="4"/>
    </row>
    <row r="17" spans="1:11">
      <c r="A17" t="s">
        <v>22</v>
      </c>
      <c r="B17" s="4"/>
      <c r="C17" s="4"/>
      <c r="D17" s="4"/>
      <c r="E17" s="4"/>
      <c r="F17" s="4"/>
      <c r="G17" s="4"/>
      <c r="H17" s="4"/>
      <c r="I17" s="4">
        <v>812</v>
      </c>
    </row>
    <row r="18" spans="1:11">
      <c r="A18" t="s">
        <v>23</v>
      </c>
      <c r="B18" s="4"/>
      <c r="C18" s="4"/>
      <c r="D18" s="4"/>
      <c r="E18" s="4"/>
      <c r="F18" s="4">
        <v>400</v>
      </c>
      <c r="G18" s="4"/>
      <c r="H18" s="4"/>
      <c r="I18" s="4"/>
    </row>
    <row r="19" spans="1:11">
      <c r="A19" t="s">
        <v>24</v>
      </c>
      <c r="B19" s="4"/>
      <c r="C19" s="4"/>
      <c r="D19" s="4"/>
      <c r="E19" s="4"/>
      <c r="F19" s="4"/>
      <c r="G19" s="4">
        <v>521</v>
      </c>
      <c r="H19" s="4"/>
      <c r="I19" s="4"/>
    </row>
    <row r="20" spans="1:11">
      <c r="A20" s="5" t="s">
        <v>25</v>
      </c>
      <c r="B20" s="4"/>
      <c r="C20" s="4"/>
      <c r="D20" s="4">
        <v>400</v>
      </c>
      <c r="E20" s="4"/>
      <c r="F20" s="4"/>
      <c r="G20" s="4"/>
      <c r="H20" s="4"/>
      <c r="I20" s="4"/>
    </row>
    <row r="21" spans="1:11">
      <c r="A21" t="s">
        <v>26</v>
      </c>
      <c r="B21" s="4"/>
      <c r="C21" s="4"/>
      <c r="D21" s="4"/>
      <c r="E21" s="4">
        <v>310</v>
      </c>
      <c r="F21" s="4"/>
      <c r="G21" s="4"/>
      <c r="H21" s="4"/>
      <c r="I21" s="4"/>
    </row>
    <row r="22" spans="1:11">
      <c r="A22" s="5" t="s">
        <v>27</v>
      </c>
      <c r="B22" s="4"/>
      <c r="C22" s="4"/>
      <c r="D22" s="4"/>
      <c r="E22" s="4"/>
      <c r="F22" s="4"/>
      <c r="G22" s="4">
        <v>812</v>
      </c>
      <c r="H22" s="4"/>
      <c r="I22" s="4"/>
    </row>
    <row r="23" spans="1:11">
      <c r="A23" s="5" t="s">
        <v>28</v>
      </c>
      <c r="B23" s="4"/>
      <c r="C23" s="4"/>
      <c r="D23" s="4"/>
      <c r="E23" s="4"/>
      <c r="F23" s="4"/>
      <c r="G23" s="4"/>
      <c r="H23" s="4">
        <v>400</v>
      </c>
      <c r="I23" s="4"/>
    </row>
    <row r="24" spans="1:11">
      <c r="A24" t="s">
        <v>41</v>
      </c>
      <c r="B24" s="4"/>
      <c r="C24" s="4"/>
      <c r="D24" s="4"/>
      <c r="E24" s="4">
        <v>812</v>
      </c>
      <c r="F24" s="4"/>
      <c r="G24" s="4"/>
      <c r="H24" s="4"/>
      <c r="I24" s="4"/>
    </row>
    <row r="25" spans="1:11">
      <c r="A25" s="5" t="s">
        <v>29</v>
      </c>
      <c r="B25" s="4"/>
      <c r="C25" s="4"/>
      <c r="D25" s="4">
        <v>658</v>
      </c>
      <c r="E25" s="4"/>
      <c r="F25" s="4"/>
      <c r="G25" s="4"/>
      <c r="H25" s="4"/>
      <c r="I25" s="4"/>
    </row>
    <row r="26" spans="1:11">
      <c r="A26" s="5" t="s">
        <v>31</v>
      </c>
      <c r="B26" s="4"/>
      <c r="C26" s="4"/>
      <c r="D26" s="4"/>
      <c r="E26" s="4">
        <v>658</v>
      </c>
      <c r="F26" s="4"/>
      <c r="G26" s="4"/>
      <c r="H26" s="4"/>
      <c r="I26" s="4"/>
      <c r="K26" t="s">
        <v>32</v>
      </c>
    </row>
    <row r="27" spans="1:11">
      <c r="A27" s="5" t="s">
        <v>33</v>
      </c>
      <c r="B27" s="4"/>
      <c r="C27" s="4"/>
      <c r="D27" s="4"/>
      <c r="E27" s="4"/>
      <c r="F27" s="4">
        <v>310</v>
      </c>
      <c r="G27" s="4"/>
      <c r="H27" s="4"/>
      <c r="I27" s="4"/>
    </row>
    <row r="28" spans="1:11">
      <c r="A28" t="s">
        <v>34</v>
      </c>
      <c r="B28" s="4"/>
      <c r="C28" s="4"/>
      <c r="D28" s="4"/>
      <c r="E28" s="4"/>
      <c r="F28" s="4"/>
      <c r="G28" s="4"/>
      <c r="H28" s="4">
        <v>400</v>
      </c>
      <c r="I28" s="4"/>
    </row>
    <row r="29" spans="1:11">
      <c r="A29" s="5" t="s">
        <v>35</v>
      </c>
      <c r="B29" s="4"/>
      <c r="C29" s="4"/>
      <c r="D29" s="4"/>
      <c r="E29" s="4"/>
      <c r="F29" s="4"/>
      <c r="G29" s="4"/>
      <c r="H29" s="4"/>
      <c r="I29" s="4">
        <v>812</v>
      </c>
    </row>
    <row r="30" spans="1:11">
      <c r="A30" t="s">
        <v>36</v>
      </c>
      <c r="B30" s="4"/>
      <c r="C30" s="4"/>
      <c r="D30" s="4"/>
      <c r="E30" s="4"/>
      <c r="F30" s="4"/>
      <c r="G30" s="4"/>
      <c r="H30" s="4"/>
      <c r="I30" s="4"/>
    </row>
    <row r="31" spans="1:11">
      <c r="A31" s="6" t="s">
        <v>37</v>
      </c>
      <c r="B31" s="7">
        <f t="shared" ref="B31:I31" si="0">SUM(B6:B30)</f>
        <v>1458</v>
      </c>
      <c r="C31" s="7">
        <f t="shared" si="0"/>
        <v>281</v>
      </c>
      <c r="D31" s="7">
        <f t="shared" si="0"/>
        <v>1889</v>
      </c>
      <c r="E31" s="7">
        <f t="shared" si="0"/>
        <v>2438</v>
      </c>
      <c r="F31" s="7">
        <f t="shared" si="0"/>
        <v>1522</v>
      </c>
      <c r="G31" s="7">
        <f t="shared" si="0"/>
        <v>1854</v>
      </c>
      <c r="H31" s="7">
        <f t="shared" si="0"/>
        <v>800</v>
      </c>
      <c r="I31" s="7">
        <f t="shared" si="0"/>
        <v>2545</v>
      </c>
      <c r="J31" s="8">
        <f>SUM(B31:I31)</f>
        <v>12787</v>
      </c>
    </row>
    <row r="32" spans="1:11">
      <c r="A32" s="9"/>
      <c r="B32" s="7" t="s">
        <v>38</v>
      </c>
      <c r="C32" s="7" t="s">
        <v>2</v>
      </c>
      <c r="D32" s="7" t="s">
        <v>3</v>
      </c>
      <c r="E32" s="7" t="s">
        <v>4</v>
      </c>
      <c r="F32" s="7" t="s">
        <v>5</v>
      </c>
      <c r="G32" s="7" t="s">
        <v>6</v>
      </c>
      <c r="H32" s="7" t="s">
        <v>7</v>
      </c>
      <c r="I32" s="7" t="s">
        <v>8</v>
      </c>
      <c r="J32" s="10" t="s">
        <v>37</v>
      </c>
    </row>
    <row r="35" spans="1:1">
      <c r="A35">
        <f>COUNTA(A6:A29)</f>
        <v>24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9"/>
  <sheetViews>
    <sheetView topLeftCell="A16" workbookViewId="0">
      <selection activeCell="D23" sqref="D23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56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9</v>
      </c>
      <c r="B6" s="4">
        <v>400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49</v>
      </c>
      <c r="B7" s="4">
        <v>310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45</v>
      </c>
      <c r="B8" s="4">
        <v>400</v>
      </c>
      <c r="C8" s="4"/>
      <c r="D8" s="4"/>
      <c r="E8" s="4"/>
      <c r="F8" s="4"/>
      <c r="G8" s="4"/>
      <c r="H8" s="4"/>
      <c r="I8" s="4"/>
      <c r="J8" s="4"/>
    </row>
    <row r="9" spans="1:18">
      <c r="A9" s="5" t="s">
        <v>11</v>
      </c>
      <c r="B9" s="4"/>
      <c r="C9" s="4"/>
      <c r="D9" s="4">
        <v>310</v>
      </c>
      <c r="E9" s="4"/>
      <c r="F9" s="4"/>
      <c r="G9" s="4"/>
      <c r="H9" s="4"/>
      <c r="I9" s="4"/>
      <c r="J9" s="4"/>
    </row>
    <row r="10" spans="1:18">
      <c r="A10" t="s">
        <v>12</v>
      </c>
      <c r="B10" s="4"/>
      <c r="C10" s="4"/>
      <c r="D10" s="4"/>
      <c r="E10" s="4"/>
      <c r="F10" s="4"/>
      <c r="G10" s="4">
        <v>521</v>
      </c>
      <c r="H10" s="4"/>
      <c r="I10" s="4"/>
      <c r="J10" s="4"/>
    </row>
    <row r="11" spans="1:18">
      <c r="A11" t="s">
        <v>48</v>
      </c>
      <c r="B11" s="4"/>
      <c r="C11" s="4">
        <v>281</v>
      </c>
      <c r="D11" s="4"/>
      <c r="E11" s="4"/>
      <c r="F11" s="4"/>
      <c r="G11" s="4"/>
      <c r="H11" s="4"/>
      <c r="I11" s="4"/>
      <c r="J11" s="4"/>
    </row>
    <row r="12" spans="1:18">
      <c r="A12" t="s">
        <v>50</v>
      </c>
      <c r="B12" s="4"/>
      <c r="C12" s="4"/>
      <c r="D12" s="4"/>
      <c r="E12" s="4"/>
      <c r="F12" s="4"/>
      <c r="G12" s="4"/>
      <c r="H12" s="4"/>
      <c r="I12" s="4">
        <v>812</v>
      </c>
      <c r="J12" s="4"/>
    </row>
    <row r="13" spans="1:18">
      <c r="A13" s="5" t="s">
        <v>13</v>
      </c>
      <c r="B13" s="4"/>
      <c r="C13" s="4"/>
      <c r="D13" s="4"/>
      <c r="E13" s="4"/>
      <c r="F13" s="4">
        <v>812</v>
      </c>
      <c r="G13" s="4"/>
      <c r="H13" s="4"/>
      <c r="I13" s="4"/>
      <c r="J13" s="4"/>
      <c r="R13" t="s">
        <v>14</v>
      </c>
    </row>
    <row r="14" spans="1:18">
      <c r="A14" s="5" t="s">
        <v>15</v>
      </c>
      <c r="B14" s="4">
        <v>658</v>
      </c>
      <c r="C14" s="4"/>
      <c r="D14" s="4"/>
      <c r="E14" s="4"/>
      <c r="F14" s="4"/>
      <c r="G14" s="4"/>
      <c r="H14" s="4"/>
      <c r="I14" s="4"/>
      <c r="J14" s="4"/>
    </row>
    <row r="15" spans="1:18">
      <c r="A15" s="5" t="s">
        <v>16</v>
      </c>
      <c r="B15" s="4"/>
      <c r="C15" s="4"/>
      <c r="D15" s="4"/>
      <c r="E15" s="4"/>
      <c r="F15" s="4"/>
      <c r="G15" s="4"/>
      <c r="H15" s="4"/>
      <c r="I15" s="4"/>
      <c r="J15" s="4">
        <v>521</v>
      </c>
    </row>
    <row r="16" spans="1:18">
      <c r="A16" t="s">
        <v>18</v>
      </c>
      <c r="B16" s="4"/>
      <c r="C16" s="4"/>
      <c r="D16" s="4"/>
      <c r="E16" s="4"/>
      <c r="F16" s="4"/>
      <c r="G16" s="4"/>
      <c r="H16" s="4"/>
      <c r="I16" s="4"/>
      <c r="J16" s="4">
        <v>400</v>
      </c>
    </row>
    <row r="17" spans="1:12">
      <c r="A17" t="s">
        <v>20</v>
      </c>
      <c r="B17" s="4"/>
      <c r="C17" s="4"/>
      <c r="D17" s="4"/>
      <c r="E17" s="4">
        <v>658</v>
      </c>
      <c r="F17" s="4"/>
      <c r="G17" s="4"/>
      <c r="H17" s="4"/>
      <c r="I17" s="4"/>
      <c r="J17" s="4"/>
    </row>
    <row r="18" spans="1:12">
      <c r="A18" t="s">
        <v>21</v>
      </c>
      <c r="B18" s="4"/>
      <c r="C18" s="4"/>
      <c r="D18" s="4">
        <v>521</v>
      </c>
      <c r="E18" s="4"/>
      <c r="F18" s="4"/>
      <c r="G18" s="4"/>
      <c r="H18" s="4"/>
      <c r="I18" s="4"/>
      <c r="J18" s="4"/>
    </row>
    <row r="19" spans="1:12">
      <c r="A19" t="s">
        <v>22</v>
      </c>
      <c r="B19" s="4"/>
      <c r="C19" s="4"/>
      <c r="D19" s="4"/>
      <c r="E19" s="4"/>
      <c r="F19" s="4"/>
      <c r="G19" s="4"/>
      <c r="H19" s="4"/>
      <c r="I19" s="4"/>
      <c r="J19" s="4">
        <v>812</v>
      </c>
    </row>
    <row r="20" spans="1:12">
      <c r="A20" t="s">
        <v>23</v>
      </c>
      <c r="B20" s="4"/>
      <c r="C20" s="4"/>
      <c r="D20" s="4"/>
      <c r="E20" s="4"/>
      <c r="F20" s="4">
        <v>400</v>
      </c>
      <c r="G20" s="4"/>
      <c r="H20" s="4"/>
      <c r="I20" s="4"/>
      <c r="J20" s="4"/>
    </row>
    <row r="21" spans="1:12">
      <c r="A21" t="s">
        <v>24</v>
      </c>
      <c r="B21" s="4"/>
      <c r="C21" s="4"/>
      <c r="D21" s="4"/>
      <c r="E21" s="4"/>
      <c r="F21" s="4"/>
      <c r="G21" s="4">
        <v>521</v>
      </c>
      <c r="H21" s="4"/>
      <c r="I21" s="4"/>
      <c r="J21" s="4"/>
    </row>
    <row r="22" spans="1:12">
      <c r="A22" s="5" t="s">
        <v>25</v>
      </c>
      <c r="B22" s="4"/>
      <c r="C22" s="4"/>
      <c r="D22" s="4">
        <v>400</v>
      </c>
      <c r="E22" s="4"/>
      <c r="F22" s="4"/>
      <c r="G22" s="4"/>
      <c r="H22" s="4"/>
      <c r="I22" s="4"/>
      <c r="J22" s="4"/>
    </row>
    <row r="23" spans="1:12">
      <c r="A23" t="s">
        <v>26</v>
      </c>
      <c r="B23" s="4"/>
      <c r="C23" s="4"/>
      <c r="D23" s="4"/>
      <c r="E23" s="4">
        <v>0</v>
      </c>
      <c r="F23" s="4"/>
      <c r="G23" s="4"/>
      <c r="H23" s="4"/>
      <c r="I23" s="4"/>
      <c r="J23" s="4"/>
    </row>
    <row r="24" spans="1:12">
      <c r="A24" s="5" t="s">
        <v>27</v>
      </c>
      <c r="B24" s="4"/>
      <c r="C24" s="4"/>
      <c r="D24" s="4"/>
      <c r="E24" s="4"/>
      <c r="F24" s="4"/>
      <c r="G24" s="4">
        <v>812</v>
      </c>
      <c r="H24" s="4"/>
      <c r="I24" s="4"/>
      <c r="J24" s="4"/>
    </row>
    <row r="25" spans="1:12">
      <c r="A25" s="5" t="s">
        <v>28</v>
      </c>
      <c r="B25" s="4"/>
      <c r="C25" s="4"/>
      <c r="D25" s="4"/>
      <c r="E25" s="4"/>
      <c r="F25" s="4"/>
      <c r="G25" s="4"/>
      <c r="H25" s="4">
        <v>400</v>
      </c>
      <c r="I25" s="4"/>
      <c r="J25" s="4"/>
    </row>
    <row r="26" spans="1:12">
      <c r="A26" t="s">
        <v>53</v>
      </c>
      <c r="B26" s="4"/>
      <c r="C26" s="4">
        <v>281</v>
      </c>
      <c r="D26" s="4"/>
      <c r="E26" s="4"/>
      <c r="F26" s="4"/>
      <c r="G26" s="4"/>
      <c r="H26" s="4"/>
      <c r="I26" s="4"/>
      <c r="J26" s="4"/>
    </row>
    <row r="27" spans="1:12">
      <c r="A27" t="s">
        <v>41</v>
      </c>
      <c r="B27" s="4"/>
      <c r="C27" s="4"/>
      <c r="D27" s="4"/>
      <c r="E27" s="4">
        <v>812</v>
      </c>
      <c r="F27" s="4"/>
      <c r="G27" s="4"/>
      <c r="H27" s="4"/>
      <c r="I27" s="4"/>
      <c r="J27" s="4"/>
    </row>
    <row r="28" spans="1:12">
      <c r="A28" s="5" t="s">
        <v>29</v>
      </c>
      <c r="B28" s="4"/>
      <c r="C28" s="4"/>
      <c r="D28" s="4">
        <v>658</v>
      </c>
      <c r="E28" s="4"/>
      <c r="F28" s="4"/>
      <c r="G28" s="4"/>
      <c r="H28" s="4"/>
      <c r="I28" s="4"/>
      <c r="J28" s="4"/>
    </row>
    <row r="29" spans="1:12">
      <c r="A29" t="s">
        <v>54</v>
      </c>
      <c r="B29" s="4"/>
      <c r="C29" s="4"/>
      <c r="D29" s="4"/>
      <c r="E29" s="4"/>
      <c r="F29" s="4"/>
      <c r="G29" s="4"/>
      <c r="H29" s="4"/>
      <c r="I29" s="4">
        <v>310</v>
      </c>
      <c r="J29" s="4"/>
    </row>
    <row r="30" spans="1:12">
      <c r="A30" s="5" t="s">
        <v>31</v>
      </c>
      <c r="B30" s="4"/>
      <c r="C30" s="4"/>
      <c r="D30" s="4"/>
      <c r="E30" s="4">
        <v>658</v>
      </c>
      <c r="F30" s="4"/>
      <c r="G30" s="4"/>
      <c r="H30" s="4"/>
      <c r="I30" s="4"/>
      <c r="J30" s="4"/>
      <c r="L30" t="s">
        <v>32</v>
      </c>
    </row>
    <row r="31" spans="1:12">
      <c r="A31" s="5" t="s">
        <v>33</v>
      </c>
      <c r="B31" s="4"/>
      <c r="C31" s="4"/>
      <c r="D31" s="4"/>
      <c r="E31" s="4"/>
      <c r="F31" s="4">
        <v>310</v>
      </c>
      <c r="G31" s="4"/>
      <c r="H31" s="4"/>
      <c r="I31" s="4"/>
      <c r="J31" s="4"/>
    </row>
    <row r="32" spans="1:12">
      <c r="A32" t="s">
        <v>34</v>
      </c>
      <c r="B32" s="4"/>
      <c r="C32" s="4"/>
      <c r="D32" s="4"/>
      <c r="E32" s="4"/>
      <c r="F32" s="4"/>
      <c r="G32" s="4"/>
      <c r="H32" s="4">
        <v>400</v>
      </c>
      <c r="I32" s="4"/>
      <c r="J32" s="4"/>
    </row>
    <row r="33" spans="1:11">
      <c r="A33" s="5" t="s">
        <v>35</v>
      </c>
      <c r="B33" s="4"/>
      <c r="C33" s="4"/>
      <c r="D33" s="4"/>
      <c r="E33" s="4"/>
      <c r="F33" s="4"/>
      <c r="G33" s="4"/>
      <c r="H33" s="4"/>
      <c r="I33" s="4"/>
      <c r="J33" s="4">
        <v>812</v>
      </c>
    </row>
    <row r="34" spans="1:11">
      <c r="A34" t="s">
        <v>36</v>
      </c>
      <c r="B34" s="4">
        <v>-1068</v>
      </c>
      <c r="C34" s="4"/>
      <c r="D34" s="4"/>
      <c r="E34" s="4"/>
      <c r="F34" s="4"/>
      <c r="G34" s="4"/>
      <c r="H34" s="4"/>
      <c r="I34" s="4"/>
      <c r="J34" s="4"/>
    </row>
    <row r="35" spans="1:11">
      <c r="A35" s="6" t="s">
        <v>37</v>
      </c>
      <c r="B35" s="7">
        <f>SUM(B6:B34)</f>
        <v>700</v>
      </c>
      <c r="C35" s="7">
        <f t="shared" ref="C35:J35" si="0">SUM(C6:C34)</f>
        <v>562</v>
      </c>
      <c r="D35" s="7">
        <f t="shared" si="0"/>
        <v>1889</v>
      </c>
      <c r="E35" s="7">
        <f t="shared" si="0"/>
        <v>2128</v>
      </c>
      <c r="F35" s="7">
        <f t="shared" si="0"/>
        <v>1522</v>
      </c>
      <c r="G35" s="7">
        <f t="shared" si="0"/>
        <v>1854</v>
      </c>
      <c r="H35" s="7">
        <f t="shared" si="0"/>
        <v>800</v>
      </c>
      <c r="I35" s="7">
        <f t="shared" si="0"/>
        <v>1122</v>
      </c>
      <c r="J35" s="7">
        <f t="shared" si="0"/>
        <v>2545</v>
      </c>
      <c r="K35" s="8">
        <f>SUM(B35:J35)</f>
        <v>13122</v>
      </c>
    </row>
    <row r="36" spans="1:11">
      <c r="A36" s="9"/>
      <c r="B36" s="7" t="s">
        <v>38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  <c r="I36" s="7" t="s">
        <v>52</v>
      </c>
      <c r="J36" s="7" t="s">
        <v>8</v>
      </c>
      <c r="K36" s="10" t="s">
        <v>37</v>
      </c>
    </row>
    <row r="39" spans="1:11">
      <c r="A39">
        <f>COUNTA(A6:A33)</f>
        <v>28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8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55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9</v>
      </c>
      <c r="B6" s="4">
        <v>400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45</v>
      </c>
      <c r="B7" s="4">
        <v>400</v>
      </c>
      <c r="C7" s="4"/>
      <c r="D7" s="4"/>
      <c r="E7" s="4"/>
      <c r="F7" s="4"/>
      <c r="G7" s="4"/>
      <c r="H7" s="4"/>
      <c r="I7" s="4"/>
      <c r="J7" s="4"/>
    </row>
    <row r="8" spans="1:18">
      <c r="A8" s="5" t="s">
        <v>11</v>
      </c>
      <c r="B8" s="4"/>
      <c r="C8" s="4"/>
      <c r="D8" s="4">
        <v>310</v>
      </c>
      <c r="E8" s="4"/>
      <c r="F8" s="4"/>
      <c r="G8" s="4"/>
      <c r="H8" s="4"/>
      <c r="I8" s="4"/>
      <c r="J8" s="4"/>
    </row>
    <row r="9" spans="1:18">
      <c r="A9" t="s">
        <v>12</v>
      </c>
      <c r="B9" s="4"/>
      <c r="C9" s="4"/>
      <c r="D9" s="4"/>
      <c r="E9" s="4"/>
      <c r="F9" s="4"/>
      <c r="G9" s="4">
        <v>521</v>
      </c>
      <c r="H9" s="4"/>
      <c r="I9" s="4"/>
      <c r="J9" s="4"/>
    </row>
    <row r="10" spans="1:18">
      <c r="A10" t="s">
        <v>48</v>
      </c>
      <c r="B10" s="4"/>
      <c r="C10" s="4">
        <v>281</v>
      </c>
      <c r="D10" s="4"/>
      <c r="E10" s="4"/>
      <c r="F10" s="4"/>
      <c r="G10" s="4"/>
      <c r="H10" s="4"/>
      <c r="I10" s="4"/>
      <c r="J10" s="4"/>
    </row>
    <row r="11" spans="1:18">
      <c r="A11" t="s">
        <v>50</v>
      </c>
      <c r="B11" s="4"/>
      <c r="C11" s="4"/>
      <c r="D11" s="4"/>
      <c r="E11" s="4"/>
      <c r="F11" s="4"/>
      <c r="G11" s="4"/>
      <c r="H11" s="4"/>
      <c r="I11" s="4">
        <v>812</v>
      </c>
      <c r="J11" s="4"/>
    </row>
    <row r="12" spans="1:18">
      <c r="A12" s="5" t="s">
        <v>13</v>
      </c>
      <c r="B12" s="4"/>
      <c r="C12" s="4"/>
      <c r="D12" s="4"/>
      <c r="E12" s="4"/>
      <c r="F12" s="4">
        <v>812</v>
      </c>
      <c r="G12" s="4"/>
      <c r="H12" s="4"/>
      <c r="I12" s="4"/>
      <c r="J12" s="4"/>
      <c r="R12" t="s">
        <v>14</v>
      </c>
    </row>
    <row r="13" spans="1:18">
      <c r="A13" s="5" t="s">
        <v>15</v>
      </c>
      <c r="B13" s="4">
        <v>658</v>
      </c>
      <c r="C13" s="4"/>
      <c r="D13" s="4"/>
      <c r="E13" s="4"/>
      <c r="F13" s="4"/>
      <c r="G13" s="4"/>
      <c r="H13" s="4"/>
      <c r="I13" s="4"/>
      <c r="J13" s="4"/>
    </row>
    <row r="14" spans="1:18">
      <c r="A14" t="s">
        <v>18</v>
      </c>
      <c r="B14" s="4"/>
      <c r="C14" s="4"/>
      <c r="D14" s="4"/>
      <c r="E14" s="4"/>
      <c r="F14" s="4"/>
      <c r="G14" s="4"/>
      <c r="H14" s="4"/>
      <c r="I14" s="4"/>
      <c r="J14" s="4">
        <v>400</v>
      </c>
    </row>
    <row r="15" spans="1:18">
      <c r="A15" t="s">
        <v>21</v>
      </c>
      <c r="B15" s="4"/>
      <c r="C15" s="4"/>
      <c r="D15" s="4">
        <v>521</v>
      </c>
      <c r="E15" s="4"/>
      <c r="F15" s="4"/>
      <c r="G15" s="4"/>
      <c r="H15" s="4"/>
      <c r="I15" s="4"/>
      <c r="J15" s="4"/>
    </row>
    <row r="16" spans="1:18">
      <c r="A16" t="s">
        <v>23</v>
      </c>
      <c r="B16" s="4"/>
      <c r="C16" s="4"/>
      <c r="D16" s="4"/>
      <c r="E16" s="4"/>
      <c r="F16" s="4">
        <v>400</v>
      </c>
      <c r="G16" s="4"/>
      <c r="H16" s="4"/>
      <c r="I16" s="4"/>
      <c r="J16" s="4"/>
    </row>
    <row r="17" spans="1:12">
      <c r="A17" s="5" t="s">
        <v>25</v>
      </c>
      <c r="B17" s="4"/>
      <c r="C17" s="4"/>
      <c r="D17" s="4">
        <v>400</v>
      </c>
      <c r="E17" s="4"/>
      <c r="F17" s="4"/>
      <c r="G17" s="4"/>
      <c r="H17" s="4"/>
      <c r="I17" s="4"/>
      <c r="J17" s="4"/>
    </row>
    <row r="18" spans="1:12">
      <c r="A18" s="5" t="s">
        <v>27</v>
      </c>
      <c r="B18" s="4"/>
      <c r="C18" s="4"/>
      <c r="D18" s="4"/>
      <c r="E18" s="4"/>
      <c r="F18" s="4"/>
      <c r="G18" s="4">
        <v>812</v>
      </c>
      <c r="H18" s="4"/>
      <c r="I18" s="4"/>
      <c r="J18" s="4"/>
    </row>
    <row r="19" spans="1:12">
      <c r="A19" t="s">
        <v>53</v>
      </c>
      <c r="B19" s="4"/>
      <c r="C19" s="4">
        <v>281</v>
      </c>
      <c r="D19" s="4"/>
      <c r="E19" s="4"/>
      <c r="F19" s="4"/>
      <c r="G19" s="4"/>
      <c r="H19" s="4"/>
      <c r="I19" s="4"/>
      <c r="J19" s="4"/>
    </row>
    <row r="20" spans="1:12">
      <c r="A20" t="s">
        <v>54</v>
      </c>
      <c r="B20" s="4"/>
      <c r="C20" s="4"/>
      <c r="D20" s="4"/>
      <c r="E20" s="4"/>
      <c r="F20" s="4"/>
      <c r="G20" s="4"/>
      <c r="H20" s="4"/>
      <c r="I20" s="4">
        <v>310</v>
      </c>
      <c r="J20" s="4"/>
    </row>
    <row r="21" spans="1:12">
      <c r="A21" s="5" t="s">
        <v>31</v>
      </c>
      <c r="B21" s="4"/>
      <c r="C21" s="4"/>
      <c r="D21" s="4"/>
      <c r="E21" s="4">
        <v>658</v>
      </c>
      <c r="F21" s="4"/>
      <c r="G21" s="4"/>
      <c r="H21" s="4"/>
      <c r="I21" s="4"/>
      <c r="J21" s="4"/>
      <c r="L21" t="s">
        <v>32</v>
      </c>
    </row>
    <row r="22" spans="1:12">
      <c r="A22" s="5" t="s">
        <v>33</v>
      </c>
      <c r="B22" s="4"/>
      <c r="C22" s="4"/>
      <c r="D22" s="4"/>
      <c r="E22" s="4"/>
      <c r="F22" s="4">
        <v>310</v>
      </c>
      <c r="G22" s="4"/>
      <c r="H22" s="4"/>
      <c r="I22" s="4"/>
      <c r="J22" s="4"/>
    </row>
    <row r="23" spans="1:12">
      <c r="A23" t="s">
        <v>36</v>
      </c>
      <c r="B23" s="4">
        <v>-10492</v>
      </c>
      <c r="C23" s="4"/>
      <c r="D23" s="4"/>
      <c r="E23" s="4"/>
      <c r="F23" s="4"/>
      <c r="G23" s="4"/>
      <c r="H23" s="4"/>
      <c r="I23" s="4"/>
      <c r="J23" s="4"/>
    </row>
    <row r="24" spans="1:12">
      <c r="A24" s="6" t="s">
        <v>37</v>
      </c>
      <c r="B24" s="7">
        <f t="shared" ref="B24:J24" si="0">SUM(B6:B23)</f>
        <v>-9034</v>
      </c>
      <c r="C24" s="7">
        <f t="shared" si="0"/>
        <v>562</v>
      </c>
      <c r="D24" s="7">
        <f t="shared" si="0"/>
        <v>1231</v>
      </c>
      <c r="E24" s="7">
        <f t="shared" si="0"/>
        <v>658</v>
      </c>
      <c r="F24" s="7">
        <f t="shared" si="0"/>
        <v>1522</v>
      </c>
      <c r="G24" s="7">
        <f t="shared" si="0"/>
        <v>1333</v>
      </c>
      <c r="H24" s="7">
        <f t="shared" si="0"/>
        <v>0</v>
      </c>
      <c r="I24" s="7">
        <f t="shared" si="0"/>
        <v>1122</v>
      </c>
      <c r="J24" s="7">
        <f t="shared" si="0"/>
        <v>400</v>
      </c>
      <c r="K24" s="8">
        <f>SUM(B24:J24)</f>
        <v>-2206</v>
      </c>
    </row>
    <row r="25" spans="1:12">
      <c r="A25" s="9"/>
      <c r="B25" s="7" t="s">
        <v>38</v>
      </c>
      <c r="C25" s="7" t="s">
        <v>2</v>
      </c>
      <c r="D25" s="7" t="s">
        <v>3</v>
      </c>
      <c r="E25" s="7" t="s">
        <v>4</v>
      </c>
      <c r="F25" s="7" t="s">
        <v>5</v>
      </c>
      <c r="G25" s="7" t="s">
        <v>6</v>
      </c>
      <c r="H25" s="7" t="s">
        <v>7</v>
      </c>
      <c r="I25" s="7" t="s">
        <v>52</v>
      </c>
      <c r="J25" s="7" t="s">
        <v>8</v>
      </c>
      <c r="K25" s="10" t="s">
        <v>37</v>
      </c>
    </row>
    <row r="28" spans="1:12">
      <c r="A28">
        <f>COUNTA(A6:A22)</f>
        <v>17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9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57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9</v>
      </c>
      <c r="B6" s="4">
        <v>400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58</v>
      </c>
      <c r="B7" s="4"/>
      <c r="C7" s="4">
        <v>310</v>
      </c>
      <c r="D7" s="4"/>
      <c r="E7" s="4"/>
      <c r="F7" s="4"/>
      <c r="G7" s="4"/>
      <c r="H7" s="4"/>
      <c r="I7" s="4"/>
      <c r="J7" s="4"/>
    </row>
    <row r="8" spans="1:18">
      <c r="A8" s="5" t="s">
        <v>11</v>
      </c>
      <c r="B8" s="4"/>
      <c r="C8" s="4"/>
      <c r="D8" s="4">
        <v>310</v>
      </c>
      <c r="E8" s="4"/>
      <c r="F8" s="4"/>
      <c r="G8" s="4"/>
      <c r="H8" s="4"/>
      <c r="I8" s="4"/>
      <c r="J8" s="4"/>
    </row>
    <row r="9" spans="1:18">
      <c r="A9" t="s">
        <v>12</v>
      </c>
      <c r="B9" s="4"/>
      <c r="C9" s="4"/>
      <c r="D9" s="4"/>
      <c r="E9" s="4"/>
      <c r="F9" s="4"/>
      <c r="G9" s="4">
        <v>521</v>
      </c>
      <c r="H9" s="4"/>
      <c r="I9" s="4"/>
      <c r="J9" s="4"/>
    </row>
    <row r="10" spans="1:18">
      <c r="A10" t="s">
        <v>48</v>
      </c>
      <c r="B10" s="4"/>
      <c r="C10" s="4">
        <v>281</v>
      </c>
      <c r="D10" s="4"/>
      <c r="E10" s="4"/>
      <c r="F10" s="4"/>
      <c r="G10" s="4"/>
      <c r="H10" s="4"/>
      <c r="I10" s="4"/>
      <c r="J10" s="4"/>
    </row>
    <row r="11" spans="1:18">
      <c r="A11" t="s">
        <v>50</v>
      </c>
      <c r="B11" s="4"/>
      <c r="C11" s="4"/>
      <c r="D11" s="4"/>
      <c r="E11" s="4"/>
      <c r="F11" s="4"/>
      <c r="G11" s="4"/>
      <c r="H11" s="4"/>
      <c r="I11" s="4">
        <v>812</v>
      </c>
      <c r="J11" s="4"/>
    </row>
    <row r="12" spans="1:18">
      <c r="A12" s="5" t="s">
        <v>13</v>
      </c>
      <c r="B12" s="4"/>
      <c r="C12" s="4"/>
      <c r="D12" s="4"/>
      <c r="E12" s="4"/>
      <c r="F12" s="4">
        <v>812</v>
      </c>
      <c r="G12" s="4"/>
      <c r="H12" s="4"/>
      <c r="I12" s="4"/>
      <c r="J12" s="4"/>
      <c r="R12" t="s">
        <v>14</v>
      </c>
    </row>
    <row r="13" spans="1:18">
      <c r="A13" s="5" t="s">
        <v>15</v>
      </c>
      <c r="B13" s="4">
        <v>658</v>
      </c>
      <c r="C13" s="4"/>
      <c r="D13" s="4"/>
      <c r="E13" s="4"/>
      <c r="F13" s="4"/>
      <c r="G13" s="4"/>
      <c r="H13" s="4"/>
      <c r="I13" s="4"/>
      <c r="J13" s="4"/>
    </row>
    <row r="14" spans="1:18">
      <c r="A14" t="s">
        <v>18</v>
      </c>
      <c r="B14" s="4"/>
      <c r="C14" s="4"/>
      <c r="D14" s="4"/>
      <c r="E14" s="4"/>
      <c r="F14" s="4"/>
      <c r="G14" s="4"/>
      <c r="H14" s="4"/>
      <c r="I14" s="4"/>
      <c r="J14" s="4">
        <v>400</v>
      </c>
    </row>
    <row r="15" spans="1:18">
      <c r="A15" t="s">
        <v>21</v>
      </c>
      <c r="B15" s="4"/>
      <c r="C15" s="4"/>
      <c r="D15" s="4">
        <v>521</v>
      </c>
      <c r="E15" s="4"/>
      <c r="F15" s="4"/>
      <c r="G15" s="4"/>
      <c r="H15" s="4"/>
      <c r="I15" s="4"/>
      <c r="J15" s="4"/>
    </row>
    <row r="16" spans="1:18">
      <c r="A16" t="s">
        <v>23</v>
      </c>
      <c r="B16" s="4"/>
      <c r="C16" s="4"/>
      <c r="D16" s="4"/>
      <c r="E16" s="4"/>
      <c r="F16" s="4">
        <v>400</v>
      </c>
      <c r="G16" s="4"/>
      <c r="H16" s="4"/>
      <c r="I16" s="4"/>
      <c r="J16" s="4"/>
    </row>
    <row r="17" spans="1:11">
      <c r="A17" s="5" t="s">
        <v>25</v>
      </c>
      <c r="B17" s="4"/>
      <c r="C17" s="4"/>
      <c r="D17" s="4">
        <v>400</v>
      </c>
      <c r="E17" s="4"/>
      <c r="F17" s="4"/>
      <c r="G17" s="4"/>
      <c r="H17" s="4"/>
      <c r="I17" s="4"/>
      <c r="J17" s="4"/>
    </row>
    <row r="18" spans="1:11">
      <c r="A18" s="5" t="s">
        <v>27</v>
      </c>
      <c r="B18" s="4"/>
      <c r="C18" s="4"/>
      <c r="D18" s="4"/>
      <c r="E18" s="4"/>
      <c r="F18" s="4"/>
      <c r="G18" s="4">
        <v>812</v>
      </c>
      <c r="H18" s="4"/>
      <c r="I18" s="4"/>
      <c r="J18" s="4"/>
    </row>
    <row r="19" spans="1:11">
      <c r="A19" t="s">
        <v>53</v>
      </c>
      <c r="B19" s="4"/>
      <c r="C19" s="4">
        <v>281</v>
      </c>
      <c r="D19" s="4"/>
      <c r="E19" s="4"/>
      <c r="F19" s="4"/>
      <c r="G19" s="4"/>
      <c r="H19" s="4"/>
      <c r="I19" s="4"/>
      <c r="J19" s="4"/>
    </row>
    <row r="20" spans="1:11">
      <c r="A20" s="5" t="s">
        <v>31</v>
      </c>
      <c r="B20" s="4"/>
      <c r="C20" s="4"/>
      <c r="D20" s="4"/>
      <c r="E20" s="4">
        <v>658</v>
      </c>
      <c r="F20" s="4"/>
      <c r="G20" s="4"/>
      <c r="H20" s="4"/>
      <c r="I20" s="4"/>
      <c r="J20" s="4"/>
    </row>
    <row r="21" spans="1:11">
      <c r="A21" t="s">
        <v>59</v>
      </c>
      <c r="B21" s="4">
        <v>310</v>
      </c>
      <c r="C21" s="4"/>
      <c r="D21" s="4"/>
      <c r="E21" s="4"/>
      <c r="F21" s="4"/>
      <c r="G21" s="4"/>
      <c r="H21" s="4"/>
      <c r="I21" s="4"/>
      <c r="J21" s="4"/>
    </row>
    <row r="22" spans="1:11">
      <c r="A22" t="s">
        <v>54</v>
      </c>
      <c r="B22" s="4"/>
      <c r="C22" s="4"/>
      <c r="D22" s="4"/>
      <c r="E22" s="4"/>
      <c r="F22" s="4"/>
      <c r="G22" s="4"/>
      <c r="H22" s="4"/>
      <c r="I22" s="4">
        <v>310</v>
      </c>
      <c r="J22" s="4"/>
    </row>
    <row r="23" spans="1:11">
      <c r="A23" s="5" t="s">
        <v>33</v>
      </c>
      <c r="B23" s="4"/>
      <c r="C23" s="4"/>
      <c r="D23" s="4"/>
      <c r="E23" s="4"/>
      <c r="F23" s="4">
        <v>310</v>
      </c>
      <c r="G23" s="4"/>
      <c r="H23" s="4"/>
      <c r="I23" s="4"/>
      <c r="J23" s="4"/>
    </row>
    <row r="24" spans="1:11">
      <c r="A24" t="s">
        <v>36</v>
      </c>
      <c r="B24" s="4">
        <v>-876</v>
      </c>
      <c r="C24" s="4">
        <v>-1548</v>
      </c>
      <c r="D24" s="4"/>
      <c r="E24" s="4"/>
      <c r="F24" s="4"/>
      <c r="G24" s="4"/>
      <c r="H24" s="4"/>
      <c r="I24" s="4"/>
      <c r="J24" s="4"/>
    </row>
    <row r="25" spans="1:11">
      <c r="A25" s="6" t="s">
        <v>37</v>
      </c>
      <c r="B25" s="7">
        <f t="shared" ref="B25:J25" si="0">SUM(B6:B24)</f>
        <v>492</v>
      </c>
      <c r="C25" s="7">
        <f t="shared" si="0"/>
        <v>-676</v>
      </c>
      <c r="D25" s="7">
        <f t="shared" si="0"/>
        <v>1231</v>
      </c>
      <c r="E25" s="7">
        <f t="shared" si="0"/>
        <v>658</v>
      </c>
      <c r="F25" s="7">
        <f t="shared" si="0"/>
        <v>1522</v>
      </c>
      <c r="G25" s="7">
        <f t="shared" si="0"/>
        <v>1333</v>
      </c>
      <c r="H25" s="7">
        <f t="shared" si="0"/>
        <v>0</v>
      </c>
      <c r="I25" s="7">
        <f t="shared" si="0"/>
        <v>1122</v>
      </c>
      <c r="J25" s="7">
        <f t="shared" si="0"/>
        <v>400</v>
      </c>
      <c r="K25" s="8">
        <f>SUM(B25:J25)</f>
        <v>6082</v>
      </c>
    </row>
    <row r="26" spans="1:11">
      <c r="A26" s="9"/>
      <c r="B26" s="7" t="s">
        <v>38</v>
      </c>
      <c r="C26" s="7" t="s">
        <v>2</v>
      </c>
      <c r="D26" s="7" t="s">
        <v>3</v>
      </c>
      <c r="E26" s="7" t="s">
        <v>4</v>
      </c>
      <c r="F26" s="7" t="s">
        <v>5</v>
      </c>
      <c r="G26" s="7" t="s">
        <v>6</v>
      </c>
      <c r="H26" s="7" t="s">
        <v>7</v>
      </c>
      <c r="I26" s="7" t="s">
        <v>52</v>
      </c>
      <c r="J26" s="7" t="s">
        <v>8</v>
      </c>
      <c r="K26" s="10" t="s">
        <v>37</v>
      </c>
    </row>
    <row r="29" spans="1:11">
      <c r="A29">
        <f>COUNTA(A6:A23)</f>
        <v>18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2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60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11">
        <v>310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400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58</v>
      </c>
      <c r="B8" s="4"/>
      <c r="C8" s="4">
        <v>310</v>
      </c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11">
        <v>521</v>
      </c>
      <c r="J9" s="4"/>
    </row>
    <row r="10" spans="1:18">
      <c r="A10" t="s">
        <v>12</v>
      </c>
      <c r="B10" s="4"/>
      <c r="C10" s="4"/>
      <c r="D10" s="4"/>
      <c r="E10" s="4"/>
      <c r="F10" s="4"/>
      <c r="G10" s="4">
        <v>521</v>
      </c>
      <c r="H10" s="4"/>
      <c r="I10" s="4"/>
      <c r="J10" s="4"/>
    </row>
    <row r="11" spans="1:18">
      <c r="A11" t="s">
        <v>48</v>
      </c>
      <c r="B11" s="4"/>
      <c r="C11" s="4">
        <v>281</v>
      </c>
      <c r="D11" s="4"/>
      <c r="E11" s="4"/>
      <c r="F11" s="4"/>
      <c r="G11" s="4"/>
      <c r="H11" s="4"/>
      <c r="I11" s="4"/>
      <c r="J11" s="4"/>
    </row>
    <row r="12" spans="1:18">
      <c r="A12" t="s">
        <v>50</v>
      </c>
      <c r="B12" s="4"/>
      <c r="C12" s="4"/>
      <c r="D12" s="4"/>
      <c r="E12" s="4"/>
      <c r="F12" s="4"/>
      <c r="G12" s="4"/>
      <c r="H12" s="4"/>
      <c r="I12" s="4">
        <v>812</v>
      </c>
      <c r="J12" s="4"/>
    </row>
    <row r="13" spans="1:18">
      <c r="A13" s="5" t="s">
        <v>13</v>
      </c>
      <c r="B13" s="4"/>
      <c r="C13" s="4"/>
      <c r="D13" s="4"/>
      <c r="E13" s="4"/>
      <c r="F13" s="4">
        <v>812</v>
      </c>
      <c r="G13" s="4"/>
      <c r="H13" s="4"/>
      <c r="I13" s="4"/>
      <c r="J13" s="4"/>
      <c r="R13" t="s">
        <v>14</v>
      </c>
    </row>
    <row r="14" spans="1:18">
      <c r="A14" s="5" t="s">
        <v>15</v>
      </c>
      <c r="B14" s="4">
        <v>658</v>
      </c>
      <c r="C14" s="4"/>
      <c r="D14" s="4"/>
      <c r="E14" s="4"/>
      <c r="F14" s="4"/>
      <c r="G14" s="4"/>
      <c r="H14" s="4"/>
      <c r="I14" s="4"/>
      <c r="J14" s="4"/>
    </row>
    <row r="15" spans="1:18">
      <c r="A15" t="s">
        <v>18</v>
      </c>
      <c r="B15" s="4"/>
      <c r="C15" s="4"/>
      <c r="D15" s="4"/>
      <c r="E15" s="4"/>
      <c r="F15" s="4"/>
      <c r="G15" s="4"/>
      <c r="H15" s="4"/>
      <c r="I15" s="4"/>
      <c r="J15" s="4">
        <v>400</v>
      </c>
    </row>
    <row r="16" spans="1:18">
      <c r="A16" t="s">
        <v>21</v>
      </c>
      <c r="B16" s="4"/>
      <c r="C16" s="4"/>
      <c r="D16" s="4">
        <v>521</v>
      </c>
      <c r="E16" s="4"/>
      <c r="F16" s="4"/>
      <c r="G16" s="4"/>
      <c r="H16" s="4"/>
      <c r="I16" s="4"/>
      <c r="J16" s="4"/>
    </row>
    <row r="17" spans="1:11">
      <c r="A17" t="s">
        <v>23</v>
      </c>
      <c r="B17" s="4"/>
      <c r="C17" s="4"/>
      <c r="D17" s="4"/>
      <c r="E17" s="4"/>
      <c r="F17" s="4">
        <v>400</v>
      </c>
      <c r="G17" s="4"/>
      <c r="H17" s="4"/>
      <c r="I17" s="4"/>
      <c r="J17" s="4"/>
    </row>
    <row r="18" spans="1:11">
      <c r="A18" t="s">
        <v>63</v>
      </c>
      <c r="B18" s="11">
        <v>400</v>
      </c>
      <c r="C18" s="4"/>
      <c r="D18" s="4"/>
      <c r="E18" s="4"/>
      <c r="F18" s="4"/>
      <c r="G18" s="4"/>
      <c r="H18" s="4"/>
      <c r="I18" s="4"/>
      <c r="J18" s="4"/>
    </row>
    <row r="19" spans="1:11">
      <c r="A19" s="5" t="s">
        <v>25</v>
      </c>
      <c r="B19" s="4"/>
      <c r="C19" s="4"/>
      <c r="D19" s="4">
        <v>400</v>
      </c>
      <c r="E19" s="4"/>
      <c r="F19" s="4"/>
      <c r="G19" s="4"/>
      <c r="H19" s="4"/>
      <c r="I19" s="4"/>
      <c r="J19" s="4"/>
    </row>
    <row r="20" spans="1:11">
      <c r="A20" s="5" t="s">
        <v>27</v>
      </c>
      <c r="B20" s="4"/>
      <c r="C20" s="4"/>
      <c r="D20" s="4"/>
      <c r="E20" s="4"/>
      <c r="F20" s="4"/>
      <c r="G20" s="4">
        <v>812</v>
      </c>
      <c r="H20" s="4"/>
      <c r="I20" s="4"/>
      <c r="J20" s="4"/>
    </row>
    <row r="21" spans="1:11">
      <c r="A21" t="s">
        <v>64</v>
      </c>
      <c r="B21" s="4"/>
      <c r="C21" s="4"/>
      <c r="D21" s="4">
        <v>310</v>
      </c>
      <c r="E21" s="4"/>
      <c r="F21" s="4"/>
      <c r="G21" s="4"/>
      <c r="H21" s="4"/>
      <c r="I21" s="4"/>
      <c r="J21" s="4"/>
    </row>
    <row r="22" spans="1:11">
      <c r="A22" t="s">
        <v>53</v>
      </c>
      <c r="B22" s="4"/>
      <c r="C22" s="4">
        <v>281</v>
      </c>
      <c r="D22" s="4"/>
      <c r="E22" s="4"/>
      <c r="F22" s="4"/>
      <c r="G22" s="4"/>
      <c r="H22" s="4"/>
      <c r="I22" s="4"/>
      <c r="J22" s="4"/>
    </row>
    <row r="23" spans="1:11">
      <c r="A23" s="5" t="s">
        <v>31</v>
      </c>
      <c r="B23" s="4"/>
      <c r="C23" s="4"/>
      <c r="D23" s="4"/>
      <c r="E23" s="4">
        <v>658</v>
      </c>
      <c r="F23" s="4"/>
      <c r="G23" s="4"/>
      <c r="H23" s="4"/>
      <c r="I23" s="4"/>
      <c r="J23" s="4"/>
    </row>
    <row r="24" spans="1:11">
      <c r="A24" t="s">
        <v>59</v>
      </c>
      <c r="B24" s="4">
        <v>310</v>
      </c>
      <c r="C24" s="4"/>
      <c r="D24" s="4"/>
      <c r="E24" s="4"/>
      <c r="F24" s="4"/>
      <c r="G24" s="4"/>
      <c r="H24" s="4"/>
      <c r="I24" s="4"/>
      <c r="J24" s="4"/>
    </row>
    <row r="25" spans="1:11">
      <c r="A25" t="s">
        <v>54</v>
      </c>
      <c r="B25" s="4"/>
      <c r="C25" s="4"/>
      <c r="D25" s="4"/>
      <c r="E25" s="4"/>
      <c r="F25" s="4"/>
      <c r="G25" s="4"/>
      <c r="H25" s="4"/>
      <c r="I25" s="4">
        <v>310</v>
      </c>
      <c r="J25" s="4"/>
    </row>
    <row r="26" spans="1:11">
      <c r="A26" s="5" t="s">
        <v>33</v>
      </c>
      <c r="B26" s="4"/>
      <c r="C26" s="4"/>
      <c r="D26" s="4"/>
      <c r="E26" s="4"/>
      <c r="F26" s="4">
        <v>310</v>
      </c>
      <c r="G26" s="4"/>
      <c r="H26" s="4"/>
      <c r="I26" s="4"/>
      <c r="J26" s="4"/>
    </row>
    <row r="27" spans="1:11">
      <c r="A27" t="s">
        <v>36</v>
      </c>
      <c r="B27" s="11">
        <f>310+310+521+521+400+400</f>
        <v>2462</v>
      </c>
      <c r="C27" s="4"/>
      <c r="D27" s="4"/>
      <c r="E27" s="4"/>
      <c r="F27" s="4"/>
      <c r="G27" s="4"/>
      <c r="H27" s="4"/>
      <c r="I27" s="4"/>
      <c r="J27" s="4"/>
    </row>
    <row r="28" spans="1:11">
      <c r="A28" s="6" t="s">
        <v>37</v>
      </c>
      <c r="B28" s="7">
        <f>SUM(B6:B27)</f>
        <v>4540</v>
      </c>
      <c r="C28" s="7">
        <f t="shared" ref="C28:J28" si="0">SUM(C6:C27)</f>
        <v>872</v>
      </c>
      <c r="D28" s="7">
        <f t="shared" si="0"/>
        <v>1231</v>
      </c>
      <c r="E28" s="7">
        <f t="shared" si="0"/>
        <v>658</v>
      </c>
      <c r="F28" s="7">
        <f t="shared" si="0"/>
        <v>1522</v>
      </c>
      <c r="G28" s="7">
        <f t="shared" si="0"/>
        <v>1333</v>
      </c>
      <c r="H28" s="7">
        <f t="shared" si="0"/>
        <v>0</v>
      </c>
      <c r="I28" s="7">
        <f t="shared" si="0"/>
        <v>1643</v>
      </c>
      <c r="J28" s="7">
        <f t="shared" si="0"/>
        <v>400</v>
      </c>
      <c r="K28" s="8">
        <f>SUM(B28:J28)</f>
        <v>12199</v>
      </c>
    </row>
    <row r="29" spans="1:11">
      <c r="A29" s="9"/>
      <c r="B29" s="7" t="s">
        <v>38</v>
      </c>
      <c r="C29" s="7" t="s">
        <v>2</v>
      </c>
      <c r="D29" s="7" t="s">
        <v>3</v>
      </c>
      <c r="E29" s="7" t="s">
        <v>4</v>
      </c>
      <c r="F29" s="7" t="s">
        <v>5</v>
      </c>
      <c r="G29" s="7" t="s">
        <v>6</v>
      </c>
      <c r="H29" s="7" t="s">
        <v>7</v>
      </c>
      <c r="I29" s="7" t="s">
        <v>52</v>
      </c>
      <c r="J29" s="7" t="s">
        <v>8</v>
      </c>
      <c r="K29" s="10" t="s">
        <v>37</v>
      </c>
    </row>
    <row r="32" spans="1:11">
      <c r="A32">
        <f>COUNTA(A6:A26)</f>
        <v>21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2"/>
  <sheetViews>
    <sheetView workbookViewId="0">
      <selection activeCell="D23" sqref="D23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65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4">
        <v>310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400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58</v>
      </c>
      <c r="B8" s="4"/>
      <c r="C8" s="4">
        <v>310</v>
      </c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4">
        <v>521</v>
      </c>
      <c r="J9" s="4"/>
    </row>
    <row r="10" spans="1:18">
      <c r="A10" t="s">
        <v>12</v>
      </c>
      <c r="B10" s="4"/>
      <c r="C10" s="4"/>
      <c r="D10" s="4"/>
      <c r="E10" s="4"/>
      <c r="F10" s="4"/>
      <c r="G10" s="4">
        <v>521</v>
      </c>
      <c r="H10" s="4"/>
      <c r="I10" s="4"/>
      <c r="J10" s="4"/>
    </row>
    <row r="11" spans="1:18">
      <c r="A11" t="s">
        <v>48</v>
      </c>
      <c r="B11" s="4"/>
      <c r="C11" s="4">
        <v>281</v>
      </c>
      <c r="D11" s="4"/>
      <c r="E11" s="4"/>
      <c r="F11" s="4"/>
      <c r="G11" s="4"/>
      <c r="H11" s="4"/>
      <c r="I11" s="4"/>
      <c r="J11" s="4"/>
    </row>
    <row r="12" spans="1:18">
      <c r="A12" t="s">
        <v>50</v>
      </c>
      <c r="B12" s="4"/>
      <c r="C12" s="4"/>
      <c r="D12" s="4"/>
      <c r="E12" s="4"/>
      <c r="F12" s="4"/>
      <c r="G12" s="4"/>
      <c r="H12" s="4"/>
      <c r="I12" s="4">
        <v>812</v>
      </c>
      <c r="J12" s="4"/>
    </row>
    <row r="13" spans="1:18">
      <c r="A13" s="5" t="s">
        <v>13</v>
      </c>
      <c r="B13" s="4"/>
      <c r="C13" s="4"/>
      <c r="D13" s="4"/>
      <c r="E13" s="4"/>
      <c r="F13" s="4">
        <v>812</v>
      </c>
      <c r="G13" s="4"/>
      <c r="H13" s="4"/>
      <c r="I13" s="4"/>
      <c r="J13" s="4"/>
      <c r="R13" t="s">
        <v>14</v>
      </c>
    </row>
    <row r="14" spans="1:18">
      <c r="A14" s="5" t="s">
        <v>15</v>
      </c>
      <c r="B14" s="4">
        <v>658</v>
      </c>
      <c r="C14" s="4"/>
      <c r="D14" s="4"/>
      <c r="E14" s="4"/>
      <c r="F14" s="4"/>
      <c r="G14" s="4"/>
      <c r="H14" s="4"/>
      <c r="I14" s="4"/>
      <c r="J14" s="4"/>
    </row>
    <row r="15" spans="1:18">
      <c r="A15" t="s">
        <v>18</v>
      </c>
      <c r="B15" s="4"/>
      <c r="C15" s="4"/>
      <c r="D15" s="4"/>
      <c r="E15" s="4"/>
      <c r="F15" s="4"/>
      <c r="G15" s="4"/>
      <c r="H15" s="4"/>
      <c r="I15" s="4"/>
      <c r="J15" s="4">
        <v>400</v>
      </c>
    </row>
    <row r="16" spans="1:18">
      <c r="A16" t="s">
        <v>21</v>
      </c>
      <c r="B16" s="4"/>
      <c r="C16" s="4"/>
      <c r="D16" s="4">
        <v>521</v>
      </c>
      <c r="E16" s="4"/>
      <c r="F16" s="4"/>
      <c r="G16" s="4"/>
      <c r="H16" s="4"/>
      <c r="I16" s="4"/>
      <c r="J16" s="4"/>
    </row>
    <row r="17" spans="1:11">
      <c r="A17" t="s">
        <v>23</v>
      </c>
      <c r="B17" s="4"/>
      <c r="C17" s="4"/>
      <c r="D17" s="4"/>
      <c r="E17" s="4"/>
      <c r="F17" s="4">
        <v>400</v>
      </c>
      <c r="G17" s="4"/>
      <c r="H17" s="4"/>
      <c r="I17" s="4"/>
      <c r="J17" s="4"/>
    </row>
    <row r="18" spans="1:11">
      <c r="A18" t="s">
        <v>63</v>
      </c>
      <c r="B18" s="4">
        <v>400</v>
      </c>
      <c r="C18" s="4"/>
      <c r="D18" s="4"/>
      <c r="E18" s="4"/>
      <c r="F18" s="4"/>
      <c r="G18" s="4"/>
      <c r="H18" s="4"/>
      <c r="I18" s="4"/>
      <c r="J18" s="4"/>
    </row>
    <row r="19" spans="1:11">
      <c r="A19" s="5" t="s">
        <v>25</v>
      </c>
      <c r="B19" s="4"/>
      <c r="C19" s="4"/>
      <c r="D19" s="4">
        <v>400</v>
      </c>
      <c r="E19" s="4"/>
      <c r="F19" s="4"/>
      <c r="G19" s="4"/>
      <c r="H19" s="4"/>
      <c r="I19" s="4"/>
      <c r="J19" s="4"/>
    </row>
    <row r="20" spans="1:11">
      <c r="A20" s="5" t="s">
        <v>27</v>
      </c>
      <c r="B20" s="4"/>
      <c r="C20" s="4"/>
      <c r="D20" s="4"/>
      <c r="E20" s="4"/>
      <c r="F20" s="4"/>
      <c r="G20" s="4">
        <v>812</v>
      </c>
      <c r="H20" s="4"/>
      <c r="I20" s="4"/>
      <c r="J20" s="4"/>
    </row>
    <row r="21" spans="1:11">
      <c r="A21" t="s">
        <v>64</v>
      </c>
      <c r="B21" s="4"/>
      <c r="C21" s="4"/>
      <c r="D21" s="4">
        <v>310</v>
      </c>
      <c r="E21" s="4"/>
      <c r="F21" s="4"/>
      <c r="G21" s="4"/>
      <c r="H21" s="4"/>
      <c r="I21" s="4"/>
      <c r="J21" s="4"/>
    </row>
    <row r="22" spans="1:11">
      <c r="A22" t="s">
        <v>53</v>
      </c>
      <c r="B22" s="4"/>
      <c r="C22" s="4">
        <v>281</v>
      </c>
      <c r="D22" s="4"/>
      <c r="E22" s="4"/>
      <c r="F22" s="4"/>
      <c r="G22" s="4"/>
      <c r="H22" s="4"/>
      <c r="I22" s="4"/>
      <c r="J22" s="4"/>
    </row>
    <row r="23" spans="1:11">
      <c r="A23" s="5" t="s">
        <v>31</v>
      </c>
      <c r="B23" s="4"/>
      <c r="C23" s="4"/>
      <c r="D23" s="4"/>
      <c r="E23" s="4">
        <v>658</v>
      </c>
      <c r="F23" s="4"/>
      <c r="G23" s="4"/>
      <c r="H23" s="4"/>
      <c r="I23" s="4"/>
      <c r="J23" s="4"/>
    </row>
    <row r="24" spans="1:11">
      <c r="A24" t="s">
        <v>59</v>
      </c>
      <c r="B24" s="4">
        <v>310</v>
      </c>
      <c r="C24" s="4"/>
      <c r="D24" s="4"/>
      <c r="E24" s="4"/>
      <c r="F24" s="4"/>
      <c r="G24" s="4"/>
      <c r="H24" s="4"/>
      <c r="I24" s="4"/>
      <c r="J24" s="4"/>
    </row>
    <row r="25" spans="1:11">
      <c r="A25" t="s">
        <v>54</v>
      </c>
      <c r="B25" s="4"/>
      <c r="C25" s="4"/>
      <c r="D25" s="4"/>
      <c r="E25" s="4"/>
      <c r="F25" s="4"/>
      <c r="G25" s="4"/>
      <c r="H25" s="4"/>
      <c r="I25" s="4">
        <v>310</v>
      </c>
      <c r="J25" s="4"/>
    </row>
    <row r="26" spans="1:11">
      <c r="A26" s="5" t="s">
        <v>33</v>
      </c>
      <c r="B26" s="4"/>
      <c r="C26" s="4"/>
      <c r="D26" s="4"/>
      <c r="E26" s="4"/>
      <c r="F26" s="4">
        <v>310</v>
      </c>
      <c r="G26" s="4"/>
      <c r="H26" s="4"/>
      <c r="I26" s="4"/>
      <c r="J26" s="4"/>
    </row>
    <row r="27" spans="1:11">
      <c r="A27" t="s">
        <v>36</v>
      </c>
      <c r="B27" s="11"/>
      <c r="C27" s="4"/>
      <c r="D27" s="4"/>
      <c r="E27" s="4"/>
      <c r="F27" s="4"/>
      <c r="G27" s="4"/>
      <c r="H27" s="4"/>
      <c r="I27" s="4"/>
      <c r="J27" s="4"/>
    </row>
    <row r="28" spans="1:11">
      <c r="A28" s="6" t="s">
        <v>37</v>
      </c>
      <c r="B28" s="7">
        <f>SUM(B6:B27)</f>
        <v>2078</v>
      </c>
      <c r="C28" s="7">
        <f t="shared" ref="C28:J28" si="0">SUM(C6:C27)</f>
        <v>872</v>
      </c>
      <c r="D28" s="7">
        <f t="shared" si="0"/>
        <v>1231</v>
      </c>
      <c r="E28" s="7">
        <f t="shared" si="0"/>
        <v>658</v>
      </c>
      <c r="F28" s="7">
        <f t="shared" si="0"/>
        <v>1522</v>
      </c>
      <c r="G28" s="7">
        <f t="shared" si="0"/>
        <v>1333</v>
      </c>
      <c r="H28" s="7">
        <f t="shared" si="0"/>
        <v>0</v>
      </c>
      <c r="I28" s="7">
        <f t="shared" si="0"/>
        <v>1643</v>
      </c>
      <c r="J28" s="7">
        <f t="shared" si="0"/>
        <v>400</v>
      </c>
      <c r="K28" s="8">
        <f>SUM(B28:J28)</f>
        <v>9737</v>
      </c>
    </row>
    <row r="29" spans="1:11">
      <c r="A29" s="9"/>
      <c r="B29" s="7" t="s">
        <v>38</v>
      </c>
      <c r="C29" s="7" t="s">
        <v>2</v>
      </c>
      <c r="D29" s="7" t="s">
        <v>3</v>
      </c>
      <c r="E29" s="7" t="s">
        <v>4</v>
      </c>
      <c r="F29" s="7" t="s">
        <v>5</v>
      </c>
      <c r="G29" s="7" t="s">
        <v>6</v>
      </c>
      <c r="H29" s="7" t="s">
        <v>7</v>
      </c>
      <c r="I29" s="7" t="s">
        <v>52</v>
      </c>
      <c r="J29" s="7" t="s">
        <v>8</v>
      </c>
      <c r="K29" s="10" t="s">
        <v>37</v>
      </c>
    </row>
    <row r="32" spans="1:11">
      <c r="A32">
        <f>COUNTA(A6:A26)</f>
        <v>21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2"/>
  <sheetViews>
    <sheetView workbookViewId="0">
      <selection activeCell="D21" sqref="D21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66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4">
        <v>310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400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58</v>
      </c>
      <c r="B8" s="4"/>
      <c r="C8" s="4">
        <v>310</v>
      </c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4">
        <v>521</v>
      </c>
      <c r="J9" s="4"/>
    </row>
    <row r="10" spans="1:18">
      <c r="A10" t="s">
        <v>12</v>
      </c>
      <c r="B10" s="4"/>
      <c r="C10" s="4"/>
      <c r="D10" s="4"/>
      <c r="E10" s="4"/>
      <c r="F10" s="4"/>
      <c r="G10" s="4">
        <v>521</v>
      </c>
      <c r="H10" s="4"/>
      <c r="I10" s="4"/>
      <c r="J10" s="4"/>
    </row>
    <row r="11" spans="1:18">
      <c r="A11" t="s">
        <v>48</v>
      </c>
      <c r="B11" s="4"/>
      <c r="C11" s="4">
        <v>281</v>
      </c>
      <c r="D11" s="4"/>
      <c r="E11" s="4"/>
      <c r="F11" s="4"/>
      <c r="G11" s="4"/>
      <c r="H11" s="4"/>
      <c r="I11" s="4"/>
      <c r="J11" s="4"/>
    </row>
    <row r="12" spans="1:18">
      <c r="A12" t="s">
        <v>50</v>
      </c>
      <c r="B12" s="4"/>
      <c r="C12" s="4"/>
      <c r="D12" s="4"/>
      <c r="E12" s="4"/>
      <c r="F12" s="4"/>
      <c r="G12" s="4"/>
      <c r="H12" s="4"/>
      <c r="I12" s="4">
        <v>812</v>
      </c>
      <c r="J12" s="4"/>
    </row>
    <row r="13" spans="1:18">
      <c r="A13" s="5" t="s">
        <v>13</v>
      </c>
      <c r="B13" s="4"/>
      <c r="C13" s="4"/>
      <c r="D13" s="4"/>
      <c r="E13" s="4"/>
      <c r="F13" s="4">
        <v>812</v>
      </c>
      <c r="G13" s="4"/>
      <c r="H13" s="4"/>
      <c r="I13" s="4"/>
      <c r="J13" s="4"/>
      <c r="R13" t="s">
        <v>14</v>
      </c>
    </row>
    <row r="14" spans="1:18">
      <c r="A14" s="5" t="s">
        <v>15</v>
      </c>
      <c r="B14" s="4">
        <v>658</v>
      </c>
      <c r="C14" s="4"/>
      <c r="D14" s="4"/>
      <c r="E14" s="4"/>
      <c r="F14" s="4"/>
      <c r="G14" s="4"/>
      <c r="H14" s="4"/>
      <c r="I14" s="4"/>
      <c r="J14" s="4"/>
    </row>
    <row r="15" spans="1:18">
      <c r="A15" t="s">
        <v>18</v>
      </c>
      <c r="B15" s="4"/>
      <c r="C15" s="4"/>
      <c r="D15" s="4"/>
      <c r="E15" s="4"/>
      <c r="F15" s="4"/>
      <c r="G15" s="4"/>
      <c r="H15" s="4"/>
      <c r="I15" s="4"/>
      <c r="J15" s="4">
        <v>400</v>
      </c>
    </row>
    <row r="16" spans="1:18">
      <c r="A16" t="s">
        <v>21</v>
      </c>
      <c r="B16" s="4"/>
      <c r="C16" s="4"/>
      <c r="D16" s="4">
        <v>521</v>
      </c>
      <c r="E16" s="4"/>
      <c r="F16" s="4"/>
      <c r="G16" s="4"/>
      <c r="H16" s="4"/>
      <c r="I16" s="4"/>
      <c r="J16" s="4"/>
    </row>
    <row r="17" spans="1:11">
      <c r="A17" t="s">
        <v>23</v>
      </c>
      <c r="B17" s="4"/>
      <c r="C17" s="4"/>
      <c r="D17" s="4"/>
      <c r="E17" s="4"/>
      <c r="F17" s="4">
        <v>400</v>
      </c>
      <c r="G17" s="4"/>
      <c r="H17" s="4"/>
      <c r="I17" s="4"/>
      <c r="J17" s="4"/>
    </row>
    <row r="18" spans="1:11">
      <c r="A18" t="s">
        <v>63</v>
      </c>
      <c r="B18" s="4">
        <v>400</v>
      </c>
      <c r="C18" s="4"/>
      <c r="D18" s="4"/>
      <c r="E18" s="4"/>
      <c r="F18" s="4"/>
      <c r="G18" s="4"/>
      <c r="H18" s="4"/>
      <c r="I18" s="4"/>
      <c r="J18" s="4"/>
    </row>
    <row r="19" spans="1:11">
      <c r="A19" s="5" t="s">
        <v>25</v>
      </c>
      <c r="B19" s="4"/>
      <c r="C19" s="4"/>
      <c r="D19" s="4">
        <v>400</v>
      </c>
      <c r="E19" s="4"/>
      <c r="F19" s="4"/>
      <c r="G19" s="4"/>
      <c r="H19" s="4"/>
      <c r="I19" s="4"/>
      <c r="J19" s="4"/>
    </row>
    <row r="20" spans="1:11">
      <c r="A20" s="5" t="s">
        <v>27</v>
      </c>
      <c r="B20" s="4"/>
      <c r="C20" s="4"/>
      <c r="D20" s="4"/>
      <c r="E20" s="4"/>
      <c r="F20" s="4"/>
      <c r="G20" s="4">
        <v>812</v>
      </c>
      <c r="H20" s="4"/>
      <c r="I20" s="4"/>
      <c r="J20" s="4"/>
    </row>
    <row r="21" spans="1:11">
      <c r="A21" t="s">
        <v>64</v>
      </c>
      <c r="B21" s="4"/>
      <c r="C21" s="4"/>
      <c r="D21" s="4">
        <v>310</v>
      </c>
      <c r="E21" s="4"/>
      <c r="F21" s="4"/>
      <c r="G21" s="4"/>
      <c r="H21" s="4"/>
      <c r="I21" s="4"/>
      <c r="J21" s="4"/>
    </row>
    <row r="22" spans="1:11">
      <c r="A22" t="s">
        <v>53</v>
      </c>
      <c r="B22" s="4"/>
      <c r="C22" s="4">
        <v>281</v>
      </c>
      <c r="D22" s="4"/>
      <c r="E22" s="4"/>
      <c r="F22" s="4"/>
      <c r="G22" s="4"/>
      <c r="H22" s="4"/>
      <c r="I22" s="4"/>
      <c r="J22" s="4"/>
    </row>
    <row r="23" spans="1:11">
      <c r="A23" s="5" t="s">
        <v>31</v>
      </c>
      <c r="B23" s="4"/>
      <c r="C23" s="4"/>
      <c r="D23" s="4"/>
      <c r="E23" s="4">
        <v>658</v>
      </c>
      <c r="F23" s="4"/>
      <c r="G23" s="4"/>
      <c r="H23" s="4"/>
      <c r="I23" s="4"/>
      <c r="J23" s="4"/>
    </row>
    <row r="24" spans="1:11">
      <c r="A24" t="s">
        <v>59</v>
      </c>
      <c r="B24" s="4">
        <v>310</v>
      </c>
      <c r="C24" s="4"/>
      <c r="D24" s="4"/>
      <c r="E24" s="4"/>
      <c r="F24" s="4"/>
      <c r="G24" s="4"/>
      <c r="H24" s="4"/>
      <c r="I24" s="4"/>
      <c r="J24" s="4"/>
    </row>
    <row r="25" spans="1:11">
      <c r="A25" t="s">
        <v>54</v>
      </c>
      <c r="B25" s="4"/>
      <c r="C25" s="4"/>
      <c r="D25" s="4"/>
      <c r="E25" s="4"/>
      <c r="F25" s="4"/>
      <c r="G25" s="4"/>
      <c r="H25" s="4"/>
      <c r="I25" s="4">
        <v>310</v>
      </c>
      <c r="J25" s="4"/>
    </row>
    <row r="26" spans="1:11">
      <c r="A26" s="5" t="s">
        <v>33</v>
      </c>
      <c r="B26" s="4"/>
      <c r="C26" s="4"/>
      <c r="D26" s="4"/>
      <c r="E26" s="4"/>
      <c r="F26" s="4">
        <v>310</v>
      </c>
      <c r="G26" s="4"/>
      <c r="H26" s="4"/>
      <c r="I26" s="4"/>
      <c r="J26" s="4"/>
    </row>
    <row r="27" spans="1:11">
      <c r="A27" t="s">
        <v>36</v>
      </c>
      <c r="B27" s="11"/>
      <c r="C27" s="4"/>
      <c r="D27" s="4"/>
      <c r="E27" s="4"/>
      <c r="F27" s="4"/>
      <c r="G27" s="4"/>
      <c r="H27" s="4"/>
      <c r="I27" s="4"/>
      <c r="J27" s="4"/>
    </row>
    <row r="28" spans="1:11">
      <c r="A28" s="6" t="s">
        <v>37</v>
      </c>
      <c r="B28" s="7">
        <f>SUM(B6:B27)</f>
        <v>2078</v>
      </c>
      <c r="C28" s="7">
        <f t="shared" ref="C28:J28" si="0">SUM(C6:C27)</f>
        <v>872</v>
      </c>
      <c r="D28" s="7">
        <f t="shared" si="0"/>
        <v>1231</v>
      </c>
      <c r="E28" s="7">
        <f t="shared" si="0"/>
        <v>658</v>
      </c>
      <c r="F28" s="7">
        <f t="shared" si="0"/>
        <v>1522</v>
      </c>
      <c r="G28" s="7">
        <f t="shared" si="0"/>
        <v>1333</v>
      </c>
      <c r="H28" s="7">
        <f t="shared" si="0"/>
        <v>0</v>
      </c>
      <c r="I28" s="7">
        <f t="shared" si="0"/>
        <v>1643</v>
      </c>
      <c r="J28" s="7">
        <f t="shared" si="0"/>
        <v>400</v>
      </c>
      <c r="K28" s="8">
        <f>SUM(B28:J28)</f>
        <v>9737</v>
      </c>
    </row>
    <row r="29" spans="1:11">
      <c r="A29" s="9"/>
      <c r="B29" s="7" t="s">
        <v>38</v>
      </c>
      <c r="C29" s="7" t="s">
        <v>2</v>
      </c>
      <c r="D29" s="7" t="s">
        <v>3</v>
      </c>
      <c r="E29" s="7" t="s">
        <v>4</v>
      </c>
      <c r="F29" s="7" t="s">
        <v>5</v>
      </c>
      <c r="G29" s="7" t="s">
        <v>6</v>
      </c>
      <c r="H29" s="7" t="s">
        <v>7</v>
      </c>
      <c r="I29" s="7" t="s">
        <v>52</v>
      </c>
      <c r="J29" s="7" t="s">
        <v>8</v>
      </c>
      <c r="K29" s="10" t="s">
        <v>37</v>
      </c>
    </row>
    <row r="32" spans="1:11">
      <c r="A32">
        <f>COUNTA(A6:A26)</f>
        <v>21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2"/>
  <sheetViews>
    <sheetView workbookViewId="0">
      <selection activeCell="D21" sqref="D21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67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4">
        <v>310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400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58</v>
      </c>
      <c r="B8" s="4"/>
      <c r="C8" s="4">
        <v>310</v>
      </c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4">
        <v>521</v>
      </c>
      <c r="J9" s="4"/>
    </row>
    <row r="10" spans="1:18">
      <c r="A10" t="s">
        <v>12</v>
      </c>
      <c r="B10" s="4"/>
      <c r="C10" s="4"/>
      <c r="D10" s="4"/>
      <c r="E10" s="4"/>
      <c r="F10" s="4"/>
      <c r="G10" s="4">
        <v>521</v>
      </c>
      <c r="H10" s="4"/>
      <c r="I10" s="4"/>
      <c r="J10" s="4"/>
    </row>
    <row r="11" spans="1:18">
      <c r="A11" t="s">
        <v>48</v>
      </c>
      <c r="B11" s="4"/>
      <c r="C11" s="4">
        <v>281</v>
      </c>
      <c r="D11" s="4"/>
      <c r="E11" s="4"/>
      <c r="F11" s="4"/>
      <c r="G11" s="4"/>
      <c r="H11" s="4"/>
      <c r="I11" s="4"/>
      <c r="J11" s="4"/>
    </row>
    <row r="12" spans="1:18">
      <c r="A12" t="s">
        <v>50</v>
      </c>
      <c r="B12" s="4"/>
      <c r="C12" s="4"/>
      <c r="D12" s="4"/>
      <c r="E12" s="4"/>
      <c r="F12" s="4"/>
      <c r="G12" s="4"/>
      <c r="H12" s="4"/>
      <c r="I12" s="4">
        <v>812</v>
      </c>
      <c r="J12" s="4"/>
    </row>
    <row r="13" spans="1:18">
      <c r="A13" s="5" t="s">
        <v>13</v>
      </c>
      <c r="B13" s="4"/>
      <c r="C13" s="4"/>
      <c r="D13" s="4"/>
      <c r="E13" s="4"/>
      <c r="F13" s="4">
        <v>812</v>
      </c>
      <c r="G13" s="4"/>
      <c r="H13" s="4"/>
      <c r="I13" s="4"/>
      <c r="J13" s="4"/>
      <c r="R13" t="s">
        <v>14</v>
      </c>
    </row>
    <row r="14" spans="1:18">
      <c r="A14" s="5" t="s">
        <v>15</v>
      </c>
      <c r="B14" s="4">
        <v>658</v>
      </c>
      <c r="C14" s="4"/>
      <c r="D14" s="4"/>
      <c r="E14" s="4"/>
      <c r="F14" s="4"/>
      <c r="G14" s="4"/>
      <c r="H14" s="4"/>
      <c r="I14" s="4"/>
      <c r="J14" s="4"/>
    </row>
    <row r="15" spans="1:18">
      <c r="A15" t="s">
        <v>18</v>
      </c>
      <c r="B15" s="4"/>
      <c r="C15" s="4"/>
      <c r="D15" s="4"/>
      <c r="E15" s="4"/>
      <c r="F15" s="4"/>
      <c r="G15" s="4"/>
      <c r="H15" s="4"/>
      <c r="I15" s="4"/>
      <c r="J15" s="4">
        <v>400</v>
      </c>
    </row>
    <row r="16" spans="1:18">
      <c r="A16" t="s">
        <v>21</v>
      </c>
      <c r="B16" s="4"/>
      <c r="C16" s="4"/>
      <c r="D16" s="4">
        <v>521</v>
      </c>
      <c r="E16" s="4"/>
      <c r="F16" s="4"/>
      <c r="G16" s="4"/>
      <c r="H16" s="4"/>
      <c r="I16" s="4"/>
      <c r="J16" s="4"/>
    </row>
    <row r="17" spans="1:11">
      <c r="A17" t="s">
        <v>23</v>
      </c>
      <c r="B17" s="4"/>
      <c r="C17" s="4"/>
      <c r="D17" s="4"/>
      <c r="E17" s="4"/>
      <c r="F17" s="4">
        <v>400</v>
      </c>
      <c r="G17" s="4"/>
      <c r="H17" s="4"/>
      <c r="I17" s="4"/>
      <c r="J17" s="4"/>
    </row>
    <row r="18" spans="1:11">
      <c r="A18" t="s">
        <v>63</v>
      </c>
      <c r="B18" s="4">
        <v>400</v>
      </c>
      <c r="C18" s="4"/>
      <c r="D18" s="4"/>
      <c r="E18" s="4"/>
      <c r="F18" s="4"/>
      <c r="G18" s="4"/>
      <c r="H18" s="4"/>
      <c r="I18" s="4"/>
      <c r="J18" s="4"/>
    </row>
    <row r="19" spans="1:11">
      <c r="A19" s="5" t="s">
        <v>25</v>
      </c>
      <c r="B19" s="4"/>
      <c r="C19" s="4"/>
      <c r="D19" s="4">
        <v>400</v>
      </c>
      <c r="E19" s="4"/>
      <c r="F19" s="4"/>
      <c r="G19" s="4"/>
      <c r="H19" s="4"/>
      <c r="I19" s="4"/>
      <c r="J19" s="4"/>
    </row>
    <row r="20" spans="1:11">
      <c r="A20" s="5" t="s">
        <v>27</v>
      </c>
      <c r="B20" s="4"/>
      <c r="C20" s="4"/>
      <c r="D20" s="4"/>
      <c r="E20" s="4"/>
      <c r="F20" s="4"/>
      <c r="G20" s="4">
        <v>812</v>
      </c>
      <c r="H20" s="4"/>
      <c r="I20" s="4"/>
      <c r="J20" s="4"/>
    </row>
    <row r="21" spans="1:11">
      <c r="A21" t="s">
        <v>64</v>
      </c>
      <c r="B21" s="4"/>
      <c r="C21" s="4"/>
      <c r="D21" s="4">
        <v>310</v>
      </c>
      <c r="E21" s="4"/>
      <c r="F21" s="4"/>
      <c r="G21" s="4"/>
      <c r="H21" s="4"/>
      <c r="I21" s="4"/>
      <c r="J21" s="4"/>
    </row>
    <row r="22" spans="1:11">
      <c r="A22" t="s">
        <v>53</v>
      </c>
      <c r="B22" s="4"/>
      <c r="C22" s="4">
        <v>281</v>
      </c>
      <c r="D22" s="4"/>
      <c r="E22" s="4"/>
      <c r="F22" s="4"/>
      <c r="G22" s="4"/>
      <c r="H22" s="4"/>
      <c r="I22" s="4"/>
      <c r="J22" s="4"/>
    </row>
    <row r="23" spans="1:11">
      <c r="A23" s="5" t="s">
        <v>31</v>
      </c>
      <c r="B23" s="4"/>
      <c r="C23" s="4"/>
      <c r="D23" s="4"/>
      <c r="E23" s="4">
        <v>658</v>
      </c>
      <c r="F23" s="4"/>
      <c r="G23" s="4"/>
      <c r="H23" s="4"/>
      <c r="I23" s="4"/>
      <c r="J23" s="4"/>
    </row>
    <row r="24" spans="1:11">
      <c r="A24" t="s">
        <v>59</v>
      </c>
      <c r="B24" s="4">
        <f>-(310*2)</f>
        <v>-620</v>
      </c>
      <c r="C24" s="4"/>
      <c r="D24" s="4"/>
      <c r="E24" s="4"/>
      <c r="F24" s="4"/>
      <c r="G24" s="4"/>
      <c r="H24" s="4"/>
      <c r="I24" s="4"/>
      <c r="J24" s="4"/>
    </row>
    <row r="25" spans="1:11">
      <c r="A25" t="s">
        <v>54</v>
      </c>
      <c r="B25" s="4"/>
      <c r="C25" s="4"/>
      <c r="D25" s="4"/>
      <c r="E25" s="4"/>
      <c r="F25" s="4"/>
      <c r="G25" s="4"/>
      <c r="H25" s="4"/>
      <c r="I25" s="4">
        <v>310</v>
      </c>
      <c r="J25" s="4"/>
    </row>
    <row r="26" spans="1:11">
      <c r="A26" s="5" t="s">
        <v>33</v>
      </c>
      <c r="B26" s="4"/>
      <c r="C26" s="4"/>
      <c r="D26" s="4"/>
      <c r="E26" s="4"/>
      <c r="F26" s="4">
        <v>310</v>
      </c>
      <c r="G26" s="4"/>
      <c r="H26" s="4"/>
      <c r="I26" s="4"/>
      <c r="J26" s="4"/>
    </row>
    <row r="27" spans="1:11">
      <c r="A27" t="s">
        <v>36</v>
      </c>
      <c r="B27" s="11"/>
      <c r="C27" s="4"/>
      <c r="D27" s="4"/>
      <c r="E27" s="4"/>
      <c r="F27" s="4"/>
      <c r="G27" s="4"/>
      <c r="H27" s="4"/>
      <c r="I27" s="4"/>
      <c r="J27" s="4"/>
    </row>
    <row r="28" spans="1:11">
      <c r="A28" s="6" t="s">
        <v>37</v>
      </c>
      <c r="B28" s="7">
        <f>SUM(B6:B27)</f>
        <v>1148</v>
      </c>
      <c r="C28" s="7">
        <f t="shared" ref="C28:J28" si="0">SUM(C6:C27)</f>
        <v>872</v>
      </c>
      <c r="D28" s="7">
        <f t="shared" si="0"/>
        <v>1231</v>
      </c>
      <c r="E28" s="7">
        <f t="shared" si="0"/>
        <v>658</v>
      </c>
      <c r="F28" s="7">
        <f t="shared" si="0"/>
        <v>1522</v>
      </c>
      <c r="G28" s="7">
        <f t="shared" si="0"/>
        <v>1333</v>
      </c>
      <c r="H28" s="7">
        <f t="shared" si="0"/>
        <v>0</v>
      </c>
      <c r="I28" s="7">
        <f t="shared" si="0"/>
        <v>1643</v>
      </c>
      <c r="J28" s="7">
        <f t="shared" si="0"/>
        <v>400</v>
      </c>
      <c r="K28" s="8">
        <f>SUM(B28:J28)</f>
        <v>8807</v>
      </c>
    </row>
    <row r="29" spans="1:11">
      <c r="A29" s="9"/>
      <c r="B29" s="7" t="s">
        <v>38</v>
      </c>
      <c r="C29" s="7" t="s">
        <v>2</v>
      </c>
      <c r="D29" s="7" t="s">
        <v>3</v>
      </c>
      <c r="E29" s="7" t="s">
        <v>4</v>
      </c>
      <c r="F29" s="7" t="s">
        <v>5</v>
      </c>
      <c r="G29" s="7" t="s">
        <v>6</v>
      </c>
      <c r="H29" s="7" t="s">
        <v>7</v>
      </c>
      <c r="I29" s="7" t="s">
        <v>52</v>
      </c>
      <c r="J29" s="7" t="s">
        <v>8</v>
      </c>
      <c r="K29" s="10" t="s">
        <v>37</v>
      </c>
    </row>
    <row r="32" spans="1:11">
      <c r="A32">
        <f>COUNTA(A6:A26)</f>
        <v>21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3"/>
  <sheetViews>
    <sheetView workbookViewId="0">
      <selection activeCell="D21" sqref="D21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68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4">
        <v>310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400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58</v>
      </c>
      <c r="B8" s="4"/>
      <c r="C8" s="4">
        <v>310</v>
      </c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4">
        <v>521</v>
      </c>
      <c r="J9" s="4"/>
    </row>
    <row r="10" spans="1:18">
      <c r="A10" t="s">
        <v>12</v>
      </c>
      <c r="B10" s="4"/>
      <c r="C10" s="4"/>
      <c r="D10" s="4"/>
      <c r="E10" s="4"/>
      <c r="F10" s="4"/>
      <c r="G10" s="4">
        <v>521</v>
      </c>
      <c r="H10" s="4"/>
      <c r="I10" s="4"/>
      <c r="J10" s="4"/>
    </row>
    <row r="11" spans="1:18">
      <c r="A11" t="s">
        <v>48</v>
      </c>
      <c r="B11" s="4"/>
      <c r="C11" s="4">
        <v>281</v>
      </c>
      <c r="D11" s="4"/>
      <c r="E11" s="4"/>
      <c r="F11" s="4"/>
      <c r="G11" s="4"/>
      <c r="H11" s="4"/>
      <c r="I11" s="4"/>
      <c r="J11" s="4"/>
    </row>
    <row r="12" spans="1:18">
      <c r="A12" t="s">
        <v>50</v>
      </c>
      <c r="B12" s="4"/>
      <c r="C12" s="4"/>
      <c r="D12" s="4"/>
      <c r="E12" s="4"/>
      <c r="F12" s="4"/>
      <c r="G12" s="4"/>
      <c r="H12" s="4"/>
      <c r="I12" s="4">
        <v>812</v>
      </c>
      <c r="J12" s="4"/>
    </row>
    <row r="13" spans="1:18">
      <c r="A13" s="5" t="s">
        <v>13</v>
      </c>
      <c r="B13" s="4"/>
      <c r="C13" s="4"/>
      <c r="D13" s="4"/>
      <c r="E13" s="4"/>
      <c r="F13" s="4">
        <v>812</v>
      </c>
      <c r="G13" s="4"/>
      <c r="H13" s="4"/>
      <c r="I13" s="4"/>
      <c r="J13" s="4"/>
      <c r="R13" t="s">
        <v>14</v>
      </c>
    </row>
    <row r="14" spans="1:18">
      <c r="A14" s="5" t="s">
        <v>15</v>
      </c>
      <c r="B14" s="4">
        <v>658</v>
      </c>
      <c r="C14" s="4"/>
      <c r="D14" s="4"/>
      <c r="E14" s="4"/>
      <c r="F14" s="4"/>
      <c r="G14" s="4"/>
      <c r="H14" s="4"/>
      <c r="I14" s="4"/>
      <c r="J14" s="4"/>
    </row>
    <row r="15" spans="1:18">
      <c r="A15" t="s">
        <v>69</v>
      </c>
      <c r="B15" s="4"/>
      <c r="C15" s="4"/>
      <c r="D15" s="4"/>
      <c r="E15" s="11">
        <f>400+400*2</f>
        <v>1200</v>
      </c>
      <c r="F15" s="4"/>
      <c r="G15" s="4"/>
      <c r="H15" s="4"/>
      <c r="I15" s="4"/>
      <c r="J15" s="4"/>
    </row>
    <row r="16" spans="1:18">
      <c r="A16" t="s">
        <v>18</v>
      </c>
      <c r="B16" s="4"/>
      <c r="C16" s="4"/>
      <c r="D16" s="4"/>
      <c r="E16" s="4"/>
      <c r="F16" s="4"/>
      <c r="G16" s="4"/>
      <c r="H16" s="4"/>
      <c r="I16" s="4"/>
      <c r="J16" s="4">
        <v>400</v>
      </c>
    </row>
    <row r="17" spans="1:11">
      <c r="A17" t="s">
        <v>21</v>
      </c>
      <c r="B17" s="4"/>
      <c r="C17" s="4"/>
      <c r="D17" s="4">
        <v>521</v>
      </c>
      <c r="E17" s="4"/>
      <c r="F17" s="4"/>
      <c r="G17" s="4"/>
      <c r="H17" s="4"/>
      <c r="I17" s="4"/>
      <c r="J17" s="4"/>
    </row>
    <row r="18" spans="1:11">
      <c r="A18" t="s">
        <v>23</v>
      </c>
      <c r="B18" s="4"/>
      <c r="C18" s="4"/>
      <c r="D18" s="4"/>
      <c r="E18" s="4"/>
      <c r="F18" s="4">
        <v>400</v>
      </c>
      <c r="G18" s="4"/>
      <c r="H18" s="4"/>
      <c r="I18" s="4"/>
      <c r="J18" s="4"/>
    </row>
    <row r="19" spans="1:11">
      <c r="A19" t="s">
        <v>63</v>
      </c>
      <c r="B19" s="4">
        <v>400</v>
      </c>
      <c r="C19" s="4"/>
      <c r="D19" s="4"/>
      <c r="E19" s="4"/>
      <c r="F19" s="4"/>
      <c r="G19" s="4"/>
      <c r="H19" s="4"/>
      <c r="I19" s="4"/>
      <c r="J19" s="4"/>
    </row>
    <row r="20" spans="1:11">
      <c r="A20" s="5" t="s">
        <v>25</v>
      </c>
      <c r="B20" s="4"/>
      <c r="C20" s="4"/>
      <c r="D20" s="4">
        <v>400</v>
      </c>
      <c r="E20" s="4"/>
      <c r="F20" s="4"/>
      <c r="G20" s="4"/>
      <c r="H20" s="4"/>
      <c r="I20" s="4"/>
      <c r="J20" s="4"/>
    </row>
    <row r="21" spans="1:11">
      <c r="A21" s="5" t="s">
        <v>27</v>
      </c>
      <c r="B21" s="4"/>
      <c r="C21" s="4"/>
      <c r="D21" s="4"/>
      <c r="E21" s="4"/>
      <c r="F21" s="4"/>
      <c r="G21" s="4">
        <v>812</v>
      </c>
      <c r="H21" s="4"/>
      <c r="I21" s="4"/>
      <c r="J21" s="4"/>
    </row>
    <row r="22" spans="1:11">
      <c r="A22" t="s">
        <v>64</v>
      </c>
      <c r="B22" s="4"/>
      <c r="C22" s="4"/>
      <c r="D22" s="11">
        <f>310+483+483*4</f>
        <v>2725</v>
      </c>
      <c r="E22" s="4"/>
      <c r="F22" s="4"/>
      <c r="G22" s="4"/>
      <c r="H22" s="4"/>
      <c r="I22" s="4"/>
      <c r="J22" s="4"/>
    </row>
    <row r="23" spans="1:11" s="12" customFormat="1">
      <c r="A23" s="12" t="s">
        <v>53</v>
      </c>
      <c r="B23" s="11"/>
      <c r="C23" s="11">
        <v>281</v>
      </c>
      <c r="D23" s="11"/>
      <c r="E23" s="11"/>
      <c r="F23" s="11"/>
      <c r="G23" s="11"/>
      <c r="H23" s="11"/>
      <c r="I23" s="11"/>
      <c r="J23" s="11"/>
    </row>
    <row r="24" spans="1:11">
      <c r="A24" s="5" t="s">
        <v>31</v>
      </c>
      <c r="B24" s="4"/>
      <c r="C24" s="4"/>
      <c r="D24" s="4"/>
      <c r="E24" s="4">
        <v>658</v>
      </c>
      <c r="F24" s="4"/>
      <c r="G24" s="4"/>
      <c r="H24" s="4"/>
      <c r="I24" s="4"/>
      <c r="J24" s="4"/>
    </row>
    <row r="25" spans="1:11">
      <c r="A25" t="s">
        <v>54</v>
      </c>
      <c r="B25" s="4"/>
      <c r="C25" s="4"/>
      <c r="D25" s="4"/>
      <c r="E25" s="4"/>
      <c r="F25" s="4"/>
      <c r="G25" s="4"/>
      <c r="H25" s="4"/>
      <c r="I25" s="4">
        <v>310</v>
      </c>
      <c r="J25" s="4"/>
    </row>
    <row r="26" spans="1:11">
      <c r="A26" s="5" t="s">
        <v>33</v>
      </c>
      <c r="B26" s="4"/>
      <c r="C26" s="4"/>
      <c r="D26" s="4"/>
      <c r="E26" s="4"/>
      <c r="F26" s="4">
        <v>310</v>
      </c>
      <c r="G26" s="4"/>
      <c r="H26" s="4"/>
      <c r="I26" s="4"/>
      <c r="J26" s="4"/>
    </row>
    <row r="27" spans="1:11">
      <c r="A27" t="s">
        <v>36</v>
      </c>
      <c r="B27" s="11"/>
      <c r="C27" s="4"/>
      <c r="D27" s="4"/>
      <c r="E27" s="4"/>
      <c r="F27" s="4"/>
      <c r="G27" s="4"/>
      <c r="H27" s="4"/>
      <c r="I27" s="4"/>
      <c r="J27" s="4"/>
    </row>
    <row r="28" spans="1:11">
      <c r="A28" s="6" t="s">
        <v>37</v>
      </c>
      <c r="B28" s="7">
        <f>SUM(B6:B27)</f>
        <v>1768</v>
      </c>
      <c r="C28" s="7">
        <f t="shared" ref="C28:J28" si="0">SUM(C6:C27)</f>
        <v>872</v>
      </c>
      <c r="D28" s="7">
        <f t="shared" si="0"/>
        <v>3646</v>
      </c>
      <c r="E28" s="7">
        <f t="shared" si="0"/>
        <v>1858</v>
      </c>
      <c r="F28" s="7">
        <f t="shared" si="0"/>
        <v>1522</v>
      </c>
      <c r="G28" s="7">
        <f t="shared" si="0"/>
        <v>1333</v>
      </c>
      <c r="H28" s="7">
        <f t="shared" si="0"/>
        <v>0</v>
      </c>
      <c r="I28" s="7">
        <f t="shared" si="0"/>
        <v>1643</v>
      </c>
      <c r="J28" s="7">
        <f t="shared" si="0"/>
        <v>400</v>
      </c>
      <c r="K28" s="8">
        <f>SUM(B28:J28)</f>
        <v>13042</v>
      </c>
    </row>
    <row r="29" spans="1:11">
      <c r="A29" s="9"/>
      <c r="B29" s="7" t="s">
        <v>38</v>
      </c>
      <c r="C29" s="7" t="s">
        <v>2</v>
      </c>
      <c r="D29" s="7" t="s">
        <v>3</v>
      </c>
      <c r="E29" s="7" t="s">
        <v>4</v>
      </c>
      <c r="F29" s="7" t="s">
        <v>5</v>
      </c>
      <c r="G29" s="7" t="s">
        <v>6</v>
      </c>
      <c r="H29" s="7" t="s">
        <v>7</v>
      </c>
      <c r="I29" s="7" t="s">
        <v>52</v>
      </c>
      <c r="J29" s="7" t="s">
        <v>8</v>
      </c>
      <c r="K29" s="10" t="s">
        <v>37</v>
      </c>
    </row>
    <row r="32" spans="1:11">
      <c r="A32">
        <f>COUNTA(A6:A26)</f>
        <v>21</v>
      </c>
    </row>
    <row r="33" spans="1:1">
      <c r="A33" t="s">
        <v>70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4"/>
  <sheetViews>
    <sheetView topLeftCell="A10" workbookViewId="0">
      <selection activeCell="D21" sqref="D21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71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11">
        <f>-310*2</f>
        <v>-620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400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58</v>
      </c>
      <c r="B8" s="4"/>
      <c r="C8" s="4">
        <v>310</v>
      </c>
      <c r="D8" s="4"/>
      <c r="E8" s="4"/>
      <c r="F8" s="4"/>
      <c r="G8" s="4"/>
      <c r="H8" s="4"/>
      <c r="I8" s="4"/>
      <c r="J8" s="4"/>
    </row>
    <row r="9" spans="1:18">
      <c r="A9" t="s">
        <v>72</v>
      </c>
      <c r="B9" s="11">
        <f>658*2+658</f>
        <v>1974</v>
      </c>
      <c r="C9" s="4"/>
      <c r="D9" s="4"/>
      <c r="E9" s="4"/>
      <c r="F9" s="4"/>
      <c r="G9" s="4"/>
      <c r="H9" s="4"/>
      <c r="I9" s="4"/>
      <c r="J9" s="4"/>
    </row>
    <row r="10" spans="1:18">
      <c r="A10" t="s">
        <v>62</v>
      </c>
      <c r="B10" s="4"/>
      <c r="C10" s="4"/>
      <c r="D10" s="4"/>
      <c r="E10" s="4"/>
      <c r="F10" s="4"/>
      <c r="G10" s="4"/>
      <c r="H10" s="4"/>
      <c r="I10" s="4">
        <v>521</v>
      </c>
      <c r="J10" s="4"/>
    </row>
    <row r="11" spans="1:18">
      <c r="A11" t="s">
        <v>12</v>
      </c>
      <c r="B11" s="4"/>
      <c r="C11" s="4"/>
      <c r="D11" s="4"/>
      <c r="E11" s="4"/>
      <c r="F11" s="4"/>
      <c r="G11" s="4">
        <v>521</v>
      </c>
      <c r="H11" s="4"/>
      <c r="I11" s="4"/>
      <c r="J11" s="4"/>
    </row>
    <row r="12" spans="1:18">
      <c r="A12" t="s">
        <v>48</v>
      </c>
      <c r="B12" s="4"/>
      <c r="C12" s="4">
        <v>281</v>
      </c>
      <c r="D12" s="4"/>
      <c r="E12" s="4"/>
      <c r="F12" s="4"/>
      <c r="G12" s="4"/>
      <c r="H12" s="4"/>
      <c r="I12" s="4"/>
      <c r="J12" s="4"/>
    </row>
    <row r="13" spans="1:18">
      <c r="A13" t="s">
        <v>50</v>
      </c>
      <c r="B13" s="4"/>
      <c r="C13" s="4"/>
      <c r="D13" s="4"/>
      <c r="E13" s="4"/>
      <c r="F13" s="4"/>
      <c r="G13" s="4"/>
      <c r="H13" s="4"/>
      <c r="I13" s="4">
        <v>812</v>
      </c>
      <c r="J13" s="4"/>
    </row>
    <row r="14" spans="1:18">
      <c r="A14" s="5" t="s">
        <v>13</v>
      </c>
      <c r="B14" s="4"/>
      <c r="C14" s="4"/>
      <c r="D14" s="4"/>
      <c r="E14" s="4"/>
      <c r="F14" s="4">
        <v>812</v>
      </c>
      <c r="G14" s="4"/>
      <c r="H14" s="4"/>
      <c r="I14" s="4"/>
      <c r="J14" s="4"/>
      <c r="R14" t="s">
        <v>14</v>
      </c>
    </row>
    <row r="15" spans="1:18">
      <c r="A15" s="5" t="s">
        <v>15</v>
      </c>
      <c r="B15" s="4">
        <v>658</v>
      </c>
      <c r="C15" s="4"/>
      <c r="D15" s="4"/>
      <c r="E15" s="4"/>
      <c r="F15" s="4"/>
      <c r="G15" s="4"/>
      <c r="H15" s="4"/>
      <c r="I15" s="4"/>
      <c r="J15" s="4"/>
    </row>
    <row r="16" spans="1:18">
      <c r="A16" t="s">
        <v>69</v>
      </c>
      <c r="B16" s="4"/>
      <c r="C16" s="4"/>
      <c r="D16" s="4"/>
      <c r="E16" s="4">
        <v>400</v>
      </c>
      <c r="F16" s="4"/>
      <c r="G16" s="4"/>
      <c r="H16" s="4"/>
      <c r="I16" s="4"/>
      <c r="J16" s="4"/>
    </row>
    <row r="17" spans="1:11">
      <c r="A17" t="s">
        <v>18</v>
      </c>
      <c r="B17" s="4"/>
      <c r="C17" s="4"/>
      <c r="D17" s="4"/>
      <c r="E17" s="4"/>
      <c r="F17" s="4"/>
      <c r="G17" s="4"/>
      <c r="H17" s="4"/>
      <c r="I17" s="4"/>
      <c r="J17" s="4">
        <v>400</v>
      </c>
    </row>
    <row r="18" spans="1:11">
      <c r="A18" t="s">
        <v>21</v>
      </c>
      <c r="B18" s="4"/>
      <c r="C18" s="4"/>
      <c r="D18" s="4">
        <v>521</v>
      </c>
      <c r="E18" s="4"/>
      <c r="F18" s="4"/>
      <c r="G18" s="4"/>
      <c r="H18" s="4"/>
      <c r="I18" s="4"/>
      <c r="J18" s="4"/>
    </row>
    <row r="19" spans="1:11">
      <c r="A19" t="s">
        <v>23</v>
      </c>
      <c r="B19" s="4"/>
      <c r="C19" s="4"/>
      <c r="D19" s="4"/>
      <c r="E19" s="4"/>
      <c r="F19" s="4">
        <v>400</v>
      </c>
      <c r="G19" s="4"/>
      <c r="H19" s="4"/>
      <c r="I19" s="4"/>
      <c r="J19" s="4"/>
    </row>
    <row r="20" spans="1:11">
      <c r="A20" t="s">
        <v>63</v>
      </c>
      <c r="B20" s="4">
        <v>400</v>
      </c>
      <c r="C20" s="4"/>
      <c r="D20" s="4"/>
      <c r="E20" s="4"/>
      <c r="F20" s="4"/>
      <c r="G20" s="4"/>
      <c r="H20" s="4"/>
      <c r="I20" s="4"/>
      <c r="J20" s="4"/>
    </row>
    <row r="21" spans="1:11">
      <c r="A21" s="5" t="s">
        <v>25</v>
      </c>
      <c r="B21" s="4"/>
      <c r="C21" s="4"/>
      <c r="D21" s="4">
        <v>400</v>
      </c>
      <c r="E21" s="4"/>
      <c r="F21" s="4"/>
      <c r="G21" s="4"/>
      <c r="H21" s="4"/>
      <c r="I21" s="4"/>
      <c r="J21" s="4"/>
    </row>
    <row r="22" spans="1:11">
      <c r="A22" s="5" t="s">
        <v>27</v>
      </c>
      <c r="B22" s="4"/>
      <c r="C22" s="4"/>
      <c r="D22" s="4"/>
      <c r="E22" s="4"/>
      <c r="F22" s="4"/>
      <c r="G22" s="4">
        <v>812</v>
      </c>
      <c r="H22" s="4"/>
      <c r="I22" s="4"/>
      <c r="J22" s="4"/>
    </row>
    <row r="23" spans="1:11">
      <c r="A23" t="s">
        <v>64</v>
      </c>
      <c r="B23" s="4"/>
      <c r="C23" s="4"/>
      <c r="D23" s="4">
        <f>310+483</f>
        <v>793</v>
      </c>
      <c r="E23" s="4"/>
      <c r="F23" s="4"/>
      <c r="G23" s="4"/>
      <c r="H23" s="4"/>
      <c r="I23" s="4"/>
      <c r="J23" s="4"/>
    </row>
    <row r="24" spans="1:11" s="12" customFormat="1">
      <c r="A24" s="12" t="s">
        <v>53</v>
      </c>
      <c r="B24" s="11"/>
      <c r="C24" s="11">
        <f>-281*2</f>
        <v>-562</v>
      </c>
      <c r="D24" s="11"/>
      <c r="E24" s="11"/>
      <c r="F24" s="11"/>
      <c r="G24" s="11"/>
      <c r="H24" s="11"/>
      <c r="I24" s="11"/>
      <c r="J24" s="11"/>
    </row>
    <row r="25" spans="1:11">
      <c r="A25" s="5" t="s">
        <v>31</v>
      </c>
      <c r="B25" s="4"/>
      <c r="C25" s="4"/>
      <c r="D25" s="4"/>
      <c r="E25" s="4">
        <v>658</v>
      </c>
      <c r="F25" s="4"/>
      <c r="G25" s="4"/>
      <c r="H25" s="4"/>
      <c r="I25" s="4"/>
      <c r="J25" s="4"/>
    </row>
    <row r="26" spans="1:11">
      <c r="A26" t="s">
        <v>54</v>
      </c>
      <c r="B26" s="4"/>
      <c r="C26" s="4"/>
      <c r="D26" s="4"/>
      <c r="E26" s="4"/>
      <c r="F26" s="4"/>
      <c r="G26" s="4"/>
      <c r="H26" s="4"/>
      <c r="I26" s="4">
        <v>310</v>
      </c>
      <c r="J26" s="4"/>
    </row>
    <row r="27" spans="1:11">
      <c r="A27" s="5" t="s">
        <v>33</v>
      </c>
      <c r="B27" s="4"/>
      <c r="C27" s="4"/>
      <c r="D27" s="4"/>
      <c r="E27" s="4"/>
      <c r="F27" s="4">
        <v>310</v>
      </c>
      <c r="G27" s="4"/>
      <c r="H27" s="4"/>
      <c r="I27" s="4"/>
      <c r="J27" s="4"/>
    </row>
    <row r="28" spans="1:11">
      <c r="A28" t="s">
        <v>36</v>
      </c>
      <c r="B28" s="11"/>
      <c r="C28" s="4"/>
      <c r="D28" s="4"/>
      <c r="E28" s="4"/>
      <c r="F28" s="4"/>
      <c r="G28" s="4"/>
      <c r="H28" s="4"/>
      <c r="I28" s="4"/>
      <c r="J28" s="4"/>
    </row>
    <row r="29" spans="1:11">
      <c r="A29" s="6" t="s">
        <v>37</v>
      </c>
      <c r="B29" s="7">
        <f>SUM(B6:B28)</f>
        <v>2812</v>
      </c>
      <c r="C29" s="7">
        <f t="shared" ref="C29:J29" si="0">SUM(C6:C28)</f>
        <v>29</v>
      </c>
      <c r="D29" s="7">
        <f t="shared" si="0"/>
        <v>1714</v>
      </c>
      <c r="E29" s="7">
        <f t="shared" si="0"/>
        <v>1058</v>
      </c>
      <c r="F29" s="7">
        <f t="shared" si="0"/>
        <v>1522</v>
      </c>
      <c r="G29" s="7">
        <f t="shared" si="0"/>
        <v>1333</v>
      </c>
      <c r="H29" s="7">
        <f t="shared" si="0"/>
        <v>0</v>
      </c>
      <c r="I29" s="7">
        <f t="shared" si="0"/>
        <v>1643</v>
      </c>
      <c r="J29" s="7">
        <f t="shared" si="0"/>
        <v>400</v>
      </c>
      <c r="K29" s="8">
        <f>SUM(B29:J29)</f>
        <v>10511</v>
      </c>
    </row>
    <row r="30" spans="1:11">
      <c r="A30" s="9"/>
      <c r="B30" s="7" t="s">
        <v>38</v>
      </c>
      <c r="C30" s="7" t="s">
        <v>2</v>
      </c>
      <c r="D30" s="7" t="s">
        <v>3</v>
      </c>
      <c r="E30" s="7" t="s">
        <v>4</v>
      </c>
      <c r="F30" s="7" t="s">
        <v>5</v>
      </c>
      <c r="G30" s="7" t="s">
        <v>6</v>
      </c>
      <c r="H30" s="7" t="s">
        <v>7</v>
      </c>
      <c r="I30" s="7" t="s">
        <v>52</v>
      </c>
      <c r="J30" s="7" t="s">
        <v>8</v>
      </c>
      <c r="K30" s="10" t="s">
        <v>37</v>
      </c>
    </row>
    <row r="33" spans="1:1">
      <c r="A33">
        <f>COUNTA(A6:A27)</f>
        <v>22</v>
      </c>
    </row>
    <row r="34" spans="1:1">
      <c r="A34" t="s">
        <v>70</v>
      </c>
    </row>
  </sheetData>
  <pageMargins left="0.5" right="0.25" top="0.55000000000000004" bottom="0.8" header="0.35" footer="0.5"/>
  <pageSetup scale="9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3"/>
  <sheetViews>
    <sheetView topLeftCell="A4" workbookViewId="0">
      <selection activeCell="D21" sqref="D21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73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11">
        <f>310+533</f>
        <v>843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400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72</v>
      </c>
      <c r="B8" s="4">
        <v>658</v>
      </c>
      <c r="C8" s="4"/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4">
        <v>521</v>
      </c>
      <c r="J9" s="4"/>
    </row>
    <row r="10" spans="1:18">
      <c r="A10" t="s">
        <v>12</v>
      </c>
      <c r="B10" s="4"/>
      <c r="C10" s="4"/>
      <c r="D10" s="4"/>
      <c r="E10" s="4"/>
      <c r="F10" s="4"/>
      <c r="G10" s="4">
        <v>521</v>
      </c>
      <c r="H10" s="4"/>
      <c r="I10" s="4"/>
      <c r="J10" s="4"/>
    </row>
    <row r="11" spans="1:18">
      <c r="A11" t="s">
        <v>48</v>
      </c>
      <c r="B11" s="4"/>
      <c r="C11" s="4">
        <v>281</v>
      </c>
      <c r="D11" s="4"/>
      <c r="E11" s="4"/>
      <c r="F11" s="4"/>
      <c r="G11" s="4"/>
      <c r="H11" s="4"/>
      <c r="I11" s="4"/>
      <c r="J11" s="4"/>
    </row>
    <row r="12" spans="1:18">
      <c r="A12" t="s">
        <v>50</v>
      </c>
      <c r="B12" s="4"/>
      <c r="C12" s="4"/>
      <c r="D12" s="4"/>
      <c r="E12" s="4"/>
      <c r="F12" s="4"/>
      <c r="G12" s="4"/>
      <c r="H12" s="4"/>
      <c r="I12" s="4">
        <v>812</v>
      </c>
      <c r="J12" s="4"/>
    </row>
    <row r="13" spans="1:18">
      <c r="A13" s="5" t="s">
        <v>13</v>
      </c>
      <c r="B13" s="4"/>
      <c r="C13" s="4"/>
      <c r="D13" s="4"/>
      <c r="E13" s="4"/>
      <c r="F13" s="4">
        <v>812</v>
      </c>
      <c r="G13" s="4"/>
      <c r="H13" s="4"/>
      <c r="I13" s="4"/>
      <c r="J13" s="4"/>
      <c r="R13" t="s">
        <v>14</v>
      </c>
    </row>
    <row r="14" spans="1:18">
      <c r="A14" s="5" t="s">
        <v>15</v>
      </c>
      <c r="B14" s="4">
        <v>658</v>
      </c>
      <c r="C14" s="4"/>
      <c r="D14" s="4"/>
      <c r="E14" s="4"/>
      <c r="F14" s="4"/>
      <c r="G14" s="4"/>
      <c r="H14" s="4"/>
      <c r="I14" s="4"/>
      <c r="J14" s="4"/>
    </row>
    <row r="15" spans="1:18">
      <c r="A15" t="s">
        <v>69</v>
      </c>
      <c r="B15" s="4"/>
      <c r="C15" s="4"/>
      <c r="D15" s="4"/>
      <c r="E15" s="4">
        <v>400</v>
      </c>
      <c r="F15" s="4"/>
      <c r="G15" s="4"/>
      <c r="H15" s="4"/>
      <c r="I15" s="4"/>
      <c r="J15" s="4"/>
    </row>
    <row r="16" spans="1:18">
      <c r="A16" t="s">
        <v>18</v>
      </c>
      <c r="B16" s="4"/>
      <c r="C16" s="4"/>
      <c r="D16" s="4"/>
      <c r="E16" s="4"/>
      <c r="F16" s="4"/>
      <c r="G16" s="4"/>
      <c r="H16" s="4"/>
      <c r="I16" s="4"/>
      <c r="J16" s="4">
        <v>400</v>
      </c>
    </row>
    <row r="17" spans="1:11">
      <c r="A17" t="s">
        <v>21</v>
      </c>
      <c r="B17" s="4"/>
      <c r="C17" s="4"/>
      <c r="D17" s="4">
        <v>521</v>
      </c>
      <c r="E17" s="4"/>
      <c r="F17" s="4"/>
      <c r="G17" s="4"/>
      <c r="H17" s="4"/>
      <c r="I17" s="4"/>
      <c r="J17" s="4"/>
    </row>
    <row r="18" spans="1:11">
      <c r="A18" t="s">
        <v>23</v>
      </c>
      <c r="B18" s="4"/>
      <c r="C18" s="4"/>
      <c r="D18" s="4"/>
      <c r="E18" s="4"/>
      <c r="F18" s="4">
        <v>400</v>
      </c>
      <c r="G18" s="4"/>
      <c r="H18" s="4"/>
      <c r="I18" s="4"/>
      <c r="J18" s="4"/>
    </row>
    <row r="19" spans="1:11">
      <c r="A19" t="s">
        <v>63</v>
      </c>
      <c r="B19" s="4">
        <v>400</v>
      </c>
      <c r="C19" s="4"/>
      <c r="D19" s="4"/>
      <c r="E19" s="4"/>
      <c r="F19" s="4"/>
      <c r="G19" s="4"/>
      <c r="H19" s="4"/>
      <c r="I19" s="4"/>
      <c r="J19" s="4"/>
    </row>
    <row r="20" spans="1:11">
      <c r="A20" s="5" t="s">
        <v>25</v>
      </c>
      <c r="B20" s="4"/>
      <c r="C20" s="4"/>
      <c r="D20" s="4">
        <v>400</v>
      </c>
      <c r="E20" s="4"/>
      <c r="F20" s="4"/>
      <c r="G20" s="4"/>
      <c r="H20" s="4"/>
      <c r="I20" s="4"/>
      <c r="J20" s="4"/>
    </row>
    <row r="21" spans="1:11">
      <c r="A21" s="5" t="s">
        <v>27</v>
      </c>
      <c r="B21" s="4"/>
      <c r="C21" s="4"/>
      <c r="D21" s="4"/>
      <c r="E21" s="4"/>
      <c r="F21" s="4"/>
      <c r="G21" s="4">
        <v>812</v>
      </c>
      <c r="H21" s="4"/>
      <c r="I21" s="4"/>
      <c r="J21" s="4"/>
    </row>
    <row r="22" spans="1:11">
      <c r="A22" t="s">
        <v>64</v>
      </c>
      <c r="B22" s="4"/>
      <c r="C22" s="4"/>
      <c r="D22" s="13">
        <f>310+483</f>
        <v>793</v>
      </c>
      <c r="E22" s="4"/>
      <c r="F22" s="4"/>
      <c r="G22" s="4"/>
      <c r="H22" s="4"/>
      <c r="I22" s="4"/>
      <c r="J22" s="4"/>
    </row>
    <row r="23" spans="1:11">
      <c r="A23" s="5" t="s">
        <v>31</v>
      </c>
      <c r="B23" s="4"/>
      <c r="C23" s="4"/>
      <c r="D23" s="4"/>
      <c r="E23" s="4">
        <v>658</v>
      </c>
      <c r="F23" s="4"/>
      <c r="G23" s="4"/>
      <c r="H23" s="4"/>
      <c r="I23" s="4"/>
      <c r="J23" s="4"/>
    </row>
    <row r="24" spans="1:11">
      <c r="A24" t="s">
        <v>54</v>
      </c>
      <c r="B24" s="4"/>
      <c r="C24" s="4"/>
      <c r="D24" s="4"/>
      <c r="E24" s="4"/>
      <c r="F24" s="4"/>
      <c r="G24" s="4"/>
      <c r="H24" s="4"/>
      <c r="I24" s="4">
        <v>310</v>
      </c>
      <c r="J24" s="4"/>
    </row>
    <row r="25" spans="1:11">
      <c r="A25" s="5" t="s">
        <v>33</v>
      </c>
      <c r="B25" s="4"/>
      <c r="C25" s="4"/>
      <c r="D25" s="4"/>
      <c r="E25" s="4"/>
      <c r="F25" s="4">
        <v>310</v>
      </c>
      <c r="G25" s="4"/>
      <c r="H25" s="4"/>
      <c r="I25" s="4"/>
      <c r="J25" s="4"/>
    </row>
    <row r="26" spans="1:11">
      <c r="A26" t="s">
        <v>36</v>
      </c>
      <c r="B26" s="11">
        <v>1066</v>
      </c>
      <c r="C26" s="4"/>
      <c r="D26" s="4"/>
      <c r="E26" s="4"/>
      <c r="F26" s="4"/>
      <c r="G26" s="4"/>
      <c r="H26" s="4"/>
      <c r="I26" s="4"/>
      <c r="J26" s="4"/>
    </row>
    <row r="27" spans="1:11">
      <c r="A27" s="6" t="s">
        <v>37</v>
      </c>
      <c r="B27" s="7">
        <f>SUM(B6:B26)</f>
        <v>4025</v>
      </c>
      <c r="C27" s="7">
        <f t="shared" ref="C27:J27" si="0">SUM(C6:C26)</f>
        <v>281</v>
      </c>
      <c r="D27" s="7">
        <f t="shared" si="0"/>
        <v>1714</v>
      </c>
      <c r="E27" s="7">
        <f t="shared" si="0"/>
        <v>1058</v>
      </c>
      <c r="F27" s="7">
        <f t="shared" si="0"/>
        <v>1522</v>
      </c>
      <c r="G27" s="7">
        <f t="shared" si="0"/>
        <v>1333</v>
      </c>
      <c r="H27" s="7">
        <f t="shared" si="0"/>
        <v>0</v>
      </c>
      <c r="I27" s="7">
        <f t="shared" si="0"/>
        <v>1643</v>
      </c>
      <c r="J27" s="7">
        <f t="shared" si="0"/>
        <v>400</v>
      </c>
      <c r="K27" s="8">
        <f>SUM(B27:J27)</f>
        <v>11976</v>
      </c>
    </row>
    <row r="28" spans="1:11">
      <c r="A28" s="9"/>
      <c r="B28" s="7" t="s">
        <v>38</v>
      </c>
      <c r="C28" s="7" t="s">
        <v>2</v>
      </c>
      <c r="D28" s="7" t="s">
        <v>3</v>
      </c>
      <c r="E28" s="7" t="s">
        <v>4</v>
      </c>
      <c r="F28" s="7" t="s">
        <v>5</v>
      </c>
      <c r="G28" s="7" t="s">
        <v>6</v>
      </c>
      <c r="H28" s="7" t="s">
        <v>7</v>
      </c>
      <c r="I28" s="7" t="s">
        <v>52</v>
      </c>
      <c r="J28" s="7" t="s">
        <v>8</v>
      </c>
      <c r="K28" s="10" t="s">
        <v>37</v>
      </c>
    </row>
    <row r="31" spans="1:11">
      <c r="A31">
        <f>COUNTA(A6:A25)</f>
        <v>20</v>
      </c>
    </row>
    <row r="33" spans="1:1">
      <c r="A33" t="s">
        <v>74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36"/>
  <sheetViews>
    <sheetView workbookViewId="0">
      <selection activeCell="D21" sqref="D21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75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13">
        <f>310+533</f>
        <v>843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400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72</v>
      </c>
      <c r="B8" s="4">
        <v>658</v>
      </c>
      <c r="C8" s="4"/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4">
        <v>521</v>
      </c>
      <c r="J9" s="4"/>
    </row>
    <row r="10" spans="1:18">
      <c r="A10" t="s">
        <v>76</v>
      </c>
      <c r="B10" s="4"/>
      <c r="C10" s="4">
        <v>281</v>
      </c>
      <c r="D10" s="4"/>
      <c r="E10" s="4"/>
      <c r="F10" s="4"/>
      <c r="G10" s="4"/>
      <c r="H10" s="4"/>
      <c r="I10" s="4"/>
      <c r="J10" s="4"/>
    </row>
    <row r="11" spans="1:18">
      <c r="A11" t="s">
        <v>12</v>
      </c>
      <c r="B11" s="4"/>
      <c r="C11" s="4"/>
      <c r="D11" s="4"/>
      <c r="E11" s="4"/>
      <c r="F11" s="4"/>
      <c r="G11" s="4">
        <v>521</v>
      </c>
      <c r="H11" s="4"/>
      <c r="I11" s="4"/>
      <c r="J11" s="4"/>
    </row>
    <row r="12" spans="1:18">
      <c r="A12" t="s">
        <v>48</v>
      </c>
      <c r="B12" s="4"/>
      <c r="C12" s="4">
        <v>281</v>
      </c>
      <c r="D12" s="4"/>
      <c r="E12" s="4"/>
      <c r="F12" s="4"/>
      <c r="G12" s="4"/>
      <c r="H12" s="4"/>
      <c r="I12" s="4"/>
      <c r="J12" s="4"/>
    </row>
    <row r="13" spans="1:18">
      <c r="A13" t="s">
        <v>50</v>
      </c>
      <c r="B13" s="4"/>
      <c r="C13" s="4"/>
      <c r="D13" s="4"/>
      <c r="E13" s="4"/>
      <c r="F13" s="4"/>
      <c r="G13" s="4"/>
      <c r="H13" s="4"/>
      <c r="I13" s="4">
        <v>812</v>
      </c>
      <c r="J13" s="4"/>
    </row>
    <row r="14" spans="1:18">
      <c r="A14" s="5" t="s">
        <v>13</v>
      </c>
      <c r="B14" s="4"/>
      <c r="C14" s="4"/>
      <c r="D14" s="4"/>
      <c r="E14" s="4"/>
      <c r="F14" s="4">
        <v>812</v>
      </c>
      <c r="G14" s="4"/>
      <c r="H14" s="4"/>
      <c r="I14" s="4"/>
      <c r="J14" s="4"/>
      <c r="R14" t="s">
        <v>14</v>
      </c>
    </row>
    <row r="15" spans="1:18">
      <c r="A15" s="5" t="s">
        <v>15</v>
      </c>
      <c r="B15" s="4">
        <v>658</v>
      </c>
      <c r="C15" s="4"/>
      <c r="D15" s="4"/>
      <c r="E15" s="4"/>
      <c r="F15" s="4"/>
      <c r="G15" s="4"/>
      <c r="H15" s="4"/>
      <c r="I15" s="4"/>
      <c r="J15" s="4"/>
    </row>
    <row r="16" spans="1:18">
      <c r="A16" t="s">
        <v>69</v>
      </c>
      <c r="B16" s="4"/>
      <c r="C16" s="4"/>
      <c r="D16" s="4"/>
      <c r="E16" s="4">
        <v>400</v>
      </c>
      <c r="F16" s="4"/>
      <c r="G16" s="4"/>
      <c r="H16" s="4"/>
      <c r="I16" s="4"/>
      <c r="J16" s="4"/>
    </row>
    <row r="17" spans="1:11">
      <c r="A17" t="s">
        <v>18</v>
      </c>
      <c r="B17" s="4"/>
      <c r="C17" s="4"/>
      <c r="D17" s="4"/>
      <c r="E17" s="4"/>
      <c r="F17" s="4"/>
      <c r="G17" s="4"/>
      <c r="H17" s="4"/>
      <c r="I17" s="4"/>
      <c r="J17" s="4">
        <v>400</v>
      </c>
    </row>
    <row r="18" spans="1:11">
      <c r="A18" t="s">
        <v>21</v>
      </c>
      <c r="B18" s="4"/>
      <c r="C18" s="4"/>
      <c r="D18" s="4">
        <v>521</v>
      </c>
      <c r="E18" s="4"/>
      <c r="F18" s="4"/>
      <c r="G18" s="4"/>
      <c r="H18" s="4"/>
      <c r="I18" s="4"/>
      <c r="J18" s="4"/>
    </row>
    <row r="19" spans="1:11">
      <c r="A19" t="s">
        <v>23</v>
      </c>
      <c r="B19" s="4"/>
      <c r="C19" s="4"/>
      <c r="D19" s="4"/>
      <c r="E19" s="4"/>
      <c r="F19" s="4">
        <v>400</v>
      </c>
      <c r="G19" s="4"/>
      <c r="H19" s="4"/>
      <c r="I19" s="4"/>
      <c r="J19" s="4"/>
    </row>
    <row r="20" spans="1:11">
      <c r="A20" t="s">
        <v>63</v>
      </c>
      <c r="B20" s="4">
        <v>400</v>
      </c>
      <c r="C20" s="4"/>
      <c r="D20" s="4"/>
      <c r="E20" s="4"/>
      <c r="F20" s="4"/>
      <c r="G20" s="4"/>
      <c r="H20" s="4"/>
      <c r="I20" s="4"/>
      <c r="J20" s="4"/>
    </row>
    <row r="21" spans="1:11">
      <c r="A21" s="5" t="s">
        <v>25</v>
      </c>
      <c r="B21" s="4"/>
      <c r="C21" s="4"/>
      <c r="D21" s="4">
        <v>400</v>
      </c>
      <c r="E21" s="4"/>
      <c r="F21" s="4"/>
      <c r="G21" s="4"/>
      <c r="H21" s="4"/>
      <c r="I21" s="4"/>
      <c r="J21" s="4"/>
    </row>
    <row r="22" spans="1:11">
      <c r="A22" s="5" t="s">
        <v>27</v>
      </c>
      <c r="B22" s="4"/>
      <c r="C22" s="4"/>
      <c r="D22" s="4"/>
      <c r="E22" s="4"/>
      <c r="F22" s="4"/>
      <c r="G22" s="4">
        <v>812</v>
      </c>
      <c r="H22" s="4"/>
      <c r="I22" s="4"/>
      <c r="J22" s="4"/>
    </row>
    <row r="23" spans="1:11">
      <c r="A23" t="s">
        <v>64</v>
      </c>
      <c r="B23" s="4"/>
      <c r="C23" s="4"/>
      <c r="D23" s="13">
        <f>310+483</f>
        <v>793</v>
      </c>
      <c r="E23" s="4"/>
      <c r="F23" s="4"/>
      <c r="G23" s="4"/>
      <c r="H23" s="4"/>
      <c r="I23" s="4"/>
      <c r="J23" s="4"/>
    </row>
    <row r="24" spans="1:11">
      <c r="A24" s="5" t="s">
        <v>31</v>
      </c>
      <c r="B24" s="4"/>
      <c r="C24" s="4"/>
      <c r="D24" s="4"/>
      <c r="E24" s="4">
        <v>658</v>
      </c>
      <c r="F24" s="4"/>
      <c r="G24" s="4"/>
      <c r="H24" s="4"/>
      <c r="I24" s="4"/>
      <c r="J24" s="4"/>
    </row>
    <row r="25" spans="1:11">
      <c r="A25" t="s">
        <v>54</v>
      </c>
      <c r="B25" s="4"/>
      <c r="C25" s="4"/>
      <c r="D25" s="4"/>
      <c r="E25" s="4"/>
      <c r="F25" s="4"/>
      <c r="G25" s="4"/>
      <c r="H25" s="4"/>
      <c r="I25" s="4">
        <v>310</v>
      </c>
      <c r="J25" s="4"/>
    </row>
    <row r="26" spans="1:11">
      <c r="A26" s="5" t="s">
        <v>33</v>
      </c>
      <c r="B26" s="4"/>
      <c r="C26" s="4"/>
      <c r="D26" s="4"/>
      <c r="E26" s="4"/>
      <c r="F26" s="4">
        <v>310</v>
      </c>
      <c r="G26" s="4"/>
      <c r="H26" s="4"/>
      <c r="I26" s="4"/>
      <c r="J26" s="4"/>
    </row>
    <row r="27" spans="1:11">
      <c r="A27" t="s">
        <v>78</v>
      </c>
      <c r="B27" s="4">
        <v>310</v>
      </c>
      <c r="C27" s="4"/>
      <c r="D27" s="4"/>
      <c r="E27" s="4"/>
      <c r="F27" s="4"/>
      <c r="G27" s="4"/>
      <c r="H27" s="4"/>
      <c r="I27" s="4"/>
      <c r="J27" s="4"/>
    </row>
    <row r="28" spans="1:11">
      <c r="A28" t="s">
        <v>36</v>
      </c>
      <c r="B28" s="11">
        <v>1182</v>
      </c>
      <c r="C28" s="4"/>
      <c r="D28" s="4"/>
      <c r="E28" s="4"/>
      <c r="F28" s="4"/>
      <c r="G28" s="4"/>
      <c r="H28" s="4"/>
      <c r="I28" s="4"/>
      <c r="J28" s="4"/>
    </row>
    <row r="29" spans="1:11">
      <c r="A29" s="6" t="s">
        <v>37</v>
      </c>
      <c r="B29" s="7">
        <f>SUM(B6:B28)</f>
        <v>4451</v>
      </c>
      <c r="C29" s="7">
        <f t="shared" ref="C29:J29" si="0">SUM(C6:C28)</f>
        <v>562</v>
      </c>
      <c r="D29" s="7">
        <f t="shared" si="0"/>
        <v>1714</v>
      </c>
      <c r="E29" s="7">
        <f t="shared" si="0"/>
        <v>1058</v>
      </c>
      <c r="F29" s="7">
        <f t="shared" si="0"/>
        <v>1522</v>
      </c>
      <c r="G29" s="7">
        <f t="shared" si="0"/>
        <v>1333</v>
      </c>
      <c r="H29" s="7">
        <f t="shared" si="0"/>
        <v>0</v>
      </c>
      <c r="I29" s="7">
        <f t="shared" si="0"/>
        <v>1643</v>
      </c>
      <c r="J29" s="7">
        <f t="shared" si="0"/>
        <v>400</v>
      </c>
      <c r="K29" s="8">
        <f>SUM(B29:J29)</f>
        <v>12683</v>
      </c>
    </row>
    <row r="30" spans="1:11">
      <c r="A30" s="9"/>
      <c r="B30" s="7" t="s">
        <v>38</v>
      </c>
      <c r="C30" s="7" t="s">
        <v>2</v>
      </c>
      <c r="D30" s="7" t="s">
        <v>3</v>
      </c>
      <c r="E30" s="7" t="s">
        <v>4</v>
      </c>
      <c r="F30" s="7" t="s">
        <v>5</v>
      </c>
      <c r="G30" s="7" t="s">
        <v>6</v>
      </c>
      <c r="H30" s="7" t="s">
        <v>7</v>
      </c>
      <c r="I30" s="7" t="s">
        <v>52</v>
      </c>
      <c r="J30" s="7" t="s">
        <v>8</v>
      </c>
      <c r="K30" s="10" t="s">
        <v>37</v>
      </c>
    </row>
    <row r="33" spans="1:1">
      <c r="A33">
        <f>COUNTA(A6:A26)</f>
        <v>21</v>
      </c>
    </row>
    <row r="35" spans="1:1">
      <c r="A35" t="s">
        <v>74</v>
      </c>
    </row>
    <row r="36" spans="1:1">
      <c r="A36" t="s">
        <v>77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6"/>
  <sheetViews>
    <sheetView workbookViewId="0">
      <selection activeCell="D21" sqref="D21"/>
    </sheetView>
  </sheetViews>
  <sheetFormatPr baseColWidth="10" defaultColWidth="8.83203125" defaultRowHeight="13"/>
  <cols>
    <col min="1" max="1" width="19.5" customWidth="1"/>
    <col min="3" max="10" width="7.6640625" customWidth="1"/>
    <col min="11" max="11" width="11.5" bestFit="1" customWidth="1"/>
    <col min="12" max="12" width="11.3320312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79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14">
        <v>404.71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561.33000000000004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72</v>
      </c>
      <c r="B8" s="4">
        <v>767.63</v>
      </c>
      <c r="C8" s="4"/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4">
        <v>642.27</v>
      </c>
      <c r="J9" s="4"/>
    </row>
    <row r="10" spans="1:18">
      <c r="A10" t="s">
        <v>76</v>
      </c>
      <c r="B10" s="4"/>
      <c r="C10" s="4">
        <v>329.03</v>
      </c>
      <c r="D10" s="4"/>
      <c r="E10" s="4"/>
      <c r="F10" s="4"/>
      <c r="G10" s="4"/>
      <c r="H10" s="4"/>
      <c r="I10" s="4"/>
      <c r="J10" s="4"/>
    </row>
    <row r="11" spans="1:18">
      <c r="A11" t="s">
        <v>12</v>
      </c>
      <c r="B11" s="4"/>
      <c r="C11" s="4"/>
      <c r="D11" s="4"/>
      <c r="E11" s="4"/>
      <c r="F11" s="4"/>
      <c r="G11" s="4">
        <v>671.23</v>
      </c>
      <c r="H11" s="4"/>
      <c r="I11" s="4"/>
      <c r="J11" s="4"/>
    </row>
    <row r="12" spans="1:18">
      <c r="A12" t="s">
        <v>48</v>
      </c>
      <c r="B12" s="4"/>
      <c r="C12" s="4">
        <v>344.83</v>
      </c>
      <c r="D12" s="4"/>
      <c r="E12" s="4"/>
      <c r="F12" s="4"/>
      <c r="G12" s="4"/>
      <c r="H12" s="4"/>
      <c r="I12" s="4"/>
      <c r="J12" s="4"/>
    </row>
    <row r="13" spans="1:18">
      <c r="A13" t="s">
        <v>50</v>
      </c>
      <c r="B13" s="4"/>
      <c r="C13" s="4"/>
      <c r="D13" s="4"/>
      <c r="E13" s="4"/>
      <c r="F13" s="4"/>
      <c r="G13" s="4"/>
      <c r="H13" s="4"/>
      <c r="I13" s="4">
        <v>971.3</v>
      </c>
      <c r="J13" s="4"/>
    </row>
    <row r="14" spans="1:18">
      <c r="A14" s="5" t="s">
        <v>13</v>
      </c>
      <c r="B14" s="4"/>
      <c r="C14" s="4"/>
      <c r="D14" s="4"/>
      <c r="E14" s="4"/>
      <c r="F14" s="4">
        <v>971.3</v>
      </c>
      <c r="G14" s="4"/>
      <c r="H14" s="4"/>
      <c r="I14" s="4"/>
      <c r="J14" s="4"/>
      <c r="R14" t="s">
        <v>14</v>
      </c>
    </row>
    <row r="15" spans="1:18">
      <c r="A15" s="5" t="s">
        <v>15</v>
      </c>
      <c r="B15" s="4">
        <v>801.85</v>
      </c>
      <c r="C15" s="4"/>
      <c r="D15" s="4"/>
      <c r="E15" s="4"/>
      <c r="F15" s="4"/>
      <c r="G15" s="4"/>
      <c r="H15" s="4"/>
      <c r="I15" s="4"/>
      <c r="J15" s="4"/>
    </row>
    <row r="16" spans="1:18">
      <c r="A16" t="s">
        <v>69</v>
      </c>
      <c r="B16" s="4"/>
      <c r="C16" s="4"/>
      <c r="D16" s="4"/>
      <c r="E16" s="4">
        <v>435.97</v>
      </c>
      <c r="F16" s="4"/>
      <c r="G16" s="4"/>
      <c r="H16" s="4"/>
      <c r="I16" s="4"/>
      <c r="J16" s="4"/>
    </row>
    <row r="17" spans="1:12">
      <c r="A17" t="s">
        <v>18</v>
      </c>
      <c r="B17" s="4"/>
      <c r="C17" s="4"/>
      <c r="D17" s="4"/>
      <c r="E17" s="4"/>
      <c r="F17" s="4"/>
      <c r="G17" s="4"/>
      <c r="H17" s="4"/>
      <c r="I17" s="4"/>
      <c r="J17" s="4">
        <v>587.65</v>
      </c>
    </row>
    <row r="18" spans="1:12">
      <c r="A18" t="s">
        <v>21</v>
      </c>
      <c r="B18" s="4"/>
      <c r="C18" s="4"/>
      <c r="D18" s="4">
        <v>671.23</v>
      </c>
      <c r="E18" s="4"/>
      <c r="F18" s="4"/>
      <c r="G18" s="4"/>
      <c r="H18" s="4"/>
      <c r="I18" s="4"/>
      <c r="J18" s="4"/>
    </row>
    <row r="19" spans="1:12">
      <c r="A19" t="s">
        <v>23</v>
      </c>
      <c r="B19" s="4"/>
      <c r="C19" s="4"/>
      <c r="D19" s="4"/>
      <c r="E19" s="4"/>
      <c r="F19" s="4">
        <v>493.55</v>
      </c>
      <c r="G19" s="4"/>
      <c r="H19" s="4"/>
      <c r="I19" s="4"/>
      <c r="J19" s="4"/>
    </row>
    <row r="20" spans="1:12">
      <c r="A20" t="s">
        <v>63</v>
      </c>
      <c r="B20" s="4">
        <v>435.97</v>
      </c>
      <c r="C20" s="4"/>
      <c r="D20" s="4"/>
      <c r="E20" s="4"/>
      <c r="F20" s="4"/>
      <c r="G20" s="4"/>
      <c r="H20" s="4"/>
      <c r="I20" s="4"/>
      <c r="J20" s="4"/>
    </row>
    <row r="21" spans="1:12">
      <c r="A21" s="5" t="s">
        <v>25</v>
      </c>
      <c r="B21" s="4"/>
      <c r="C21" s="4"/>
      <c r="D21" s="4">
        <v>435.97</v>
      </c>
      <c r="E21" s="4"/>
      <c r="F21" s="4"/>
      <c r="G21" s="4"/>
      <c r="H21" s="4"/>
      <c r="I21" s="4"/>
      <c r="J21" s="4"/>
    </row>
    <row r="22" spans="1:12">
      <c r="A22" s="5" t="s">
        <v>27</v>
      </c>
      <c r="B22" s="4"/>
      <c r="C22" s="4"/>
      <c r="D22" s="4"/>
      <c r="E22" s="4"/>
      <c r="F22" s="4"/>
      <c r="G22" s="4">
        <v>987.09</v>
      </c>
      <c r="H22" s="4"/>
      <c r="I22" s="4"/>
      <c r="J22" s="4"/>
    </row>
    <row r="23" spans="1:12">
      <c r="A23" s="5" t="s">
        <v>31</v>
      </c>
      <c r="B23" s="4"/>
      <c r="C23" s="4"/>
      <c r="D23" s="4"/>
      <c r="E23" s="4">
        <v>856.47</v>
      </c>
      <c r="F23" s="4"/>
      <c r="G23" s="4"/>
      <c r="H23" s="4"/>
      <c r="I23" s="4"/>
      <c r="J23" s="4"/>
    </row>
    <row r="24" spans="1:12">
      <c r="A24" t="s">
        <v>80</v>
      </c>
      <c r="B24" s="4"/>
      <c r="C24" s="4">
        <v>587.65</v>
      </c>
      <c r="D24" s="4"/>
      <c r="E24" s="4"/>
      <c r="F24" s="4"/>
      <c r="G24" s="4"/>
      <c r="H24" s="4"/>
      <c r="I24" s="4"/>
      <c r="J24" s="4"/>
    </row>
    <row r="25" spans="1:12">
      <c r="A25" t="s">
        <v>54</v>
      </c>
      <c r="B25" s="4"/>
      <c r="C25" s="4"/>
      <c r="D25" s="4"/>
      <c r="E25" s="4"/>
      <c r="F25" s="4"/>
      <c r="G25" s="4"/>
      <c r="H25" s="4"/>
      <c r="I25" s="4">
        <v>381.35</v>
      </c>
      <c r="J25" s="4"/>
    </row>
    <row r="26" spans="1:12">
      <c r="A26" s="5" t="s">
        <v>33</v>
      </c>
      <c r="B26" s="4"/>
      <c r="C26" s="4"/>
      <c r="D26" s="4"/>
      <c r="E26" s="4"/>
      <c r="F26" s="4">
        <v>420.5</v>
      </c>
      <c r="G26" s="4"/>
      <c r="H26" s="4"/>
      <c r="I26" s="4"/>
      <c r="J26" s="4"/>
    </row>
    <row r="27" spans="1:12">
      <c r="A27" t="s">
        <v>78</v>
      </c>
      <c r="B27" s="4">
        <v>399.45</v>
      </c>
      <c r="C27" s="4"/>
      <c r="D27" s="4"/>
      <c r="E27" s="4"/>
      <c r="F27" s="4"/>
      <c r="G27" s="4"/>
      <c r="H27" s="4"/>
      <c r="I27" s="4"/>
      <c r="J27" s="4"/>
    </row>
    <row r="28" spans="1:12">
      <c r="A28" t="s">
        <v>36</v>
      </c>
      <c r="B28" s="11">
        <v>-2918</v>
      </c>
      <c r="C28" s="4"/>
      <c r="D28" s="4"/>
      <c r="E28" s="4"/>
      <c r="F28" s="4"/>
      <c r="G28" s="4"/>
      <c r="H28" s="4"/>
      <c r="I28" s="4"/>
      <c r="J28" s="4"/>
    </row>
    <row r="29" spans="1:12">
      <c r="A29" s="6" t="s">
        <v>37</v>
      </c>
      <c r="B29" s="7">
        <f>SUM(B6:B28)</f>
        <v>452.9399999999996</v>
      </c>
      <c r="C29" s="7">
        <f t="shared" ref="C29:J29" si="0">SUM(C6:C28)</f>
        <v>1261.5099999999998</v>
      </c>
      <c r="D29" s="7">
        <f t="shared" si="0"/>
        <v>1107.2</v>
      </c>
      <c r="E29" s="7">
        <f t="shared" si="0"/>
        <v>1292.44</v>
      </c>
      <c r="F29" s="7">
        <f t="shared" si="0"/>
        <v>1885.35</v>
      </c>
      <c r="G29" s="7">
        <f t="shared" si="0"/>
        <v>1658.3200000000002</v>
      </c>
      <c r="H29" s="7">
        <f t="shared" si="0"/>
        <v>0</v>
      </c>
      <c r="I29" s="7">
        <f t="shared" si="0"/>
        <v>1994.92</v>
      </c>
      <c r="J29" s="7">
        <f t="shared" si="0"/>
        <v>587.65</v>
      </c>
      <c r="K29" s="8">
        <f>SUM(B29:J29)</f>
        <v>10240.33</v>
      </c>
      <c r="L29" s="15"/>
    </row>
    <row r="30" spans="1:12">
      <c r="A30" s="9"/>
      <c r="B30" s="7" t="s">
        <v>38</v>
      </c>
      <c r="C30" s="7" t="s">
        <v>2</v>
      </c>
      <c r="D30" s="7" t="s">
        <v>3</v>
      </c>
      <c r="E30" s="7" t="s">
        <v>4</v>
      </c>
      <c r="F30" s="7" t="s">
        <v>5</v>
      </c>
      <c r="G30" s="7" t="s">
        <v>6</v>
      </c>
      <c r="H30" s="7" t="s">
        <v>7</v>
      </c>
      <c r="I30" s="7" t="s">
        <v>52</v>
      </c>
      <c r="J30" s="7" t="s">
        <v>8</v>
      </c>
      <c r="K30" s="10" t="s">
        <v>37</v>
      </c>
    </row>
    <row r="33" spans="1:1">
      <c r="A33">
        <f>COUNTA(A6:A26)</f>
        <v>21</v>
      </c>
    </row>
    <row r="35" spans="1:1">
      <c r="A35" t="s">
        <v>81</v>
      </c>
    </row>
    <row r="36" spans="1:1">
      <c r="A36" t="s">
        <v>82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46"/>
  <sheetViews>
    <sheetView topLeftCell="B5" workbookViewId="0">
      <selection activeCell="D21" sqref="D21"/>
    </sheetView>
  </sheetViews>
  <sheetFormatPr baseColWidth="10" defaultColWidth="8.83203125" defaultRowHeight="13"/>
  <cols>
    <col min="1" max="1" width="19.5" customWidth="1"/>
    <col min="2" max="2" width="12.1640625" customWidth="1"/>
    <col min="3" max="3" width="10.83203125" customWidth="1"/>
    <col min="4" max="4" width="11.1640625" customWidth="1"/>
    <col min="5" max="5" width="7.6640625" customWidth="1"/>
    <col min="6" max="6" width="12.5" customWidth="1"/>
    <col min="7" max="7" width="11.1640625" customWidth="1"/>
    <col min="8" max="8" width="10" customWidth="1"/>
    <col min="9" max="9" width="7.6640625" customWidth="1"/>
    <col min="10" max="10" width="9.332031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83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14">
        <v>404.71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561.33000000000004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72</v>
      </c>
      <c r="B8" s="4">
        <v>767.63</v>
      </c>
      <c r="C8" s="4"/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4">
        <v>642.27</v>
      </c>
      <c r="J9" s="4"/>
    </row>
    <row r="10" spans="1:18">
      <c r="A10" t="s">
        <v>76</v>
      </c>
      <c r="B10" s="4"/>
      <c r="C10" s="4">
        <v>329.03</v>
      </c>
      <c r="D10" s="4"/>
      <c r="E10" s="4"/>
      <c r="F10" s="4"/>
      <c r="G10" s="4"/>
      <c r="H10" s="4"/>
      <c r="I10" s="4"/>
      <c r="J10" s="4"/>
    </row>
    <row r="11" spans="1:18">
      <c r="A11" t="s">
        <v>12</v>
      </c>
      <c r="B11" s="4"/>
      <c r="C11" s="4"/>
      <c r="D11" s="4"/>
      <c r="E11" s="4"/>
      <c r="F11" s="4"/>
      <c r="G11" s="4">
        <v>671.23</v>
      </c>
      <c r="H11" s="4"/>
      <c r="I11" s="4"/>
      <c r="J11" s="4"/>
    </row>
    <row r="12" spans="1:18">
      <c r="A12" t="s">
        <v>48</v>
      </c>
      <c r="B12" s="4"/>
      <c r="C12" s="4">
        <v>344.83</v>
      </c>
      <c r="D12" s="4"/>
      <c r="E12" s="4"/>
      <c r="F12" s="4"/>
      <c r="G12" s="4"/>
      <c r="H12" s="4"/>
      <c r="I12" s="4"/>
      <c r="J12" s="4"/>
    </row>
    <row r="13" spans="1:18">
      <c r="A13" s="12" t="s">
        <v>84</v>
      </c>
      <c r="B13" s="4"/>
      <c r="C13" s="4"/>
      <c r="D13" s="4"/>
      <c r="E13" s="14">
        <f>446.5+208.94+223.93+223.93</f>
        <v>1103.3000000000002</v>
      </c>
      <c r="F13" s="4"/>
      <c r="G13" s="4"/>
      <c r="H13" s="4"/>
      <c r="I13" s="4"/>
      <c r="J13" s="4"/>
    </row>
    <row r="14" spans="1:18">
      <c r="A14" t="s">
        <v>50</v>
      </c>
      <c r="B14" s="4"/>
      <c r="C14" s="4"/>
      <c r="D14" s="4"/>
      <c r="E14" s="4"/>
      <c r="F14" s="4"/>
      <c r="G14" s="4"/>
      <c r="H14" s="4"/>
      <c r="I14" s="4">
        <v>971.3</v>
      </c>
      <c r="J14" s="4"/>
    </row>
    <row r="15" spans="1:18">
      <c r="A15" s="5" t="s">
        <v>13</v>
      </c>
      <c r="B15" s="4"/>
      <c r="C15" s="4"/>
      <c r="D15" s="4"/>
      <c r="E15" s="4"/>
      <c r="F15" s="4">
        <v>971.3</v>
      </c>
      <c r="G15" s="4"/>
      <c r="H15" s="4"/>
      <c r="I15" s="4"/>
      <c r="J15" s="4"/>
      <c r="R15" t="s">
        <v>14</v>
      </c>
    </row>
    <row r="16" spans="1:18">
      <c r="A16" s="5" t="s">
        <v>15</v>
      </c>
      <c r="B16" s="4">
        <v>801.85</v>
      </c>
      <c r="C16" s="4"/>
      <c r="D16" s="4"/>
      <c r="E16" s="4"/>
      <c r="F16" s="4"/>
      <c r="G16" s="4"/>
      <c r="H16" s="4"/>
      <c r="I16" s="4"/>
      <c r="J16" s="4"/>
    </row>
    <row r="17" spans="1:10">
      <c r="A17" s="12" t="s">
        <v>85</v>
      </c>
      <c r="B17" s="4"/>
      <c r="C17" s="4"/>
      <c r="D17" s="4"/>
      <c r="E17" s="4"/>
      <c r="F17" s="4"/>
      <c r="G17" s="4"/>
      <c r="H17" s="4"/>
      <c r="I17" s="4"/>
      <c r="J17" s="4">
        <v>613.65</v>
      </c>
    </row>
    <row r="18" spans="1:10">
      <c r="A18" t="s">
        <v>69</v>
      </c>
      <c r="B18" s="4"/>
      <c r="C18" s="4"/>
      <c r="D18" s="4"/>
      <c r="E18" s="4">
        <v>435.97</v>
      </c>
      <c r="F18" s="4"/>
      <c r="G18" s="4"/>
      <c r="H18" s="4"/>
      <c r="I18" s="4"/>
      <c r="J18" s="4"/>
    </row>
    <row r="19" spans="1:10">
      <c r="A19" t="s">
        <v>18</v>
      </c>
      <c r="B19" s="4"/>
      <c r="C19" s="4"/>
      <c r="D19" s="4"/>
      <c r="E19" s="4"/>
      <c r="F19" s="4"/>
      <c r="G19" s="4"/>
      <c r="H19" s="4"/>
      <c r="I19" s="4"/>
      <c r="J19" s="4">
        <v>587.65</v>
      </c>
    </row>
    <row r="20" spans="1:10">
      <c r="A20" s="12" t="s">
        <v>86</v>
      </c>
      <c r="B20" s="4"/>
      <c r="C20" s="4"/>
      <c r="D20" s="4"/>
      <c r="E20" s="4">
        <v>856.47</v>
      </c>
      <c r="F20" s="4"/>
      <c r="G20" s="4"/>
      <c r="H20" s="4"/>
      <c r="I20" s="4"/>
      <c r="J20" s="4"/>
    </row>
    <row r="21" spans="1:10">
      <c r="A21" t="s">
        <v>21</v>
      </c>
      <c r="B21" s="4"/>
      <c r="C21" s="4"/>
      <c r="D21" s="4">
        <v>671.23</v>
      </c>
      <c r="E21" s="4"/>
      <c r="F21" s="4"/>
      <c r="G21" s="4"/>
      <c r="H21" s="4"/>
      <c r="I21" s="4"/>
      <c r="J21" s="4"/>
    </row>
    <row r="22" spans="1:10">
      <c r="A22" s="12" t="s">
        <v>87</v>
      </c>
      <c r="B22" s="4"/>
      <c r="C22" s="4"/>
      <c r="D22" s="4"/>
      <c r="E22" s="4"/>
      <c r="F22" s="4"/>
      <c r="G22" s="4"/>
      <c r="H22" s="4"/>
      <c r="I22" s="4"/>
      <c r="J22" s="4">
        <v>987.09</v>
      </c>
    </row>
    <row r="23" spans="1:10">
      <c r="A23" t="s">
        <v>23</v>
      </c>
      <c r="B23" s="4"/>
      <c r="C23" s="4"/>
      <c r="D23" s="4"/>
      <c r="E23" s="4"/>
      <c r="F23" s="4">
        <v>493.55</v>
      </c>
      <c r="G23" s="4"/>
      <c r="H23" s="4"/>
      <c r="I23" s="4"/>
      <c r="J23" s="4"/>
    </row>
    <row r="24" spans="1:10">
      <c r="A24" t="s">
        <v>63</v>
      </c>
      <c r="B24" s="4">
        <v>435.97</v>
      </c>
      <c r="C24" s="4"/>
      <c r="D24" s="4"/>
      <c r="E24" s="4"/>
      <c r="F24" s="4"/>
      <c r="G24" s="4"/>
      <c r="H24" s="4"/>
      <c r="I24" s="4"/>
      <c r="J24" s="4"/>
    </row>
    <row r="25" spans="1:10">
      <c r="A25" s="12" t="s">
        <v>88</v>
      </c>
      <c r="B25" s="4"/>
      <c r="C25" s="4"/>
      <c r="D25" s="4"/>
      <c r="E25" s="4"/>
      <c r="F25" s="4"/>
      <c r="G25" s="4">
        <v>733.74</v>
      </c>
      <c r="H25" s="4"/>
      <c r="I25" s="4"/>
      <c r="J25" s="4"/>
    </row>
    <row r="26" spans="1:10">
      <c r="A26" s="5" t="s">
        <v>25</v>
      </c>
      <c r="B26" s="4"/>
      <c r="C26" s="4"/>
      <c r="D26" s="4">
        <v>435.97</v>
      </c>
      <c r="E26" s="4"/>
      <c r="F26" s="4"/>
      <c r="G26" s="4"/>
      <c r="H26" s="4"/>
      <c r="I26" s="4"/>
      <c r="J26" s="4"/>
    </row>
    <row r="27" spans="1:10">
      <c r="A27" s="12" t="s">
        <v>89</v>
      </c>
      <c r="B27" s="4"/>
      <c r="C27" s="4"/>
      <c r="D27" s="4"/>
      <c r="E27" s="4">
        <v>404.71</v>
      </c>
      <c r="F27" s="4"/>
      <c r="G27" s="4"/>
      <c r="H27" s="4"/>
      <c r="I27" s="4"/>
      <c r="J27" s="4"/>
    </row>
    <row r="28" spans="1:10">
      <c r="A28" s="5" t="s">
        <v>27</v>
      </c>
      <c r="B28" s="4"/>
      <c r="C28" s="4"/>
      <c r="D28" s="4"/>
      <c r="E28" s="4"/>
      <c r="F28" s="4"/>
      <c r="G28" s="4">
        <v>987.09</v>
      </c>
      <c r="H28" s="4"/>
      <c r="I28" s="4"/>
      <c r="J28" s="4"/>
    </row>
    <row r="29" spans="1:10">
      <c r="A29" s="12" t="s">
        <v>90</v>
      </c>
      <c r="B29" s="4"/>
      <c r="C29" s="4"/>
      <c r="D29" s="4"/>
      <c r="E29" s="4"/>
      <c r="F29" s="4"/>
      <c r="G29" s="4"/>
      <c r="H29" s="4">
        <v>587.65</v>
      </c>
      <c r="I29" s="4"/>
      <c r="J29" s="4"/>
    </row>
    <row r="30" spans="1:10">
      <c r="A30" s="12" t="s">
        <v>41</v>
      </c>
      <c r="B30" s="4"/>
      <c r="C30" s="4"/>
      <c r="D30" s="4"/>
      <c r="E30" s="4"/>
      <c r="F30" s="4"/>
      <c r="G30" s="4"/>
      <c r="H30" s="4"/>
      <c r="I30" s="4">
        <v>971.3</v>
      </c>
      <c r="J30" s="4"/>
    </row>
    <row r="31" spans="1:10">
      <c r="A31" s="5" t="s">
        <v>31</v>
      </c>
      <c r="B31" s="4"/>
      <c r="C31" s="4"/>
      <c r="D31" s="4"/>
      <c r="E31" s="4">
        <v>856.47</v>
      </c>
      <c r="F31" s="4"/>
      <c r="G31" s="4"/>
      <c r="H31" s="4"/>
      <c r="I31" s="4"/>
      <c r="J31" s="4"/>
    </row>
    <row r="32" spans="1:10">
      <c r="A32" t="s">
        <v>80</v>
      </c>
      <c r="B32" s="4"/>
      <c r="C32" s="4">
        <v>587.65</v>
      </c>
      <c r="D32" s="4"/>
      <c r="E32" s="4"/>
      <c r="F32" s="4"/>
      <c r="G32" s="4"/>
      <c r="H32" s="4"/>
      <c r="I32" s="4"/>
      <c r="J32" s="4"/>
    </row>
    <row r="33" spans="1:13">
      <c r="A33" t="s">
        <v>54</v>
      </c>
      <c r="B33" s="4"/>
      <c r="C33" s="4"/>
      <c r="D33" s="4"/>
      <c r="E33" s="4"/>
      <c r="F33" s="4"/>
      <c r="G33" s="4"/>
      <c r="H33" s="4"/>
      <c r="I33" s="4">
        <v>381.35</v>
      </c>
      <c r="J33" s="4"/>
    </row>
    <row r="34" spans="1:13">
      <c r="A34" s="5" t="s">
        <v>33</v>
      </c>
      <c r="B34" s="4"/>
      <c r="C34" s="4"/>
      <c r="D34" s="4"/>
      <c r="E34" s="4"/>
      <c r="F34" s="4">
        <v>420.5</v>
      </c>
      <c r="G34" s="4"/>
      <c r="H34" s="4"/>
      <c r="I34" s="4"/>
      <c r="J34" s="4"/>
    </row>
    <row r="35" spans="1:13">
      <c r="A35" t="s">
        <v>78</v>
      </c>
      <c r="B35" s="4">
        <v>399.45</v>
      </c>
      <c r="C35" s="4"/>
      <c r="D35" s="4"/>
      <c r="E35" s="4"/>
      <c r="F35" s="4"/>
      <c r="G35" s="4"/>
      <c r="H35" s="4"/>
      <c r="I35" s="4"/>
      <c r="J35" s="4"/>
    </row>
    <row r="36" spans="1:13">
      <c r="A36" s="12" t="s">
        <v>34</v>
      </c>
      <c r="B36" s="4"/>
      <c r="C36" s="4"/>
      <c r="D36" s="4"/>
      <c r="E36" s="4"/>
      <c r="F36" s="4"/>
      <c r="G36" s="4"/>
      <c r="H36" s="4">
        <v>514.28</v>
      </c>
      <c r="I36" s="4"/>
      <c r="J36" s="4"/>
    </row>
    <row r="37" spans="1:13">
      <c r="A37" s="12" t="s">
        <v>91</v>
      </c>
      <c r="B37" s="4"/>
      <c r="C37" s="4">
        <v>368.19</v>
      </c>
      <c r="D37" s="4"/>
      <c r="E37" s="4"/>
      <c r="F37" s="4"/>
      <c r="G37" s="4"/>
      <c r="H37" s="4"/>
      <c r="I37" s="4"/>
      <c r="J37" s="4"/>
    </row>
    <row r="38" spans="1:13">
      <c r="A38" s="12" t="s">
        <v>92</v>
      </c>
      <c r="B38" s="4"/>
      <c r="C38" s="4"/>
      <c r="D38" s="4"/>
      <c r="E38" s="4"/>
      <c r="F38" s="4"/>
      <c r="G38" s="4"/>
      <c r="H38" s="4">
        <v>702.48</v>
      </c>
      <c r="I38" s="4"/>
      <c r="J38" s="4"/>
    </row>
    <row r="39" spans="1:13">
      <c r="A39" t="s">
        <v>36</v>
      </c>
      <c r="B39" s="11">
        <f>SUM(E13,J17,E20,J22,G25,E27,H29,I30,H36,C37,H38)</f>
        <v>7842.8599999999988</v>
      </c>
      <c r="C39" s="4"/>
      <c r="D39" s="4"/>
      <c r="E39" s="4"/>
      <c r="F39" s="4"/>
      <c r="G39" s="4"/>
      <c r="H39" s="4"/>
      <c r="I39" s="4"/>
      <c r="J39" s="4"/>
    </row>
    <row r="40" spans="1:13">
      <c r="A40" s="6" t="s">
        <v>37</v>
      </c>
      <c r="B40" s="7">
        <f>SUM(B6:B39)</f>
        <v>11213.8</v>
      </c>
      <c r="C40" s="7">
        <f t="shared" ref="C40:J40" si="0">SUM(C6:C39)</f>
        <v>1629.6999999999998</v>
      </c>
      <c r="D40" s="7">
        <f t="shared" si="0"/>
        <v>1107.2</v>
      </c>
      <c r="E40" s="7">
        <f t="shared" si="0"/>
        <v>3656.92</v>
      </c>
      <c r="F40" s="7">
        <f t="shared" si="0"/>
        <v>1885.35</v>
      </c>
      <c r="G40" s="7">
        <f t="shared" si="0"/>
        <v>2392.06</v>
      </c>
      <c r="H40" s="7">
        <f t="shared" si="0"/>
        <v>1804.4099999999999</v>
      </c>
      <c r="I40" s="7">
        <f t="shared" si="0"/>
        <v>2966.22</v>
      </c>
      <c r="J40" s="7">
        <f t="shared" si="0"/>
        <v>2188.39</v>
      </c>
      <c r="K40" s="8">
        <f>SUM(B40:J40)</f>
        <v>28844.050000000003</v>
      </c>
      <c r="M40" s="15"/>
    </row>
    <row r="41" spans="1:13">
      <c r="A41" s="9"/>
      <c r="B41" s="7" t="s">
        <v>38</v>
      </c>
      <c r="C41" s="7" t="s">
        <v>2</v>
      </c>
      <c r="D41" s="7" t="s">
        <v>3</v>
      </c>
      <c r="E41" s="7" t="s">
        <v>4</v>
      </c>
      <c r="F41" s="7" t="s">
        <v>5</v>
      </c>
      <c r="G41" s="7" t="s">
        <v>6</v>
      </c>
      <c r="H41" s="7" t="s">
        <v>7</v>
      </c>
      <c r="I41" s="7" t="s">
        <v>52</v>
      </c>
      <c r="J41" s="7" t="s">
        <v>8</v>
      </c>
      <c r="K41" s="10" t="s">
        <v>37</v>
      </c>
    </row>
    <row r="44" spans="1:13">
      <c r="A44">
        <f>COUNTA(A6:A34)</f>
        <v>29</v>
      </c>
    </row>
    <row r="46" spans="1:13">
      <c r="A46" t="s">
        <v>93</v>
      </c>
    </row>
  </sheetData>
  <pageMargins left="0.5" right="0.25" top="0.55000000000000004" bottom="0.8" header="0.35" footer="0.5"/>
  <pageSetup scale="9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58"/>
  <sheetViews>
    <sheetView topLeftCell="B13" workbookViewId="0">
      <selection activeCell="D21" sqref="D21"/>
    </sheetView>
  </sheetViews>
  <sheetFormatPr baseColWidth="10" defaultColWidth="8.83203125" defaultRowHeight="13"/>
  <cols>
    <col min="1" max="1" width="19.5" customWidth="1"/>
    <col min="2" max="2" width="14.5" bestFit="1" customWidth="1"/>
    <col min="3" max="3" width="10.83203125" bestFit="1" customWidth="1"/>
    <col min="4" max="4" width="10.33203125" bestFit="1" customWidth="1"/>
    <col min="5" max="5" width="7.6640625" customWidth="1"/>
    <col min="6" max="6" width="12.33203125" bestFit="1" customWidth="1"/>
    <col min="7" max="7" width="10.33203125" bestFit="1" customWidth="1"/>
    <col min="8" max="8" width="13.6640625" bestFit="1" customWidth="1"/>
    <col min="9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94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14">
        <v>441.6</v>
      </c>
      <c r="C6" s="4"/>
      <c r="D6" s="4"/>
      <c r="E6" s="4"/>
      <c r="F6" s="4"/>
      <c r="G6" s="4"/>
      <c r="H6" s="4"/>
      <c r="I6" s="4"/>
      <c r="J6" s="4"/>
    </row>
    <row r="7" spans="1:18">
      <c r="A7" t="s">
        <v>9</v>
      </c>
      <c r="B7" s="4">
        <v>612.49</v>
      </c>
      <c r="C7" s="4"/>
      <c r="D7" s="4"/>
      <c r="E7" s="4"/>
      <c r="F7" s="4"/>
      <c r="G7" s="4"/>
      <c r="H7" s="4"/>
      <c r="I7" s="4"/>
      <c r="J7" s="4"/>
    </row>
    <row r="8" spans="1:18">
      <c r="A8" t="s">
        <v>72</v>
      </c>
      <c r="B8" s="4">
        <v>837.59</v>
      </c>
      <c r="C8" s="4"/>
      <c r="D8" s="4"/>
      <c r="E8" s="4"/>
      <c r="F8" s="4"/>
      <c r="G8" s="4"/>
      <c r="H8" s="4"/>
      <c r="I8" s="4"/>
      <c r="J8" s="4"/>
    </row>
    <row r="9" spans="1:18">
      <c r="A9" t="s">
        <v>62</v>
      </c>
      <c r="B9" s="4"/>
      <c r="C9" s="4"/>
      <c r="D9" s="4"/>
      <c r="E9" s="4"/>
      <c r="F9" s="4"/>
      <c r="G9" s="4"/>
      <c r="H9" s="4"/>
      <c r="I9" s="4">
        <v>700.81</v>
      </c>
      <c r="J9" s="4"/>
    </row>
    <row r="10" spans="1:18">
      <c r="A10" t="s">
        <v>76</v>
      </c>
      <c r="B10" s="4"/>
      <c r="C10" s="4">
        <v>359.02</v>
      </c>
      <c r="D10" s="4"/>
      <c r="E10" s="4"/>
      <c r="F10" s="4"/>
      <c r="G10" s="4"/>
      <c r="H10" s="4"/>
      <c r="I10" s="4"/>
      <c r="J10" s="4"/>
    </row>
    <row r="11" spans="1:18">
      <c r="A11" t="s">
        <v>12</v>
      </c>
      <c r="B11" s="4"/>
      <c r="C11" s="4"/>
      <c r="D11" s="4"/>
      <c r="E11" s="4"/>
      <c r="F11" s="4"/>
      <c r="G11" s="4">
        <v>732.4</v>
      </c>
      <c r="H11" s="4"/>
      <c r="I11" s="4"/>
      <c r="J11" s="4"/>
    </row>
    <row r="12" spans="1:18">
      <c r="A12" t="s">
        <v>48</v>
      </c>
      <c r="B12" s="4"/>
      <c r="C12" s="4">
        <v>376.25</v>
      </c>
      <c r="D12" s="4"/>
      <c r="E12" s="4"/>
      <c r="F12" s="4"/>
      <c r="G12" s="4"/>
      <c r="H12" s="4"/>
      <c r="I12" s="4"/>
      <c r="J12" s="4"/>
    </row>
    <row r="13" spans="1:18">
      <c r="A13" s="12" t="s">
        <v>84</v>
      </c>
      <c r="B13" s="4"/>
      <c r="C13" s="4"/>
      <c r="D13" s="4"/>
      <c r="E13" s="13">
        <f>446.5+208.94+223.93+223.93</f>
        <v>1103.3000000000002</v>
      </c>
      <c r="F13" s="4"/>
      <c r="G13" s="4"/>
      <c r="H13" s="4"/>
      <c r="I13" s="4"/>
      <c r="J13" s="4"/>
    </row>
    <row r="14" spans="1:18">
      <c r="A14" t="s">
        <v>50</v>
      </c>
      <c r="B14" s="4"/>
      <c r="C14" s="4"/>
      <c r="D14" s="4"/>
      <c r="E14" s="4"/>
      <c r="F14" s="4"/>
      <c r="G14" s="4"/>
      <c r="H14" s="4"/>
      <c r="I14" s="4">
        <v>1059.83</v>
      </c>
      <c r="J14" s="4"/>
    </row>
    <row r="15" spans="1:18">
      <c r="A15" s="5" t="s">
        <v>13</v>
      </c>
      <c r="B15" s="4"/>
      <c r="C15" s="4"/>
      <c r="D15" s="4"/>
      <c r="E15" s="4"/>
      <c r="F15" s="4">
        <v>1059.83</v>
      </c>
      <c r="G15" s="4"/>
      <c r="H15" s="4"/>
      <c r="I15" s="4"/>
      <c r="J15" s="4"/>
      <c r="R15" t="s">
        <v>14</v>
      </c>
    </row>
    <row r="16" spans="1:18">
      <c r="A16" s="5" t="s">
        <v>15</v>
      </c>
      <c r="B16" s="4">
        <v>874.93</v>
      </c>
      <c r="C16" s="4"/>
      <c r="D16" s="4"/>
      <c r="E16" s="4"/>
      <c r="F16" s="4"/>
      <c r="G16" s="4"/>
      <c r="H16" s="4"/>
      <c r="I16" s="4"/>
      <c r="J16" s="4"/>
    </row>
    <row r="17" spans="1:10">
      <c r="A17" s="12" t="s">
        <v>85</v>
      </c>
      <c r="B17" s="4"/>
      <c r="C17" s="4"/>
      <c r="D17" s="4"/>
      <c r="E17" s="4"/>
      <c r="F17" s="4"/>
      <c r="G17" s="4"/>
      <c r="H17" s="4"/>
      <c r="I17" s="4"/>
      <c r="J17" s="4">
        <v>669.57</v>
      </c>
    </row>
    <row r="18" spans="1:10">
      <c r="A18" t="s">
        <v>69</v>
      </c>
      <c r="B18" s="4"/>
      <c r="C18" s="4"/>
      <c r="D18" s="4"/>
      <c r="E18" s="4">
        <v>475.7</v>
      </c>
      <c r="F18" s="4"/>
      <c r="G18" s="4"/>
      <c r="H18" s="4"/>
      <c r="I18" s="4"/>
      <c r="J18" s="4"/>
    </row>
    <row r="19" spans="1:10">
      <c r="A19" t="s">
        <v>18</v>
      </c>
      <c r="B19" s="4"/>
      <c r="C19" s="4"/>
      <c r="D19" s="4"/>
      <c r="E19" s="4"/>
      <c r="F19" s="4"/>
      <c r="G19" s="4"/>
      <c r="H19" s="4"/>
      <c r="I19" s="4"/>
      <c r="J19" s="4">
        <v>641.21</v>
      </c>
    </row>
    <row r="20" spans="1:10">
      <c r="A20" s="12" t="s">
        <v>86</v>
      </c>
      <c r="B20" s="4"/>
      <c r="C20" s="4"/>
      <c r="D20" s="4"/>
      <c r="E20" s="4">
        <v>934.53</v>
      </c>
      <c r="F20" s="4"/>
      <c r="G20" s="4"/>
      <c r="H20" s="4"/>
      <c r="I20" s="4"/>
      <c r="J20" s="4"/>
    </row>
    <row r="21" spans="1:10">
      <c r="A21" t="s">
        <v>21</v>
      </c>
      <c r="B21" s="4"/>
      <c r="C21" s="4"/>
      <c r="D21" s="4">
        <v>732.4</v>
      </c>
      <c r="E21" s="4"/>
      <c r="F21" s="4"/>
      <c r="G21" s="4"/>
      <c r="H21" s="4"/>
      <c r="I21" s="4"/>
      <c r="J21" s="4"/>
    </row>
    <row r="22" spans="1:10">
      <c r="A22" s="12" t="s">
        <v>87</v>
      </c>
      <c r="B22" s="4"/>
      <c r="C22" s="4"/>
      <c r="D22" s="4"/>
      <c r="E22" s="4"/>
      <c r="F22" s="4"/>
      <c r="G22" s="4"/>
      <c r="H22" s="4"/>
      <c r="I22" s="4"/>
      <c r="J22" s="4">
        <v>1077.06</v>
      </c>
    </row>
    <row r="23" spans="1:10">
      <c r="A23" t="s">
        <v>23</v>
      </c>
      <c r="B23" s="4"/>
      <c r="C23" s="4"/>
      <c r="D23" s="4"/>
      <c r="E23" s="4"/>
      <c r="F23" s="4">
        <v>538.53</v>
      </c>
      <c r="G23" s="4"/>
      <c r="H23" s="4"/>
      <c r="I23" s="4"/>
      <c r="J23" s="4"/>
    </row>
    <row r="24" spans="1:10">
      <c r="A24" t="s">
        <v>63</v>
      </c>
      <c r="B24" s="4">
        <v>475.7</v>
      </c>
      <c r="C24" s="4"/>
      <c r="D24" s="4"/>
      <c r="E24" s="4"/>
      <c r="F24" s="4"/>
      <c r="G24" s="4"/>
      <c r="H24" s="4"/>
      <c r="I24" s="4"/>
      <c r="J24" s="4"/>
    </row>
    <row r="25" spans="1:10">
      <c r="A25" s="12" t="s">
        <v>88</v>
      </c>
      <c r="B25" s="4"/>
      <c r="C25" s="4"/>
      <c r="D25" s="4"/>
      <c r="E25" s="4"/>
      <c r="F25" s="4"/>
      <c r="G25" s="4">
        <v>800.62</v>
      </c>
      <c r="H25" s="4"/>
      <c r="I25" s="4"/>
      <c r="J25" s="4"/>
    </row>
    <row r="26" spans="1:10">
      <c r="A26" s="5" t="s">
        <v>25</v>
      </c>
      <c r="B26" s="4"/>
      <c r="C26" s="4"/>
      <c r="D26" s="4">
        <v>475.7</v>
      </c>
      <c r="E26" s="4"/>
      <c r="F26" s="4"/>
      <c r="G26" s="4"/>
      <c r="H26" s="4"/>
      <c r="I26" s="4"/>
      <c r="J26" s="4"/>
    </row>
    <row r="27" spans="1:10">
      <c r="A27" s="12" t="s">
        <v>89</v>
      </c>
      <c r="B27" s="4"/>
      <c r="C27" s="4"/>
      <c r="D27" s="4"/>
      <c r="E27" s="4">
        <v>441.6</v>
      </c>
      <c r="F27" s="4"/>
      <c r="G27" s="4"/>
      <c r="H27" s="4"/>
      <c r="I27" s="4"/>
      <c r="J27" s="4"/>
    </row>
    <row r="28" spans="1:10">
      <c r="A28" s="5" t="s">
        <v>27</v>
      </c>
      <c r="B28" s="4"/>
      <c r="C28" s="4"/>
      <c r="D28" s="4"/>
      <c r="E28" s="4"/>
      <c r="F28" s="4"/>
      <c r="G28" s="4">
        <v>1077.06</v>
      </c>
      <c r="H28" s="4"/>
      <c r="I28" s="4"/>
      <c r="J28" s="4"/>
    </row>
    <row r="29" spans="1:10">
      <c r="A29" s="12" t="s">
        <v>90</v>
      </c>
      <c r="B29" s="4"/>
      <c r="C29" s="4"/>
      <c r="D29" s="4"/>
      <c r="E29" s="4"/>
      <c r="F29" s="4"/>
      <c r="G29" s="4"/>
      <c r="H29" s="4">
        <v>641.21</v>
      </c>
      <c r="I29" s="4"/>
      <c r="J29" s="4"/>
    </row>
    <row r="30" spans="1:10">
      <c r="A30" s="12" t="s">
        <v>41</v>
      </c>
      <c r="B30" s="4"/>
      <c r="C30" s="4"/>
      <c r="D30" s="4"/>
      <c r="E30" s="4"/>
      <c r="F30" s="4"/>
      <c r="G30" s="4"/>
      <c r="H30" s="4"/>
      <c r="I30" s="4">
        <v>1059.83</v>
      </c>
      <c r="J30" s="4"/>
    </row>
    <row r="31" spans="1:10">
      <c r="A31" s="5" t="s">
        <v>31</v>
      </c>
      <c r="B31" s="4"/>
      <c r="C31" s="4"/>
      <c r="D31" s="4"/>
      <c r="E31" s="4">
        <v>934.53</v>
      </c>
      <c r="F31" s="4"/>
      <c r="G31" s="4"/>
      <c r="H31" s="4"/>
      <c r="I31" s="4"/>
      <c r="J31" s="4"/>
    </row>
    <row r="32" spans="1:10">
      <c r="A32" t="s">
        <v>80</v>
      </c>
      <c r="B32" s="4"/>
      <c r="C32" s="4">
        <v>641.21</v>
      </c>
      <c r="D32" s="4"/>
      <c r="E32" s="4"/>
      <c r="F32" s="4"/>
      <c r="G32" s="4"/>
      <c r="H32" s="4"/>
      <c r="I32" s="4"/>
      <c r="J32" s="4"/>
    </row>
    <row r="33" spans="1:13">
      <c r="A33" t="s">
        <v>54</v>
      </c>
      <c r="B33" s="4"/>
      <c r="C33" s="4"/>
      <c r="D33" s="4"/>
      <c r="E33" s="4"/>
      <c r="F33" s="4"/>
      <c r="G33" s="4"/>
      <c r="H33" s="4"/>
      <c r="I33" s="4">
        <v>416.1</v>
      </c>
      <c r="J33" s="4"/>
    </row>
    <row r="34" spans="1:13">
      <c r="A34" s="5" t="s">
        <v>33</v>
      </c>
      <c r="B34" s="4"/>
      <c r="C34" s="4"/>
      <c r="D34" s="4"/>
      <c r="E34" s="4"/>
      <c r="F34" s="4">
        <v>458.83</v>
      </c>
      <c r="G34" s="4"/>
      <c r="H34" s="4"/>
      <c r="I34" s="4"/>
      <c r="J34" s="4"/>
    </row>
    <row r="35" spans="1:13">
      <c r="A35" t="s">
        <v>78</v>
      </c>
      <c r="B35" s="4">
        <v>435.85</v>
      </c>
      <c r="C35" s="4"/>
      <c r="D35" s="4"/>
      <c r="E35" s="4"/>
      <c r="F35" s="4"/>
      <c r="G35" s="4"/>
      <c r="H35" s="4"/>
      <c r="I35" s="4"/>
      <c r="J35" s="4"/>
    </row>
    <row r="36" spans="1:13">
      <c r="A36" s="12" t="s">
        <v>34</v>
      </c>
      <c r="B36" s="4"/>
      <c r="C36" s="4"/>
      <c r="D36" s="4"/>
      <c r="E36" s="4"/>
      <c r="F36" s="4"/>
      <c r="G36" s="4"/>
      <c r="H36" s="4">
        <v>561.15</v>
      </c>
      <c r="I36" s="4"/>
      <c r="J36" s="4"/>
    </row>
    <row r="37" spans="1:13">
      <c r="A37" s="12" t="s">
        <v>91</v>
      </c>
      <c r="B37" s="4"/>
      <c r="C37" s="4">
        <v>401.74</v>
      </c>
      <c r="D37" s="4"/>
      <c r="E37" s="4"/>
      <c r="F37" s="4"/>
      <c r="G37" s="4"/>
      <c r="H37" s="4"/>
      <c r="I37" s="4"/>
      <c r="J37" s="4"/>
    </row>
    <row r="38" spans="1:13">
      <c r="A38" s="12" t="s">
        <v>92</v>
      </c>
      <c r="B38" s="4"/>
      <c r="C38" s="4"/>
      <c r="D38" s="4"/>
      <c r="E38" s="4"/>
      <c r="F38" s="4"/>
      <c r="G38" s="4"/>
      <c r="H38" s="4">
        <v>766.51</v>
      </c>
      <c r="I38" s="4"/>
      <c r="J38" s="4"/>
    </row>
    <row r="39" spans="1:13">
      <c r="A39" t="s">
        <v>36</v>
      </c>
      <c r="B39" s="11"/>
      <c r="C39" s="4"/>
      <c r="D39" s="4"/>
      <c r="E39" s="4"/>
      <c r="F39" s="4"/>
      <c r="G39" s="4"/>
      <c r="H39" s="4"/>
      <c r="I39" s="4"/>
      <c r="J39" s="4"/>
    </row>
    <row r="40" spans="1:13">
      <c r="A40" s="6" t="s">
        <v>37</v>
      </c>
      <c r="B40" s="7">
        <f>SUM(B6:B39)</f>
        <v>3678.16</v>
      </c>
      <c r="C40" s="7">
        <f t="shared" ref="C40:J40" si="0">SUM(C6:C39)</f>
        <v>1778.22</v>
      </c>
      <c r="D40" s="7">
        <f t="shared" si="0"/>
        <v>1208.0999999999999</v>
      </c>
      <c r="E40" s="7">
        <f t="shared" si="0"/>
        <v>3889.66</v>
      </c>
      <c r="F40" s="7">
        <f t="shared" si="0"/>
        <v>2057.19</v>
      </c>
      <c r="G40" s="7">
        <f t="shared" si="0"/>
        <v>2610.08</v>
      </c>
      <c r="H40" s="7">
        <f t="shared" si="0"/>
        <v>1968.8700000000001</v>
      </c>
      <c r="I40" s="7">
        <f t="shared" si="0"/>
        <v>3236.5699999999997</v>
      </c>
      <c r="J40" s="7">
        <f t="shared" si="0"/>
        <v>2387.84</v>
      </c>
      <c r="K40" s="8">
        <f>SUM(B40:J40)</f>
        <v>22814.69</v>
      </c>
      <c r="M40" s="15"/>
    </row>
    <row r="41" spans="1:13">
      <c r="A41" s="9"/>
      <c r="B41" s="7" t="s">
        <v>38</v>
      </c>
      <c r="C41" s="7" t="s">
        <v>2</v>
      </c>
      <c r="D41" s="7" t="s">
        <v>3</v>
      </c>
      <c r="E41" s="7" t="s">
        <v>4</v>
      </c>
      <c r="F41" s="7" t="s">
        <v>5</v>
      </c>
      <c r="G41" s="7" t="s">
        <v>6</v>
      </c>
      <c r="H41" s="7" t="s">
        <v>7</v>
      </c>
      <c r="I41" s="7" t="s">
        <v>52</v>
      </c>
      <c r="J41" s="7" t="s">
        <v>8</v>
      </c>
      <c r="K41" s="10" t="s">
        <v>37</v>
      </c>
    </row>
    <row r="44" spans="1:13">
      <c r="A44">
        <f>COUNTA(A6:A34)</f>
        <v>29</v>
      </c>
    </row>
    <row r="46" spans="1:13">
      <c r="B46" t="s">
        <v>95</v>
      </c>
      <c r="C46" t="s">
        <v>96</v>
      </c>
      <c r="D46" t="s">
        <v>97</v>
      </c>
      <c r="F46" t="s">
        <v>98</v>
      </c>
      <c r="G46" s="3" t="s">
        <v>99</v>
      </c>
      <c r="H46" t="s">
        <v>100</v>
      </c>
    </row>
    <row r="47" spans="1:13">
      <c r="B47" s="16">
        <v>21711.39</v>
      </c>
      <c r="C47" s="16">
        <v>21711.39</v>
      </c>
      <c r="D47" s="16">
        <v>21711.39</v>
      </c>
      <c r="F47" s="19">
        <f>SUM(B47:D47)</f>
        <v>65134.17</v>
      </c>
      <c r="G47" s="19">
        <v>37699.410000000003</v>
      </c>
      <c r="H47" s="16">
        <f>F47-G47</f>
        <v>27434.759999999995</v>
      </c>
      <c r="I47" t="s">
        <v>101</v>
      </c>
    </row>
    <row r="48" spans="1:13">
      <c r="B48" s="16"/>
      <c r="C48" s="16"/>
      <c r="D48" s="16"/>
      <c r="F48" s="16"/>
      <c r="G48" s="16"/>
      <c r="H48" s="16">
        <v>-150.07</v>
      </c>
      <c r="I48" t="s">
        <v>102</v>
      </c>
    </row>
    <row r="49" spans="2:10">
      <c r="B49" s="16"/>
      <c r="C49" s="16"/>
      <c r="D49" s="16"/>
      <c r="F49" s="16"/>
      <c r="G49" s="16"/>
      <c r="H49" s="20">
        <f>SUM(H47:H48)</f>
        <v>27284.689999999995</v>
      </c>
    </row>
    <row r="50" spans="2:10">
      <c r="B50" s="16"/>
      <c r="C50" s="16"/>
      <c r="D50" s="16"/>
      <c r="F50" s="16"/>
      <c r="G50" s="16"/>
      <c r="H50" s="16"/>
    </row>
    <row r="51" spans="2:10">
      <c r="C51" s="17"/>
      <c r="F51" s="17"/>
      <c r="H51" s="18"/>
    </row>
    <row r="52" spans="2:10">
      <c r="D52" s="16"/>
      <c r="H52" s="17"/>
    </row>
    <row r="53" spans="2:10">
      <c r="D53" s="16"/>
      <c r="F53" s="17"/>
      <c r="H53" s="16"/>
    </row>
    <row r="54" spans="2:10">
      <c r="D54" s="19"/>
      <c r="H54" s="17"/>
    </row>
    <row r="55" spans="2:10">
      <c r="F55" s="17"/>
      <c r="H55" s="17"/>
    </row>
    <row r="56" spans="2:10">
      <c r="H56" s="17"/>
      <c r="J56" s="17"/>
    </row>
    <row r="58" spans="2:10">
      <c r="H58" s="17"/>
    </row>
  </sheetData>
  <pageMargins left="0.5" right="0.25" top="0.55000000000000004" bottom="0.8" header="0.35" footer="0.5"/>
  <pageSetup scale="5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58"/>
  <sheetViews>
    <sheetView topLeftCell="B5" workbookViewId="0">
      <selection activeCell="D21" sqref="D21"/>
    </sheetView>
  </sheetViews>
  <sheetFormatPr baseColWidth="10" defaultColWidth="8.83203125" defaultRowHeight="13"/>
  <cols>
    <col min="1" max="1" width="19.5" customWidth="1"/>
    <col min="2" max="2" width="14.5" bestFit="1" customWidth="1"/>
    <col min="3" max="3" width="10.83203125" bestFit="1" customWidth="1"/>
    <col min="4" max="4" width="10.33203125" bestFit="1" customWidth="1"/>
    <col min="5" max="5" width="7.6640625" customWidth="1"/>
    <col min="6" max="6" width="12.33203125" bestFit="1" customWidth="1"/>
    <col min="7" max="7" width="10.33203125" bestFit="1" customWidth="1"/>
    <col min="8" max="8" width="13.6640625" bestFit="1" customWidth="1"/>
    <col min="9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103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21">
        <v>441.6</v>
      </c>
      <c r="C6" s="21"/>
      <c r="D6" s="21"/>
      <c r="E6" s="21"/>
      <c r="F6" s="21"/>
      <c r="G6" s="21"/>
      <c r="H6" s="21"/>
      <c r="I6" s="21"/>
      <c r="J6" s="21"/>
    </row>
    <row r="7" spans="1:18">
      <c r="A7" t="s">
        <v>9</v>
      </c>
      <c r="B7" s="21">
        <v>612.49</v>
      </c>
      <c r="C7" s="21"/>
      <c r="D7" s="21"/>
      <c r="E7" s="21"/>
      <c r="F7" s="21"/>
      <c r="G7" s="21"/>
      <c r="H7" s="21"/>
      <c r="I7" s="21"/>
      <c r="J7" s="21"/>
    </row>
    <row r="8" spans="1:18">
      <c r="A8" t="s">
        <v>72</v>
      </c>
      <c r="B8" s="21">
        <v>837.59</v>
      </c>
      <c r="C8" s="21"/>
      <c r="D8" s="21"/>
      <c r="E8" s="21"/>
      <c r="F8" s="21"/>
      <c r="G8" s="21"/>
      <c r="H8" s="21"/>
      <c r="I8" s="21"/>
      <c r="J8" s="21"/>
    </row>
    <row r="9" spans="1:18">
      <c r="A9" t="s">
        <v>62</v>
      </c>
      <c r="B9" s="21"/>
      <c r="C9" s="21"/>
      <c r="D9" s="21"/>
      <c r="E9" s="21"/>
      <c r="F9" s="21"/>
      <c r="G9" s="21"/>
      <c r="H9" s="21"/>
      <c r="I9" s="21">
        <v>700.81</v>
      </c>
      <c r="J9" s="21"/>
    </row>
    <row r="10" spans="1:18">
      <c r="A10" t="s">
        <v>76</v>
      </c>
      <c r="B10" s="21"/>
      <c r="C10" s="21">
        <v>359.02</v>
      </c>
      <c r="D10" s="21"/>
      <c r="E10" s="21"/>
      <c r="F10" s="21"/>
      <c r="G10" s="21"/>
      <c r="H10" s="21"/>
      <c r="I10" s="21"/>
      <c r="J10" s="21"/>
    </row>
    <row r="11" spans="1:18">
      <c r="A11" t="s">
        <v>12</v>
      </c>
      <c r="B11" s="21"/>
      <c r="C11" s="21"/>
      <c r="D11" s="21"/>
      <c r="E11" s="21"/>
      <c r="F11" s="21"/>
      <c r="G11" s="21">
        <v>732.4</v>
      </c>
      <c r="H11" s="21"/>
      <c r="I11" s="21"/>
      <c r="J11" s="21"/>
    </row>
    <row r="12" spans="1:18">
      <c r="A12" t="s">
        <v>48</v>
      </c>
      <c r="B12" s="21"/>
      <c r="C12" s="21">
        <v>376.25</v>
      </c>
      <c r="D12" s="21"/>
      <c r="E12" s="21"/>
      <c r="F12" s="21"/>
      <c r="G12" s="21"/>
      <c r="H12" s="21"/>
      <c r="I12" s="21"/>
      <c r="J12" s="21"/>
    </row>
    <row r="13" spans="1:18">
      <c r="A13" s="12" t="s">
        <v>84</v>
      </c>
      <c r="B13" s="21"/>
      <c r="C13" s="21"/>
      <c r="D13" s="21"/>
      <c r="E13" s="22">
        <v>1103.3</v>
      </c>
      <c r="F13" s="21"/>
      <c r="G13" s="21"/>
      <c r="H13" s="21"/>
      <c r="I13" s="21"/>
      <c r="J13" s="21"/>
    </row>
    <row r="14" spans="1:18">
      <c r="A14" t="s">
        <v>50</v>
      </c>
      <c r="B14" s="21"/>
      <c r="C14" s="21"/>
      <c r="D14" s="21"/>
      <c r="E14" s="21"/>
      <c r="F14" s="21"/>
      <c r="G14" s="21"/>
      <c r="H14" s="21"/>
      <c r="I14" s="21">
        <v>1059.83</v>
      </c>
      <c r="J14" s="21"/>
    </row>
    <row r="15" spans="1:18">
      <c r="A15" s="5" t="s">
        <v>13</v>
      </c>
      <c r="B15" s="21"/>
      <c r="C15" s="21"/>
      <c r="D15" s="21"/>
      <c r="E15" s="21"/>
      <c r="F15" s="21">
        <v>1059.83</v>
      </c>
      <c r="G15" s="21"/>
      <c r="H15" s="21"/>
      <c r="I15" s="21"/>
      <c r="J15" s="21"/>
      <c r="R15" t="s">
        <v>14</v>
      </c>
    </row>
    <row r="16" spans="1:18">
      <c r="A16" s="5" t="s">
        <v>15</v>
      </c>
      <c r="B16" s="21">
        <v>874.93</v>
      </c>
      <c r="C16" s="21"/>
      <c r="D16" s="21"/>
      <c r="E16" s="21"/>
      <c r="F16" s="21"/>
      <c r="G16" s="21"/>
      <c r="H16" s="21"/>
      <c r="I16" s="21"/>
      <c r="J16" s="21"/>
    </row>
    <row r="17" spans="1:10">
      <c r="A17" t="s">
        <v>85</v>
      </c>
      <c r="B17" s="21"/>
      <c r="C17" s="21"/>
      <c r="D17" s="21"/>
      <c r="E17" s="21"/>
      <c r="F17" s="21"/>
      <c r="G17" s="21"/>
      <c r="H17" s="21"/>
      <c r="I17" s="21"/>
      <c r="J17" s="21">
        <v>669.57</v>
      </c>
    </row>
    <row r="18" spans="1:10">
      <c r="A18" t="s">
        <v>69</v>
      </c>
      <c r="B18" s="21"/>
      <c r="C18" s="21"/>
      <c r="D18" s="21"/>
      <c r="E18" s="21">
        <v>475.7</v>
      </c>
      <c r="F18" s="21"/>
      <c r="G18" s="21"/>
      <c r="H18" s="21"/>
      <c r="I18" s="21"/>
      <c r="J18" s="21"/>
    </row>
    <row r="19" spans="1:10">
      <c r="A19" t="s">
        <v>18</v>
      </c>
      <c r="B19" s="21"/>
      <c r="C19" s="21"/>
      <c r="D19" s="21"/>
      <c r="E19" s="21"/>
      <c r="F19" s="21"/>
      <c r="G19" s="21"/>
      <c r="H19" s="21"/>
      <c r="I19" s="21"/>
      <c r="J19" s="21">
        <v>641.21</v>
      </c>
    </row>
    <row r="20" spans="1:10">
      <c r="A20" t="s">
        <v>86</v>
      </c>
      <c r="B20" s="21"/>
      <c r="C20" s="21"/>
      <c r="D20" s="21"/>
      <c r="E20" s="21">
        <v>934.53</v>
      </c>
      <c r="F20" s="21"/>
      <c r="G20" s="21"/>
      <c r="H20" s="21"/>
      <c r="I20" s="21"/>
      <c r="J20" s="21"/>
    </row>
    <row r="21" spans="1:10">
      <c r="A21" t="s">
        <v>21</v>
      </c>
      <c r="B21" s="21"/>
      <c r="C21" s="21"/>
      <c r="D21" s="21">
        <v>732.4</v>
      </c>
      <c r="E21" s="21"/>
      <c r="F21" s="21"/>
      <c r="G21" s="21"/>
      <c r="H21" s="21"/>
      <c r="I21" s="21"/>
      <c r="J21" s="21"/>
    </row>
    <row r="22" spans="1:10">
      <c r="A22" t="s">
        <v>87</v>
      </c>
      <c r="B22" s="21"/>
      <c r="C22" s="21"/>
      <c r="D22" s="21"/>
      <c r="E22" s="21"/>
      <c r="F22" s="21"/>
      <c r="G22" s="21"/>
      <c r="H22" s="21"/>
      <c r="I22" s="21"/>
      <c r="J22" s="21">
        <v>1077.06</v>
      </c>
    </row>
    <row r="23" spans="1:10">
      <c r="A23" t="s">
        <v>23</v>
      </c>
      <c r="B23" s="21"/>
      <c r="C23" s="21"/>
      <c r="D23" s="21"/>
      <c r="E23" s="21"/>
      <c r="F23" s="21">
        <v>538.53</v>
      </c>
      <c r="G23" s="21"/>
      <c r="H23" s="21"/>
      <c r="I23" s="21"/>
      <c r="J23" s="21"/>
    </row>
    <row r="24" spans="1:10">
      <c r="A24" t="s">
        <v>63</v>
      </c>
      <c r="B24" s="21">
        <v>475.7</v>
      </c>
      <c r="C24" s="21"/>
      <c r="D24" s="21"/>
      <c r="E24" s="21"/>
      <c r="F24" s="21"/>
      <c r="G24" s="21"/>
      <c r="H24" s="21"/>
      <c r="I24" s="21"/>
      <c r="J24" s="21"/>
    </row>
    <row r="25" spans="1:10">
      <c r="A25" t="s">
        <v>88</v>
      </c>
      <c r="B25" s="21"/>
      <c r="C25" s="21"/>
      <c r="D25" s="21"/>
      <c r="E25" s="21"/>
      <c r="F25" s="21"/>
      <c r="G25" s="21">
        <v>800.62</v>
      </c>
      <c r="H25" s="21"/>
      <c r="I25" s="21"/>
      <c r="J25" s="21"/>
    </row>
    <row r="26" spans="1:10">
      <c r="A26" t="s">
        <v>25</v>
      </c>
      <c r="B26" s="21"/>
      <c r="C26" s="21"/>
      <c r="D26" s="21">
        <v>475.7</v>
      </c>
      <c r="E26" s="21"/>
      <c r="F26" s="21"/>
      <c r="G26" s="21"/>
      <c r="H26" s="21"/>
      <c r="I26" s="21"/>
      <c r="J26" s="21"/>
    </row>
    <row r="27" spans="1:10">
      <c r="A27" t="s">
        <v>89</v>
      </c>
      <c r="B27" s="21"/>
      <c r="C27" s="21"/>
      <c r="D27" s="21"/>
      <c r="E27" s="21">
        <v>441.6</v>
      </c>
      <c r="F27" s="21"/>
      <c r="G27" s="21"/>
      <c r="H27" s="21"/>
      <c r="I27" s="21"/>
      <c r="J27" s="21"/>
    </row>
    <row r="28" spans="1:10">
      <c r="A28" t="s">
        <v>27</v>
      </c>
      <c r="B28" s="21"/>
      <c r="C28" s="21"/>
      <c r="D28" s="21"/>
      <c r="E28" s="21"/>
      <c r="F28" s="21"/>
      <c r="G28" s="21">
        <v>1077.06</v>
      </c>
      <c r="H28" s="21"/>
      <c r="I28" s="21"/>
      <c r="J28" s="21"/>
    </row>
    <row r="29" spans="1:10">
      <c r="A29" t="s">
        <v>90</v>
      </c>
      <c r="B29" s="21"/>
      <c r="C29" s="21"/>
      <c r="D29" s="21"/>
      <c r="E29" s="21"/>
      <c r="F29" s="21"/>
      <c r="G29" s="21"/>
      <c r="H29" s="21">
        <v>641.21</v>
      </c>
      <c r="I29" s="21"/>
      <c r="J29" s="21"/>
    </row>
    <row r="30" spans="1:10">
      <c r="A30" t="s">
        <v>41</v>
      </c>
      <c r="B30" s="21"/>
      <c r="C30" s="21"/>
      <c r="D30" s="21"/>
      <c r="E30" s="21"/>
      <c r="F30" s="21"/>
      <c r="G30" s="21"/>
      <c r="H30" s="21"/>
      <c r="I30" s="21">
        <v>1059.83</v>
      </c>
      <c r="J30" s="21"/>
    </row>
    <row r="31" spans="1:10">
      <c r="A31" t="s">
        <v>31</v>
      </c>
      <c r="B31" s="21"/>
      <c r="C31" s="21"/>
      <c r="D31" s="21"/>
      <c r="E31" s="21">
        <v>934.53</v>
      </c>
      <c r="F31" s="21"/>
      <c r="G31" s="21"/>
      <c r="H31" s="21"/>
      <c r="I31" s="21"/>
      <c r="J31" s="21"/>
    </row>
    <row r="32" spans="1:10">
      <c r="A32" t="s">
        <v>80</v>
      </c>
      <c r="B32" s="21"/>
      <c r="C32" s="21">
        <v>641.21</v>
      </c>
      <c r="D32" s="21"/>
      <c r="E32" s="21"/>
      <c r="F32" s="21"/>
      <c r="G32" s="21"/>
      <c r="H32" s="21"/>
      <c r="I32" s="21"/>
      <c r="J32" s="21"/>
    </row>
    <row r="33" spans="1:13">
      <c r="A33" t="s">
        <v>54</v>
      </c>
      <c r="B33" s="21"/>
      <c r="C33" s="21"/>
      <c r="D33" s="21"/>
      <c r="E33" s="21"/>
      <c r="F33" s="21"/>
      <c r="G33" s="21"/>
      <c r="H33" s="21"/>
      <c r="I33" s="21">
        <v>416.1</v>
      </c>
      <c r="J33" s="21"/>
    </row>
    <row r="34" spans="1:13">
      <c r="A34" t="s">
        <v>33</v>
      </c>
      <c r="B34" s="21"/>
      <c r="C34" s="21"/>
      <c r="D34" s="21"/>
      <c r="E34" s="21"/>
      <c r="F34" s="21">
        <v>458.83</v>
      </c>
      <c r="G34" s="21"/>
      <c r="H34" s="21"/>
      <c r="I34" s="21"/>
      <c r="J34" s="21"/>
    </row>
    <row r="35" spans="1:13">
      <c r="A35" t="s">
        <v>78</v>
      </c>
      <c r="B35" s="21">
        <v>435.85</v>
      </c>
      <c r="C35" s="21"/>
      <c r="D35" s="21"/>
      <c r="E35" s="21"/>
      <c r="F35" s="21"/>
      <c r="G35" s="21"/>
      <c r="H35" s="21"/>
      <c r="I35" s="21"/>
      <c r="J35" s="21"/>
    </row>
    <row r="36" spans="1:13">
      <c r="A36" t="s">
        <v>34</v>
      </c>
      <c r="B36" s="21"/>
      <c r="C36" s="21"/>
      <c r="D36" s="21"/>
      <c r="E36" s="21"/>
      <c r="F36" s="21"/>
      <c r="G36" s="21"/>
      <c r="H36" s="21">
        <v>561.15</v>
      </c>
      <c r="I36" s="21"/>
      <c r="J36" s="21"/>
    </row>
    <row r="37" spans="1:13">
      <c r="A37" t="s">
        <v>91</v>
      </c>
      <c r="B37" s="21"/>
      <c r="C37" s="21">
        <v>401.74</v>
      </c>
      <c r="D37" s="21"/>
      <c r="E37" s="21"/>
      <c r="F37" s="21"/>
      <c r="G37" s="21"/>
      <c r="H37" s="21"/>
      <c r="I37" s="21"/>
      <c r="J37" s="21"/>
    </row>
    <row r="38" spans="1:13">
      <c r="A38" t="s">
        <v>92</v>
      </c>
      <c r="B38" s="21"/>
      <c r="C38" s="21"/>
      <c r="D38" s="21"/>
      <c r="E38" s="21"/>
      <c r="F38" s="21"/>
      <c r="G38" s="21"/>
      <c r="H38" s="21">
        <v>766.51</v>
      </c>
      <c r="I38" s="21"/>
      <c r="J38" s="21"/>
    </row>
    <row r="39" spans="1:13">
      <c r="A39" t="s">
        <v>36</v>
      </c>
      <c r="B39" s="23"/>
      <c r="C39" s="21"/>
      <c r="D39" s="21"/>
      <c r="E39" s="21"/>
      <c r="F39" s="21"/>
      <c r="G39" s="21"/>
      <c r="H39" s="21"/>
      <c r="I39" s="21"/>
      <c r="J39" s="21"/>
    </row>
    <row r="40" spans="1:13">
      <c r="A40" s="6" t="s">
        <v>37</v>
      </c>
      <c r="B40" s="24">
        <f>SUM(B6:B39)</f>
        <v>3678.16</v>
      </c>
      <c r="C40" s="24">
        <f t="shared" ref="C40:J40" si="0">SUM(C6:C39)</f>
        <v>1778.22</v>
      </c>
      <c r="D40" s="24">
        <f t="shared" si="0"/>
        <v>1208.0999999999999</v>
      </c>
      <c r="E40" s="24">
        <f t="shared" si="0"/>
        <v>3889.66</v>
      </c>
      <c r="F40" s="24">
        <f t="shared" si="0"/>
        <v>2057.19</v>
      </c>
      <c r="G40" s="24">
        <f t="shared" si="0"/>
        <v>2610.08</v>
      </c>
      <c r="H40" s="24">
        <f t="shared" si="0"/>
        <v>1968.8700000000001</v>
      </c>
      <c r="I40" s="24">
        <f t="shared" si="0"/>
        <v>3236.5699999999997</v>
      </c>
      <c r="J40" s="24">
        <f t="shared" si="0"/>
        <v>2387.84</v>
      </c>
      <c r="K40" s="8">
        <f>SUM(B40:J40)</f>
        <v>22814.69</v>
      </c>
      <c r="M40" s="15"/>
    </row>
    <row r="41" spans="1:13">
      <c r="A41" s="9"/>
      <c r="B41" s="7" t="s">
        <v>38</v>
      </c>
      <c r="C41" s="7" t="s">
        <v>2</v>
      </c>
      <c r="D41" s="7" t="s">
        <v>3</v>
      </c>
      <c r="E41" s="7" t="s">
        <v>4</v>
      </c>
      <c r="F41" s="7" t="s">
        <v>5</v>
      </c>
      <c r="G41" s="7" t="s">
        <v>6</v>
      </c>
      <c r="H41" s="7" t="s">
        <v>7</v>
      </c>
      <c r="I41" s="7" t="s">
        <v>52</v>
      </c>
      <c r="J41" s="7" t="s">
        <v>8</v>
      </c>
      <c r="K41" s="10" t="s">
        <v>37</v>
      </c>
    </row>
    <row r="44" spans="1:13">
      <c r="A44">
        <f>COUNTA(A6:A38)</f>
        <v>33</v>
      </c>
    </row>
    <row r="46" spans="1:13">
      <c r="G46" s="3"/>
    </row>
    <row r="47" spans="1:13">
      <c r="B47" s="16"/>
      <c r="C47" s="16"/>
      <c r="D47" s="16"/>
      <c r="F47" s="19"/>
      <c r="G47" s="19"/>
      <c r="H47" s="16"/>
    </row>
    <row r="48" spans="1:13">
      <c r="B48" s="16"/>
      <c r="C48" s="16"/>
      <c r="D48" s="16"/>
      <c r="F48" s="16"/>
      <c r="G48" s="16"/>
      <c r="H48" s="16"/>
    </row>
    <row r="49" spans="2:10">
      <c r="B49" s="16"/>
      <c r="C49" s="16"/>
      <c r="D49" s="16"/>
      <c r="F49" s="16"/>
      <c r="G49" s="16"/>
      <c r="H49" s="20"/>
    </row>
    <row r="50" spans="2:10">
      <c r="B50" s="16"/>
      <c r="C50" s="16"/>
      <c r="D50" s="16"/>
      <c r="F50" s="16"/>
      <c r="G50" s="16"/>
      <c r="H50" s="16"/>
    </row>
    <row r="51" spans="2:10">
      <c r="C51" s="17"/>
      <c r="F51" s="17"/>
      <c r="H51" s="18"/>
    </row>
    <row r="52" spans="2:10">
      <c r="D52" s="16"/>
      <c r="H52" s="17"/>
    </row>
    <row r="53" spans="2:10">
      <c r="D53" s="16"/>
      <c r="F53" s="17"/>
      <c r="H53" s="16"/>
    </row>
    <row r="54" spans="2:10">
      <c r="D54" s="19"/>
      <c r="H54" s="17"/>
    </row>
    <row r="55" spans="2:10">
      <c r="F55" s="17"/>
      <c r="H55" s="17"/>
    </row>
    <row r="56" spans="2:10">
      <c r="H56" s="17"/>
      <c r="J56" s="17"/>
    </row>
    <row r="58" spans="2:10">
      <c r="H58" s="17"/>
    </row>
  </sheetData>
  <pageMargins left="0.5" right="0.25" top="0.55000000000000004" bottom="0.8" header="0.35" footer="0.5"/>
  <pageSetup scale="5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59"/>
  <sheetViews>
    <sheetView topLeftCell="C9" workbookViewId="0">
      <selection activeCell="D21" sqref="D21"/>
    </sheetView>
  </sheetViews>
  <sheetFormatPr baseColWidth="10" defaultColWidth="8.83203125" defaultRowHeight="13"/>
  <cols>
    <col min="1" max="1" width="19.5" customWidth="1"/>
    <col min="2" max="2" width="14.5" bestFit="1" customWidth="1"/>
    <col min="3" max="3" width="10.83203125" bestFit="1" customWidth="1"/>
    <col min="4" max="4" width="10.33203125" bestFit="1" customWidth="1"/>
    <col min="5" max="5" width="7.6640625" customWidth="1"/>
    <col min="6" max="6" width="12.33203125" bestFit="1" customWidth="1"/>
    <col min="7" max="7" width="10.33203125" bestFit="1" customWidth="1"/>
    <col min="8" max="8" width="13.6640625" bestFit="1" customWidth="1"/>
    <col min="9" max="10" width="7.6640625" customWidth="1"/>
    <col min="11" max="11" width="11.5" bestFit="1" customWidth="1"/>
    <col min="13" max="13" width="11.3320312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105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21">
        <v>441.6</v>
      </c>
      <c r="C6" s="21"/>
      <c r="D6" s="21"/>
      <c r="E6" s="21"/>
      <c r="F6" s="21"/>
      <c r="G6" s="21"/>
      <c r="H6" s="21"/>
      <c r="I6" s="21"/>
      <c r="J6" s="21"/>
    </row>
    <row r="7" spans="1:18">
      <c r="A7" t="s">
        <v>9</v>
      </c>
      <c r="B7" s="21">
        <v>612.49</v>
      </c>
      <c r="C7" s="21"/>
      <c r="D7" s="21"/>
      <c r="E7" s="21"/>
      <c r="F7" s="21"/>
      <c r="G7" s="21"/>
      <c r="H7" s="21"/>
      <c r="I7" s="21"/>
      <c r="J7" s="21"/>
    </row>
    <row r="8" spans="1:18">
      <c r="A8" t="s">
        <v>72</v>
      </c>
      <c r="B8" s="21">
        <v>837.59</v>
      </c>
      <c r="C8" s="21"/>
      <c r="D8" s="21"/>
      <c r="E8" s="21"/>
      <c r="F8" s="21"/>
      <c r="G8" s="21"/>
      <c r="H8" s="21"/>
      <c r="I8" s="21"/>
      <c r="J8" s="21"/>
    </row>
    <row r="9" spans="1:18">
      <c r="A9" t="s">
        <v>62</v>
      </c>
      <c r="B9" s="21"/>
      <c r="C9" s="21"/>
      <c r="D9" s="21"/>
      <c r="E9" s="21"/>
      <c r="F9" s="21"/>
      <c r="G9" s="21"/>
      <c r="H9" s="21"/>
      <c r="I9" s="21">
        <v>700.81</v>
      </c>
      <c r="J9" s="21"/>
    </row>
    <row r="10" spans="1:18">
      <c r="A10" t="s">
        <v>76</v>
      </c>
      <c r="B10" s="21"/>
      <c r="C10" s="23">
        <v>-359.02</v>
      </c>
      <c r="D10" s="21"/>
      <c r="E10" s="21"/>
      <c r="F10" s="21"/>
      <c r="G10" s="21"/>
      <c r="H10" s="21"/>
      <c r="I10" s="21"/>
      <c r="J10" s="21"/>
    </row>
    <row r="11" spans="1:18">
      <c r="A11" t="s">
        <v>12</v>
      </c>
      <c r="B11" s="21"/>
      <c r="C11" s="21"/>
      <c r="D11" s="21"/>
      <c r="E11" s="21"/>
      <c r="F11" s="21"/>
      <c r="G11" s="21">
        <v>732.4</v>
      </c>
      <c r="H11" s="21"/>
      <c r="I11" s="21"/>
      <c r="J11" s="21"/>
    </row>
    <row r="12" spans="1:18">
      <c r="A12" t="s">
        <v>48</v>
      </c>
      <c r="B12" s="21"/>
      <c r="C12" s="21">
        <v>376.25</v>
      </c>
      <c r="D12" s="21"/>
      <c r="E12" s="21"/>
      <c r="F12" s="21"/>
      <c r="G12" s="21"/>
      <c r="H12" s="21"/>
      <c r="I12" s="21"/>
      <c r="J12" s="21"/>
    </row>
    <row r="13" spans="1:18">
      <c r="A13" s="25" t="s">
        <v>84</v>
      </c>
      <c r="B13" s="26"/>
      <c r="C13" s="26"/>
      <c r="D13" s="26"/>
      <c r="E13" s="27">
        <v>1103.3</v>
      </c>
      <c r="F13" s="21"/>
      <c r="G13" s="21"/>
      <c r="H13" s="21"/>
      <c r="I13" s="21"/>
      <c r="J13" s="21"/>
    </row>
    <row r="14" spans="1:18">
      <c r="A14" t="s">
        <v>50</v>
      </c>
      <c r="B14" s="21"/>
      <c r="C14" s="21"/>
      <c r="D14" s="21"/>
      <c r="E14" s="21"/>
      <c r="F14" s="21"/>
      <c r="G14" s="21"/>
      <c r="H14" s="21"/>
      <c r="I14" s="21">
        <v>1059.83</v>
      </c>
      <c r="J14" s="21"/>
    </row>
    <row r="15" spans="1:18">
      <c r="A15" s="5" t="s">
        <v>13</v>
      </c>
      <c r="B15" s="21"/>
      <c r="C15" s="21"/>
      <c r="D15" s="21"/>
      <c r="E15" s="21"/>
      <c r="F15" s="21">
        <v>1059.83</v>
      </c>
      <c r="G15" s="21"/>
      <c r="H15" s="21"/>
      <c r="I15" s="21"/>
      <c r="J15" s="21"/>
      <c r="R15" t="s">
        <v>14</v>
      </c>
    </row>
    <row r="16" spans="1:18">
      <c r="A16" s="5" t="s">
        <v>15</v>
      </c>
      <c r="B16" s="21">
        <v>874.93</v>
      </c>
      <c r="C16" s="21"/>
      <c r="D16" s="21"/>
      <c r="E16" s="21"/>
      <c r="F16" s="21"/>
      <c r="G16" s="21"/>
      <c r="H16" s="21"/>
      <c r="I16" s="21"/>
      <c r="J16" s="21"/>
    </row>
    <row r="17" spans="1:10">
      <c r="A17" t="s">
        <v>85</v>
      </c>
      <c r="B17" s="21"/>
      <c r="C17" s="21"/>
      <c r="D17" s="21"/>
      <c r="E17" s="21"/>
      <c r="F17" s="21"/>
      <c r="G17" s="21"/>
      <c r="H17" s="21"/>
      <c r="I17" s="21"/>
      <c r="J17" s="21">
        <v>669.57</v>
      </c>
    </row>
    <row r="18" spans="1:10">
      <c r="A18" t="s">
        <v>69</v>
      </c>
      <c r="B18" s="21"/>
      <c r="C18" s="21"/>
      <c r="D18" s="21"/>
      <c r="E18" s="21">
        <v>475.7</v>
      </c>
      <c r="F18" s="21"/>
      <c r="G18" s="21"/>
      <c r="H18" s="21"/>
      <c r="I18" s="21"/>
      <c r="J18" s="21"/>
    </row>
    <row r="19" spans="1:10">
      <c r="A19" t="s">
        <v>18</v>
      </c>
      <c r="B19" s="21"/>
      <c r="C19" s="21"/>
      <c r="D19" s="21"/>
      <c r="E19" s="21"/>
      <c r="F19" s="21"/>
      <c r="G19" s="21"/>
      <c r="H19" s="21"/>
      <c r="I19" s="21"/>
      <c r="J19" s="21">
        <v>641.21</v>
      </c>
    </row>
    <row r="20" spans="1:10">
      <c r="A20" t="s">
        <v>86</v>
      </c>
      <c r="B20" s="21"/>
      <c r="C20" s="21"/>
      <c r="D20" s="21"/>
      <c r="E20" s="21">
        <v>934.53</v>
      </c>
      <c r="F20" s="21"/>
      <c r="G20" s="21"/>
      <c r="H20" s="21"/>
      <c r="I20" s="21"/>
      <c r="J20" s="21"/>
    </row>
    <row r="21" spans="1:10">
      <c r="A21" t="s">
        <v>21</v>
      </c>
      <c r="B21" s="21"/>
      <c r="C21" s="21"/>
      <c r="D21" s="21">
        <v>732.4</v>
      </c>
      <c r="E21" s="21"/>
      <c r="F21" s="21"/>
      <c r="G21" s="21"/>
      <c r="H21" s="21"/>
      <c r="I21" s="21"/>
      <c r="J21" s="21"/>
    </row>
    <row r="22" spans="1:10">
      <c r="A22" t="s">
        <v>87</v>
      </c>
      <c r="B22" s="21"/>
      <c r="C22" s="21"/>
      <c r="D22" s="21"/>
      <c r="E22" s="21"/>
      <c r="F22" s="21"/>
      <c r="G22" s="21"/>
      <c r="H22" s="21"/>
      <c r="I22" s="21"/>
      <c r="J22" s="21">
        <v>1077.06</v>
      </c>
    </row>
    <row r="23" spans="1:10">
      <c r="A23" t="s">
        <v>23</v>
      </c>
      <c r="B23" s="21"/>
      <c r="C23" s="21"/>
      <c r="D23" s="21"/>
      <c r="E23" s="21"/>
      <c r="F23" s="21">
        <v>538.53</v>
      </c>
      <c r="G23" s="21"/>
      <c r="H23" s="21"/>
      <c r="I23" s="21"/>
      <c r="J23" s="21"/>
    </row>
    <row r="24" spans="1:10">
      <c r="A24" t="s">
        <v>63</v>
      </c>
      <c r="B24" s="21">
        <v>475.7</v>
      </c>
      <c r="C24" s="21"/>
      <c r="D24" s="21"/>
      <c r="E24" s="21"/>
      <c r="F24" s="21"/>
      <c r="G24" s="21"/>
      <c r="H24" s="21"/>
      <c r="I24" s="21"/>
      <c r="J24" s="21"/>
    </row>
    <row r="25" spans="1:10">
      <c r="A25" t="s">
        <v>88</v>
      </c>
      <c r="B25" s="21"/>
      <c r="C25" s="21"/>
      <c r="D25" s="21"/>
      <c r="E25" s="21"/>
      <c r="F25" s="21"/>
      <c r="G25" s="21">
        <v>800.62</v>
      </c>
      <c r="H25" s="21"/>
      <c r="I25" s="21"/>
      <c r="J25" s="21"/>
    </row>
    <row r="26" spans="1:10">
      <c r="A26" t="s">
        <v>25</v>
      </c>
      <c r="B26" s="21"/>
      <c r="C26" s="21"/>
      <c r="D26" s="21">
        <v>475.7</v>
      </c>
      <c r="E26" s="21"/>
      <c r="F26" s="21"/>
      <c r="G26" s="21"/>
      <c r="H26" s="21"/>
      <c r="I26" s="21"/>
      <c r="J26" s="21"/>
    </row>
    <row r="27" spans="1:10">
      <c r="A27" t="s">
        <v>89</v>
      </c>
      <c r="B27" s="21"/>
      <c r="C27" s="21"/>
      <c r="D27" s="21"/>
      <c r="E27" s="21">
        <v>441.6</v>
      </c>
      <c r="F27" s="21"/>
      <c r="G27" s="21"/>
      <c r="H27" s="21"/>
      <c r="I27" s="21"/>
      <c r="J27" s="21"/>
    </row>
    <row r="28" spans="1:10">
      <c r="A28" t="s">
        <v>27</v>
      </c>
      <c r="B28" s="21"/>
      <c r="C28" s="21"/>
      <c r="D28" s="21"/>
      <c r="E28" s="21"/>
      <c r="F28" s="21"/>
      <c r="G28" s="21">
        <v>1077.06</v>
      </c>
      <c r="H28" s="21"/>
      <c r="I28" s="21"/>
      <c r="J28" s="21"/>
    </row>
    <row r="29" spans="1:10">
      <c r="A29" t="s">
        <v>104</v>
      </c>
      <c r="B29" s="21"/>
      <c r="C29" s="23">
        <f>837.59+837.59+837.59</f>
        <v>2512.77</v>
      </c>
      <c r="D29" s="21"/>
      <c r="E29" s="21"/>
      <c r="F29" s="21"/>
      <c r="G29" s="21"/>
      <c r="H29" s="21"/>
      <c r="I29" s="21"/>
      <c r="J29" s="21"/>
    </row>
    <row r="30" spans="1:10">
      <c r="A30" t="s">
        <v>90</v>
      </c>
      <c r="B30" s="21"/>
      <c r="C30" s="21"/>
      <c r="D30" s="21"/>
      <c r="E30" s="21"/>
      <c r="F30" s="21"/>
      <c r="G30" s="21"/>
      <c r="H30" s="21">
        <v>641.21</v>
      </c>
      <c r="I30" s="21"/>
      <c r="J30" s="21"/>
    </row>
    <row r="31" spans="1:10">
      <c r="A31" t="s">
        <v>41</v>
      </c>
      <c r="B31" s="21"/>
      <c r="C31" s="21"/>
      <c r="D31" s="21"/>
      <c r="E31" s="21"/>
      <c r="F31" s="21"/>
      <c r="G31" s="21"/>
      <c r="H31" s="21"/>
      <c r="I31" s="21">
        <v>1059.83</v>
      </c>
      <c r="J31" s="21"/>
    </row>
    <row r="32" spans="1:10">
      <c r="A32" t="s">
        <v>31</v>
      </c>
      <c r="B32" s="21"/>
      <c r="C32" s="21"/>
      <c r="D32" s="21"/>
      <c r="E32" s="21">
        <v>934.53</v>
      </c>
      <c r="F32" s="21"/>
      <c r="G32" s="21"/>
      <c r="H32" s="21"/>
      <c r="I32" s="21"/>
      <c r="J32" s="21"/>
    </row>
    <row r="33" spans="1:13">
      <c r="A33" t="s">
        <v>80</v>
      </c>
      <c r="B33" s="21"/>
      <c r="C33" s="21">
        <v>641.21</v>
      </c>
      <c r="D33" s="21"/>
      <c r="E33" s="21"/>
      <c r="F33" s="21"/>
      <c r="G33" s="21"/>
      <c r="H33" s="21"/>
      <c r="I33" s="21"/>
      <c r="J33" s="21"/>
    </row>
    <row r="34" spans="1:13">
      <c r="A34" t="s">
        <v>54</v>
      </c>
      <c r="B34" s="21"/>
      <c r="C34" s="21"/>
      <c r="D34" s="21"/>
      <c r="E34" s="21"/>
      <c r="F34" s="21"/>
      <c r="G34" s="21"/>
      <c r="H34" s="21"/>
      <c r="I34" s="21">
        <v>416.1</v>
      </c>
      <c r="J34" s="21"/>
    </row>
    <row r="35" spans="1:13">
      <c r="A35" t="s">
        <v>33</v>
      </c>
      <c r="B35" s="21"/>
      <c r="C35" s="21"/>
      <c r="D35" s="21"/>
      <c r="E35" s="21"/>
      <c r="F35" s="21">
        <v>458.83</v>
      </c>
      <c r="G35" s="21"/>
      <c r="H35" s="21"/>
      <c r="I35" s="21"/>
      <c r="J35" s="21"/>
    </row>
    <row r="36" spans="1:13">
      <c r="A36" t="s">
        <v>78</v>
      </c>
      <c r="B36" s="21">
        <v>435.85</v>
      </c>
      <c r="C36" s="21"/>
      <c r="D36" s="21"/>
      <c r="E36" s="21"/>
      <c r="F36" s="21"/>
      <c r="G36" s="21"/>
      <c r="H36" s="21"/>
      <c r="I36" s="21"/>
      <c r="J36" s="21"/>
    </row>
    <row r="37" spans="1:13">
      <c r="A37" t="s">
        <v>34</v>
      </c>
      <c r="B37" s="21"/>
      <c r="C37" s="21"/>
      <c r="D37" s="21"/>
      <c r="E37" s="21"/>
      <c r="F37" s="21"/>
      <c r="G37" s="21"/>
      <c r="H37" s="21">
        <v>561.15</v>
      </c>
      <c r="I37" s="21"/>
      <c r="J37" s="21"/>
    </row>
    <row r="38" spans="1:13">
      <c r="A38" t="s">
        <v>91</v>
      </c>
      <c r="B38" s="21"/>
      <c r="C38" s="21">
        <v>401.74</v>
      </c>
      <c r="D38" s="21"/>
      <c r="E38" s="21"/>
      <c r="F38" s="21"/>
      <c r="G38" s="21"/>
      <c r="H38" s="21"/>
      <c r="I38" s="21"/>
      <c r="J38" s="21"/>
    </row>
    <row r="39" spans="1:13">
      <c r="A39" t="s">
        <v>92</v>
      </c>
      <c r="B39" s="21"/>
      <c r="C39" s="21"/>
      <c r="D39" s="21"/>
      <c r="E39" s="21"/>
      <c r="F39" s="21"/>
      <c r="G39" s="21"/>
      <c r="H39" s="21">
        <v>766.51</v>
      </c>
      <c r="I39" s="21"/>
      <c r="J39" s="21"/>
    </row>
    <row r="40" spans="1:13">
      <c r="A40" t="s">
        <v>36</v>
      </c>
      <c r="B40" s="23"/>
      <c r="C40" s="21"/>
      <c r="D40" s="21"/>
      <c r="E40" s="21"/>
      <c r="F40" s="21"/>
      <c r="G40" s="21"/>
      <c r="H40" s="21"/>
      <c r="I40" s="21"/>
      <c r="J40" s="21"/>
    </row>
    <row r="41" spans="1:13">
      <c r="A41" s="6" t="s">
        <v>37</v>
      </c>
      <c r="B41" s="24">
        <f>SUM(B6:B40)</f>
        <v>3678.16</v>
      </c>
      <c r="C41" s="24">
        <f t="shared" ref="C41:J41" si="0">SUM(C6:C40)</f>
        <v>3572.95</v>
      </c>
      <c r="D41" s="24">
        <f t="shared" si="0"/>
        <v>1208.0999999999999</v>
      </c>
      <c r="E41" s="24">
        <f t="shared" si="0"/>
        <v>3889.66</v>
      </c>
      <c r="F41" s="24">
        <f t="shared" si="0"/>
        <v>2057.19</v>
      </c>
      <c r="G41" s="24">
        <f t="shared" si="0"/>
        <v>2610.08</v>
      </c>
      <c r="H41" s="24">
        <f t="shared" si="0"/>
        <v>1968.8700000000001</v>
      </c>
      <c r="I41" s="24">
        <f t="shared" si="0"/>
        <v>3236.5699999999997</v>
      </c>
      <c r="J41" s="24">
        <f t="shared" si="0"/>
        <v>2387.84</v>
      </c>
      <c r="K41" s="8">
        <f>SUM(B41:J41)</f>
        <v>24609.42</v>
      </c>
      <c r="M41" s="15"/>
    </row>
    <row r="42" spans="1:13">
      <c r="A42" s="9"/>
      <c r="B42" s="7" t="s">
        <v>38</v>
      </c>
      <c r="C42" s="7" t="s">
        <v>2</v>
      </c>
      <c r="D42" s="7" t="s">
        <v>3</v>
      </c>
      <c r="E42" s="7" t="s">
        <v>4</v>
      </c>
      <c r="F42" s="7" t="s">
        <v>5</v>
      </c>
      <c r="G42" s="7" t="s">
        <v>6</v>
      </c>
      <c r="H42" s="7" t="s">
        <v>7</v>
      </c>
      <c r="I42" s="7" t="s">
        <v>52</v>
      </c>
      <c r="J42" s="7" t="s">
        <v>8</v>
      </c>
      <c r="K42" s="10" t="s">
        <v>37</v>
      </c>
    </row>
    <row r="45" spans="1:13">
      <c r="A45">
        <f>COUNTA(A6:A39)</f>
        <v>34</v>
      </c>
    </row>
    <row r="47" spans="1:13">
      <c r="A47" t="s">
        <v>106</v>
      </c>
      <c r="G47" s="3"/>
    </row>
    <row r="48" spans="1:13">
      <c r="A48" t="s">
        <v>107</v>
      </c>
      <c r="B48" s="16"/>
      <c r="C48" s="16"/>
      <c r="D48" s="16"/>
      <c r="F48" s="19"/>
      <c r="G48" s="19"/>
      <c r="H48" s="16"/>
    </row>
    <row r="49" spans="1:10">
      <c r="A49" t="s">
        <v>108</v>
      </c>
      <c r="B49" s="16"/>
      <c r="C49" s="16"/>
      <c r="D49" s="16"/>
      <c r="F49" s="16"/>
      <c r="G49" s="16"/>
      <c r="H49" s="16"/>
    </row>
    <row r="50" spans="1:10">
      <c r="B50" s="16"/>
      <c r="C50" s="16"/>
      <c r="D50" s="16"/>
      <c r="F50" s="16"/>
      <c r="G50" s="16"/>
      <c r="H50" s="20"/>
    </row>
    <row r="51" spans="1:10">
      <c r="B51" s="16"/>
      <c r="C51" s="16"/>
      <c r="D51" s="16"/>
      <c r="F51" s="16"/>
      <c r="G51" s="16"/>
      <c r="H51" s="16"/>
    </row>
    <row r="52" spans="1:10">
      <c r="C52" s="17"/>
      <c r="F52" s="17"/>
      <c r="H52" s="18"/>
    </row>
    <row r="53" spans="1:10">
      <c r="D53" s="16"/>
      <c r="H53" s="17"/>
    </row>
    <row r="54" spans="1:10">
      <c r="D54" s="16"/>
      <c r="F54" s="17"/>
      <c r="H54" s="16"/>
    </row>
    <row r="55" spans="1:10">
      <c r="D55" s="19"/>
      <c r="H55" s="17"/>
    </row>
    <row r="56" spans="1:10">
      <c r="F56" s="17"/>
      <c r="H56" s="17"/>
    </row>
    <row r="57" spans="1:10">
      <c r="H57" s="17"/>
      <c r="J57" s="17"/>
    </row>
    <row r="59" spans="1:10">
      <c r="H59" s="17"/>
    </row>
  </sheetData>
  <pageMargins left="0.5" right="0.25" top="0.55000000000000004" bottom="0.8" header="0.35" footer="0.5"/>
  <pageSetup scale="53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58"/>
  <sheetViews>
    <sheetView topLeftCell="D5" workbookViewId="0">
      <selection activeCell="M35" sqref="M35"/>
    </sheetView>
  </sheetViews>
  <sheetFormatPr baseColWidth="10" defaultColWidth="8.83203125" defaultRowHeight="13"/>
  <cols>
    <col min="1" max="1" width="19.5" customWidth="1"/>
    <col min="2" max="2" width="14.5" bestFit="1" customWidth="1"/>
    <col min="3" max="3" width="10.83203125" bestFit="1" customWidth="1"/>
    <col min="4" max="4" width="10.33203125" bestFit="1" customWidth="1"/>
    <col min="5" max="5" width="7.6640625" customWidth="1"/>
    <col min="6" max="6" width="12.33203125" bestFit="1" customWidth="1"/>
    <col min="7" max="7" width="10.33203125" bestFit="1" customWidth="1"/>
    <col min="8" max="8" width="13.6640625" bestFit="1" customWidth="1"/>
    <col min="9" max="10" width="7.6640625" customWidth="1"/>
    <col min="11" max="11" width="11.5" bestFit="1" customWidth="1"/>
    <col min="13" max="13" width="11.3320312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109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21">
        <v>441.6</v>
      </c>
      <c r="C6" s="21"/>
      <c r="D6" s="21"/>
      <c r="E6" s="21"/>
      <c r="F6" s="21"/>
      <c r="G6" s="21"/>
      <c r="H6" s="21"/>
      <c r="I6" s="21"/>
      <c r="J6" s="21"/>
    </row>
    <row r="7" spans="1:18">
      <c r="A7" t="s">
        <v>9</v>
      </c>
      <c r="B7" s="21">
        <v>612.49</v>
      </c>
      <c r="C7" s="21"/>
      <c r="D7" s="21"/>
      <c r="E7" s="21"/>
      <c r="F7" s="21"/>
      <c r="G7" s="21"/>
      <c r="H7" s="21"/>
      <c r="I7" s="21"/>
      <c r="J7" s="21"/>
    </row>
    <row r="8" spans="1:18">
      <c r="A8" t="s">
        <v>72</v>
      </c>
      <c r="B8" s="21">
        <v>837.59</v>
      </c>
      <c r="C8" s="21"/>
      <c r="D8" s="21"/>
      <c r="E8" s="21"/>
      <c r="F8" s="21"/>
      <c r="G8" s="21"/>
      <c r="H8" s="21"/>
      <c r="I8" s="21"/>
      <c r="J8" s="21"/>
    </row>
    <row r="9" spans="1:18">
      <c r="A9" t="s">
        <v>62</v>
      </c>
      <c r="B9" s="21"/>
      <c r="C9" s="21"/>
      <c r="D9" s="21"/>
      <c r="E9" s="21"/>
      <c r="F9" s="21"/>
      <c r="G9" s="21"/>
      <c r="H9" s="21"/>
      <c r="I9" s="21">
        <v>700.81</v>
      </c>
      <c r="J9" s="21"/>
    </row>
    <row r="10" spans="1:18">
      <c r="A10" t="s">
        <v>12</v>
      </c>
      <c r="B10" s="21"/>
      <c r="C10" s="21"/>
      <c r="D10" s="21"/>
      <c r="E10" s="21"/>
      <c r="F10" s="21"/>
      <c r="G10" s="21">
        <v>732.4</v>
      </c>
      <c r="H10" s="21"/>
      <c r="I10" s="21"/>
      <c r="J10" s="21"/>
    </row>
    <row r="11" spans="1:18">
      <c r="A11" t="s">
        <v>48</v>
      </c>
      <c r="B11" s="21"/>
      <c r="C11" s="21">
        <v>376.25</v>
      </c>
      <c r="D11" s="21"/>
      <c r="E11" s="21"/>
      <c r="F11" s="21"/>
      <c r="G11" s="21"/>
      <c r="H11" s="21"/>
      <c r="I11" s="21"/>
      <c r="J11" s="21"/>
    </row>
    <row r="12" spans="1:18">
      <c r="A12" s="25" t="s">
        <v>84</v>
      </c>
      <c r="B12" s="26"/>
      <c r="C12" s="26"/>
      <c r="D12" s="26"/>
      <c r="E12" s="27">
        <v>1103.3</v>
      </c>
      <c r="F12" s="21"/>
      <c r="G12" s="21"/>
      <c r="H12" s="21"/>
      <c r="I12" s="21"/>
      <c r="J12" s="21"/>
    </row>
    <row r="13" spans="1:18">
      <c r="A13" t="s">
        <v>50</v>
      </c>
      <c r="B13" s="21"/>
      <c r="C13" s="21"/>
      <c r="D13" s="21"/>
      <c r="E13" s="21"/>
      <c r="F13" s="21"/>
      <c r="G13" s="21"/>
      <c r="H13" s="21"/>
      <c r="I13" s="21">
        <v>1059.83</v>
      </c>
      <c r="J13" s="21"/>
    </row>
    <row r="14" spans="1:18">
      <c r="A14" s="5" t="s">
        <v>13</v>
      </c>
      <c r="B14" s="21"/>
      <c r="C14" s="21"/>
      <c r="D14" s="21"/>
      <c r="E14" s="21"/>
      <c r="F14" s="21">
        <v>1059.83</v>
      </c>
      <c r="G14" s="21"/>
      <c r="H14" s="21"/>
      <c r="I14" s="21"/>
      <c r="J14" s="21"/>
      <c r="R14" t="s">
        <v>14</v>
      </c>
    </row>
    <row r="15" spans="1:18">
      <c r="A15" s="5" t="s">
        <v>15</v>
      </c>
      <c r="B15" s="21">
        <v>874.93</v>
      </c>
      <c r="C15" s="21"/>
      <c r="D15" s="21"/>
      <c r="E15" s="21"/>
      <c r="F15" s="21"/>
      <c r="G15" s="21"/>
      <c r="H15" s="21"/>
      <c r="I15" s="21"/>
      <c r="J15" s="21"/>
    </row>
    <row r="16" spans="1:18">
      <c r="A16" t="s">
        <v>85</v>
      </c>
      <c r="B16" s="21"/>
      <c r="C16" s="21"/>
      <c r="D16" s="21"/>
      <c r="E16" s="21"/>
      <c r="F16" s="21"/>
      <c r="G16" s="21"/>
      <c r="H16" s="21"/>
      <c r="I16" s="21"/>
      <c r="J16" s="21">
        <v>669.57</v>
      </c>
    </row>
    <row r="17" spans="1:10">
      <c r="A17" t="s">
        <v>69</v>
      </c>
      <c r="B17" s="21"/>
      <c r="C17" s="21"/>
      <c r="D17" s="21"/>
      <c r="E17" s="21">
        <v>475.7</v>
      </c>
      <c r="F17" s="21"/>
      <c r="G17" s="21"/>
      <c r="H17" s="21"/>
      <c r="I17" s="21"/>
      <c r="J17" s="21"/>
    </row>
    <row r="18" spans="1:10">
      <c r="A18" t="s">
        <v>18</v>
      </c>
      <c r="B18" s="21"/>
      <c r="C18" s="21"/>
      <c r="D18" s="21"/>
      <c r="E18" s="21"/>
      <c r="F18" s="21"/>
      <c r="G18" s="21"/>
      <c r="H18" s="21"/>
      <c r="I18" s="21"/>
      <c r="J18" s="21">
        <v>641.21</v>
      </c>
    </row>
    <row r="19" spans="1:10">
      <c r="A19" t="s">
        <v>86</v>
      </c>
      <c r="B19" s="21"/>
      <c r="C19" s="21"/>
      <c r="D19" s="21"/>
      <c r="E19" s="21">
        <v>934.53</v>
      </c>
      <c r="F19" s="21"/>
      <c r="G19" s="21"/>
      <c r="H19" s="21"/>
      <c r="I19" s="21"/>
      <c r="J19" s="21"/>
    </row>
    <row r="20" spans="1:10">
      <c r="A20" t="s">
        <v>21</v>
      </c>
      <c r="B20" s="21"/>
      <c r="C20" s="21"/>
      <c r="D20" s="21">
        <v>732.4</v>
      </c>
      <c r="E20" s="21"/>
      <c r="F20" s="21"/>
      <c r="G20" s="21"/>
      <c r="H20" s="21"/>
      <c r="I20" s="21"/>
      <c r="J20" s="21"/>
    </row>
    <row r="21" spans="1:10">
      <c r="A21" t="s">
        <v>87</v>
      </c>
      <c r="B21" s="21"/>
      <c r="C21" s="21"/>
      <c r="D21" s="21"/>
      <c r="E21" s="21"/>
      <c r="F21" s="21"/>
      <c r="G21" s="21"/>
      <c r="H21" s="21"/>
      <c r="I21" s="21"/>
      <c r="J21" s="21">
        <v>1077.06</v>
      </c>
    </row>
    <row r="22" spans="1:10">
      <c r="A22" t="s">
        <v>23</v>
      </c>
      <c r="B22" s="21"/>
      <c r="C22" s="21"/>
      <c r="D22" s="21"/>
      <c r="E22" s="21"/>
      <c r="F22" s="21">
        <v>538.53</v>
      </c>
      <c r="G22" s="21"/>
      <c r="H22" s="21"/>
      <c r="I22" s="21"/>
      <c r="J22" s="21"/>
    </row>
    <row r="23" spans="1:10">
      <c r="A23" t="s">
        <v>63</v>
      </c>
      <c r="B23" s="21">
        <v>475.7</v>
      </c>
      <c r="C23" s="21"/>
      <c r="D23" s="21"/>
      <c r="E23" s="21"/>
      <c r="F23" s="21"/>
      <c r="G23" s="21"/>
      <c r="H23" s="21"/>
      <c r="I23" s="21"/>
      <c r="J23" s="21"/>
    </row>
    <row r="24" spans="1:10">
      <c r="A24" t="s">
        <v>88</v>
      </c>
      <c r="B24" s="21"/>
      <c r="C24" s="21"/>
      <c r="D24" s="21"/>
      <c r="E24" s="21"/>
      <c r="F24" s="21"/>
      <c r="G24" s="21">
        <v>800.62</v>
      </c>
      <c r="H24" s="21"/>
      <c r="I24" s="21"/>
      <c r="J24" s="21"/>
    </row>
    <row r="25" spans="1:10">
      <c r="A25" t="s">
        <v>25</v>
      </c>
      <c r="B25" s="21"/>
      <c r="C25" s="21"/>
      <c r="D25" s="21">
        <v>475.7</v>
      </c>
      <c r="E25" s="21"/>
      <c r="F25" s="21"/>
      <c r="G25" s="21"/>
      <c r="H25" s="21"/>
      <c r="I25" s="21"/>
      <c r="J25" s="21"/>
    </row>
    <row r="26" spans="1:10">
      <c r="A26" t="s">
        <v>89</v>
      </c>
      <c r="B26" s="21"/>
      <c r="C26" s="21"/>
      <c r="D26" s="21"/>
      <c r="E26" s="23">
        <v>441.6</v>
      </c>
      <c r="F26" s="21"/>
      <c r="G26" s="21"/>
      <c r="H26" s="21"/>
      <c r="I26" s="21"/>
      <c r="J26" s="21"/>
    </row>
    <row r="27" spans="1:10">
      <c r="A27" t="s">
        <v>27</v>
      </c>
      <c r="B27" s="21"/>
      <c r="C27" s="21"/>
      <c r="D27" s="21"/>
      <c r="E27" s="21"/>
      <c r="F27" s="21"/>
      <c r="G27" s="21">
        <v>1077.06</v>
      </c>
      <c r="H27" s="21"/>
      <c r="I27" s="21"/>
      <c r="J27" s="21"/>
    </row>
    <row r="28" spans="1:10">
      <c r="A28" t="s">
        <v>104</v>
      </c>
      <c r="B28" s="21"/>
      <c r="C28" s="28">
        <v>837.59</v>
      </c>
      <c r="D28" s="21"/>
      <c r="E28" s="21"/>
      <c r="F28" s="21"/>
      <c r="G28" s="21"/>
      <c r="H28" s="21"/>
      <c r="I28" s="21"/>
      <c r="J28" s="21"/>
    </row>
    <row r="29" spans="1:10">
      <c r="A29" t="s">
        <v>90</v>
      </c>
      <c r="B29" s="21"/>
      <c r="C29" s="21"/>
      <c r="D29" s="21"/>
      <c r="E29" s="21"/>
      <c r="F29" s="21"/>
      <c r="G29" s="21"/>
      <c r="H29" s="21">
        <v>641.21</v>
      </c>
      <c r="I29" s="21"/>
      <c r="J29" s="21"/>
    </row>
    <row r="30" spans="1:10">
      <c r="A30" t="s">
        <v>41</v>
      </c>
      <c r="B30" s="21"/>
      <c r="C30" s="21"/>
      <c r="D30" s="21"/>
      <c r="E30" s="21"/>
      <c r="F30" s="21"/>
      <c r="G30" s="21"/>
      <c r="H30" s="21"/>
      <c r="I30" s="21">
        <v>1059.83</v>
      </c>
      <c r="J30" s="21"/>
    </row>
    <row r="31" spans="1:10">
      <c r="A31" t="s">
        <v>31</v>
      </c>
      <c r="B31" s="21"/>
      <c r="C31" s="21"/>
      <c r="D31" s="21"/>
      <c r="E31" s="21">
        <v>934.53</v>
      </c>
      <c r="F31" s="21"/>
      <c r="G31" s="21"/>
      <c r="H31" s="21"/>
      <c r="I31" s="21"/>
      <c r="J31" s="21"/>
    </row>
    <row r="32" spans="1:10">
      <c r="A32" t="s">
        <v>80</v>
      </c>
      <c r="B32" s="21"/>
      <c r="C32" s="21">
        <v>641.21</v>
      </c>
      <c r="D32" s="21"/>
      <c r="E32" s="21"/>
      <c r="F32" s="21"/>
      <c r="G32" s="21"/>
      <c r="H32" s="21"/>
      <c r="I32" s="21"/>
      <c r="J32" s="21"/>
    </row>
    <row r="33" spans="1:13">
      <c r="A33" t="s">
        <v>54</v>
      </c>
      <c r="B33" s="21"/>
      <c r="C33" s="21"/>
      <c r="D33" s="21"/>
      <c r="E33" s="21"/>
      <c r="F33" s="21"/>
      <c r="G33" s="21"/>
      <c r="H33" s="21"/>
      <c r="I33" s="21">
        <v>416.1</v>
      </c>
      <c r="J33" s="21"/>
    </row>
    <row r="34" spans="1:13">
      <c r="A34" t="s">
        <v>33</v>
      </c>
      <c r="B34" s="21"/>
      <c r="C34" s="21"/>
      <c r="D34" s="21"/>
      <c r="E34" s="21"/>
      <c r="F34" s="21">
        <v>458.83</v>
      </c>
      <c r="G34" s="21"/>
      <c r="H34" s="21"/>
      <c r="I34" s="21"/>
      <c r="J34" s="21"/>
    </row>
    <row r="35" spans="1:13">
      <c r="A35" t="s">
        <v>78</v>
      </c>
      <c r="B35" s="21">
        <v>435.85</v>
      </c>
      <c r="C35" s="21"/>
      <c r="D35" s="21"/>
      <c r="E35" s="21"/>
      <c r="F35" s="21"/>
      <c r="G35" s="21"/>
      <c r="H35" s="21"/>
      <c r="I35" s="21"/>
      <c r="J35" s="21"/>
    </row>
    <row r="36" spans="1:13">
      <c r="A36" t="s">
        <v>34</v>
      </c>
      <c r="B36" s="21"/>
      <c r="C36" s="21"/>
      <c r="D36" s="21"/>
      <c r="E36" s="21"/>
      <c r="F36" s="21"/>
      <c r="G36" s="21"/>
      <c r="H36" s="21">
        <v>561.15</v>
      </c>
      <c r="I36" s="21"/>
      <c r="J36" s="21"/>
    </row>
    <row r="37" spans="1:13">
      <c r="A37" t="s">
        <v>91</v>
      </c>
      <c r="B37" s="21"/>
      <c r="C37" s="21">
        <v>401.74</v>
      </c>
      <c r="D37" s="21"/>
      <c r="E37" s="21"/>
      <c r="F37" s="21"/>
      <c r="G37" s="21"/>
      <c r="H37" s="21"/>
      <c r="I37" s="21"/>
      <c r="J37" s="21"/>
    </row>
    <row r="38" spans="1:13">
      <c r="A38" t="s">
        <v>92</v>
      </c>
      <c r="B38" s="21"/>
      <c r="C38" s="21"/>
      <c r="D38" s="21"/>
      <c r="E38" s="21"/>
      <c r="F38" s="21"/>
      <c r="G38" s="21"/>
      <c r="H38" s="21">
        <v>766.51</v>
      </c>
      <c r="I38" s="21"/>
      <c r="J38" s="21"/>
    </row>
    <row r="39" spans="1:13">
      <c r="A39" t="s">
        <v>36</v>
      </c>
      <c r="B39" s="23"/>
      <c r="C39" s="21"/>
      <c r="D39" s="21"/>
      <c r="E39" s="21"/>
      <c r="F39" s="21"/>
      <c r="G39" s="21"/>
      <c r="H39" s="21"/>
      <c r="I39" s="21"/>
      <c r="J39" s="21"/>
    </row>
    <row r="40" spans="1:13">
      <c r="A40" s="6" t="s">
        <v>37</v>
      </c>
      <c r="B40" s="24">
        <f>SUM(B6:B39)</f>
        <v>3678.16</v>
      </c>
      <c r="C40" s="24">
        <f t="shared" ref="C40:J40" si="0">SUM(C6:C39)</f>
        <v>2256.79</v>
      </c>
      <c r="D40" s="24">
        <f t="shared" si="0"/>
        <v>1208.0999999999999</v>
      </c>
      <c r="E40" s="24">
        <f t="shared" si="0"/>
        <v>3889.66</v>
      </c>
      <c r="F40" s="24">
        <f t="shared" si="0"/>
        <v>2057.19</v>
      </c>
      <c r="G40" s="24">
        <f t="shared" si="0"/>
        <v>2610.08</v>
      </c>
      <c r="H40" s="24">
        <f t="shared" si="0"/>
        <v>1968.8700000000001</v>
      </c>
      <c r="I40" s="24">
        <f t="shared" si="0"/>
        <v>3236.5699999999997</v>
      </c>
      <c r="J40" s="24">
        <f t="shared" si="0"/>
        <v>2387.84</v>
      </c>
      <c r="K40" s="8">
        <f>SUM(B40:J40)</f>
        <v>23293.26</v>
      </c>
      <c r="M40" s="15"/>
    </row>
    <row r="41" spans="1:13">
      <c r="A41" s="9"/>
      <c r="B41" s="7" t="s">
        <v>38</v>
      </c>
      <c r="C41" s="7" t="s">
        <v>2</v>
      </c>
      <c r="D41" s="7" t="s">
        <v>3</v>
      </c>
      <c r="E41" s="7" t="s">
        <v>4</v>
      </c>
      <c r="F41" s="7" t="s">
        <v>5</v>
      </c>
      <c r="G41" s="7" t="s">
        <v>6</v>
      </c>
      <c r="H41" s="7" t="s">
        <v>7</v>
      </c>
      <c r="I41" s="7" t="s">
        <v>52</v>
      </c>
      <c r="J41" s="7" t="s">
        <v>8</v>
      </c>
      <c r="K41" s="10" t="s">
        <v>37</v>
      </c>
    </row>
    <row r="44" spans="1:13">
      <c r="A44">
        <f>COUNTA(A6:A38)</f>
        <v>33</v>
      </c>
    </row>
    <row r="46" spans="1:13">
      <c r="A46" t="s">
        <v>110</v>
      </c>
      <c r="G46" s="3"/>
    </row>
    <row r="47" spans="1:13">
      <c r="B47" s="16"/>
      <c r="C47" s="16"/>
      <c r="D47" s="16"/>
      <c r="F47" s="19"/>
      <c r="G47" s="19"/>
      <c r="H47" s="16"/>
    </row>
    <row r="48" spans="1:13">
      <c r="B48" s="16"/>
      <c r="C48" s="16"/>
      <c r="D48" s="16"/>
      <c r="F48" s="16"/>
      <c r="G48" s="16"/>
      <c r="H48" s="16"/>
    </row>
    <row r="49" spans="2:10">
      <c r="B49" s="16"/>
      <c r="C49" s="16"/>
      <c r="D49" s="16"/>
      <c r="F49" s="16"/>
      <c r="G49" s="16"/>
      <c r="H49" s="20"/>
    </row>
    <row r="50" spans="2:10">
      <c r="B50" s="16"/>
      <c r="C50" s="16"/>
      <c r="D50" s="16"/>
      <c r="F50" s="16"/>
      <c r="G50" s="16"/>
      <c r="H50" s="16"/>
    </row>
    <row r="51" spans="2:10">
      <c r="C51" s="17"/>
      <c r="F51" s="17"/>
      <c r="H51" s="18"/>
    </row>
    <row r="52" spans="2:10">
      <c r="D52" s="16"/>
      <c r="H52" s="17"/>
    </row>
    <row r="53" spans="2:10">
      <c r="D53" s="16"/>
      <c r="F53" s="17"/>
      <c r="H53" s="16"/>
    </row>
    <row r="54" spans="2:10">
      <c r="D54" s="19"/>
      <c r="H54" s="17"/>
    </row>
    <row r="55" spans="2:10">
      <c r="F55" s="17"/>
      <c r="H55" s="17"/>
    </row>
    <row r="56" spans="2:10">
      <c r="H56" s="17"/>
      <c r="J56" s="17"/>
    </row>
    <row r="58" spans="2:10">
      <c r="H58" s="17"/>
    </row>
  </sheetData>
  <phoneticPr fontId="6" type="noConversion"/>
  <pageMargins left="0.5" right="0.25" top="0.55000000000000004" bottom="0.8" header="0.35" footer="0.5"/>
  <pageSetup scale="65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58"/>
  <sheetViews>
    <sheetView topLeftCell="H22"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19.5" customWidth="1"/>
    <col min="2" max="2" width="14.5" bestFit="1" customWidth="1"/>
    <col min="3" max="3" width="10.83203125" bestFit="1" customWidth="1"/>
    <col min="4" max="4" width="10.33203125" bestFit="1" customWidth="1"/>
    <col min="5" max="5" width="8.1640625" bestFit="1" customWidth="1"/>
    <col min="6" max="6" width="12.33203125" bestFit="1" customWidth="1"/>
    <col min="7" max="7" width="10.33203125" bestFit="1" customWidth="1"/>
    <col min="8" max="8" width="13.6640625" bestFit="1" customWidth="1"/>
    <col min="9" max="10" width="8.1640625" bestFit="1" customWidth="1"/>
    <col min="11" max="12" width="12.164062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111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21">
        <v>441.6</v>
      </c>
      <c r="C6" s="21"/>
      <c r="D6" s="21"/>
      <c r="E6" s="21"/>
      <c r="F6" s="21"/>
      <c r="G6" s="21"/>
      <c r="H6" s="21"/>
      <c r="I6" s="21"/>
      <c r="J6" s="21"/>
    </row>
    <row r="7" spans="1:18">
      <c r="A7" t="s">
        <v>9</v>
      </c>
      <c r="B7" s="21">
        <v>612.49</v>
      </c>
      <c r="C7" s="21"/>
      <c r="D7" s="21"/>
      <c r="E7" s="21"/>
      <c r="F7" s="21"/>
      <c r="G7" s="21"/>
      <c r="H7" s="21"/>
      <c r="I7" s="21"/>
      <c r="J7" s="21"/>
    </row>
    <row r="8" spans="1:18">
      <c r="A8" t="s">
        <v>72</v>
      </c>
      <c r="B8" s="21">
        <v>837.59</v>
      </c>
      <c r="C8" s="21"/>
      <c r="D8" s="21"/>
      <c r="E8" s="21"/>
      <c r="F8" s="21"/>
      <c r="G8" s="21"/>
      <c r="H8" s="21"/>
      <c r="I8" s="21"/>
      <c r="J8" s="21"/>
    </row>
    <row r="9" spans="1:18">
      <c r="A9" t="s">
        <v>62</v>
      </c>
      <c r="B9" s="21"/>
      <c r="C9" s="21"/>
      <c r="D9" s="21"/>
      <c r="E9" s="21"/>
      <c r="F9" s="21"/>
      <c r="G9" s="21"/>
      <c r="H9" s="21"/>
      <c r="I9" s="21">
        <v>700.81</v>
      </c>
      <c r="J9" s="21"/>
    </row>
    <row r="10" spans="1:18">
      <c r="A10" t="s">
        <v>12</v>
      </c>
      <c r="B10" s="21"/>
      <c r="C10" s="21"/>
      <c r="D10" s="21"/>
      <c r="E10" s="21"/>
      <c r="F10" s="21"/>
      <c r="G10" s="21">
        <v>732.4</v>
      </c>
      <c r="H10" s="21"/>
      <c r="I10" s="21"/>
      <c r="J10" s="21"/>
    </row>
    <row r="11" spans="1:18">
      <c r="A11" t="s">
        <v>48</v>
      </c>
      <c r="B11" s="21"/>
      <c r="C11" s="21">
        <v>376.25</v>
      </c>
      <c r="D11" s="21"/>
      <c r="E11" s="21"/>
      <c r="F11" s="21"/>
      <c r="G11" s="21"/>
      <c r="H11" s="21"/>
      <c r="I11" s="21"/>
      <c r="J11" s="21"/>
    </row>
    <row r="12" spans="1:18">
      <c r="A12" s="25" t="s">
        <v>84</v>
      </c>
      <c r="B12" s="26"/>
      <c r="C12" s="26"/>
      <c r="D12" s="26"/>
      <c r="E12" s="27">
        <v>1103.3</v>
      </c>
      <c r="F12" s="21"/>
      <c r="G12" s="21"/>
      <c r="H12" s="21"/>
      <c r="I12" s="21"/>
      <c r="J12" s="21"/>
    </row>
    <row r="13" spans="1:18">
      <c r="A13" t="s">
        <v>50</v>
      </c>
      <c r="B13" s="21"/>
      <c r="C13" s="21"/>
      <c r="D13" s="21"/>
      <c r="E13" s="21"/>
      <c r="F13" s="21"/>
      <c r="G13" s="21"/>
      <c r="H13" s="21"/>
      <c r="I13" s="21">
        <v>1059.83</v>
      </c>
      <c r="J13" s="21"/>
    </row>
    <row r="14" spans="1:18">
      <c r="A14" s="5" t="s">
        <v>13</v>
      </c>
      <c r="B14" s="21"/>
      <c r="C14" s="21"/>
      <c r="D14" s="21"/>
      <c r="E14" s="21"/>
      <c r="F14" s="21">
        <v>1059.83</v>
      </c>
      <c r="G14" s="21"/>
      <c r="H14" s="21"/>
      <c r="I14" s="21"/>
      <c r="J14" s="21"/>
      <c r="R14" t="s">
        <v>14</v>
      </c>
    </row>
    <row r="15" spans="1:18">
      <c r="A15" s="5" t="s">
        <v>15</v>
      </c>
      <c r="B15" s="21">
        <v>874.93</v>
      </c>
      <c r="C15" s="21"/>
      <c r="D15" s="21"/>
      <c r="E15" s="21"/>
      <c r="F15" s="21"/>
      <c r="G15" s="21"/>
      <c r="H15" s="21"/>
      <c r="I15" s="21"/>
      <c r="J15" s="21"/>
    </row>
    <row r="16" spans="1:18">
      <c r="A16" t="s">
        <v>85</v>
      </c>
      <c r="B16" s="21"/>
      <c r="C16" s="21"/>
      <c r="D16" s="21"/>
      <c r="E16" s="21"/>
      <c r="F16" s="21"/>
      <c r="G16" s="21"/>
      <c r="H16" s="21"/>
      <c r="I16" s="21"/>
      <c r="J16" s="21">
        <v>669.57</v>
      </c>
    </row>
    <row r="17" spans="1:10">
      <c r="A17" t="s">
        <v>69</v>
      </c>
      <c r="B17" s="21"/>
      <c r="C17" s="21"/>
      <c r="D17" s="21"/>
      <c r="E17" s="21">
        <v>475.7</v>
      </c>
      <c r="F17" s="21"/>
      <c r="G17" s="21"/>
      <c r="H17" s="21"/>
      <c r="I17" s="21"/>
      <c r="J17" s="21"/>
    </row>
    <row r="18" spans="1:10">
      <c r="A18" t="s">
        <v>18</v>
      </c>
      <c r="B18" s="21"/>
      <c r="C18" s="21"/>
      <c r="D18" s="21"/>
      <c r="E18" s="21"/>
      <c r="F18" s="21"/>
      <c r="G18" s="21"/>
      <c r="H18" s="21"/>
      <c r="I18" s="21"/>
      <c r="J18" s="21">
        <v>641.21</v>
      </c>
    </row>
    <row r="19" spans="1:10">
      <c r="A19" t="s">
        <v>86</v>
      </c>
      <c r="B19" s="21"/>
      <c r="C19" s="21"/>
      <c r="D19" s="21"/>
      <c r="E19" s="21">
        <v>934.53</v>
      </c>
      <c r="F19" s="21"/>
      <c r="G19" s="21"/>
      <c r="H19" s="21"/>
      <c r="I19" s="21"/>
      <c r="J19" s="21"/>
    </row>
    <row r="20" spans="1:10">
      <c r="A20" t="s">
        <v>21</v>
      </c>
      <c r="B20" s="21"/>
      <c r="C20" s="21"/>
      <c r="D20" s="21">
        <v>732.4</v>
      </c>
      <c r="E20" s="21"/>
      <c r="F20" s="21"/>
      <c r="G20" s="21"/>
      <c r="H20" s="21"/>
      <c r="I20" s="21"/>
      <c r="J20" s="21"/>
    </row>
    <row r="21" spans="1:10">
      <c r="A21" t="s">
        <v>87</v>
      </c>
      <c r="B21" s="21"/>
      <c r="C21" s="21"/>
      <c r="D21" s="21"/>
      <c r="E21" s="21"/>
      <c r="F21" s="21"/>
      <c r="G21" s="21"/>
      <c r="H21" s="21"/>
      <c r="I21" s="21"/>
      <c r="J21" s="21">
        <v>1077.06</v>
      </c>
    </row>
    <row r="22" spans="1:10">
      <c r="A22" t="s">
        <v>23</v>
      </c>
      <c r="B22" s="21"/>
      <c r="C22" s="21"/>
      <c r="D22" s="21"/>
      <c r="E22" s="21"/>
      <c r="F22" s="21">
        <v>538.53</v>
      </c>
      <c r="G22" s="21"/>
      <c r="H22" s="21"/>
      <c r="I22" s="21"/>
      <c r="J22" s="21"/>
    </row>
    <row r="23" spans="1:10">
      <c r="A23" t="s">
        <v>63</v>
      </c>
      <c r="B23" s="21">
        <v>475.7</v>
      </c>
      <c r="C23" s="21"/>
      <c r="D23" s="21"/>
      <c r="E23" s="21"/>
      <c r="F23" s="21"/>
      <c r="G23" s="21"/>
      <c r="H23" s="21"/>
      <c r="I23" s="21"/>
      <c r="J23" s="21"/>
    </row>
    <row r="24" spans="1:10">
      <c r="A24" t="s">
        <v>88</v>
      </c>
      <c r="B24" s="21"/>
      <c r="C24" s="21"/>
      <c r="D24" s="21"/>
      <c r="E24" s="21"/>
      <c r="F24" s="21"/>
      <c r="G24" s="21">
        <v>800.62</v>
      </c>
      <c r="H24" s="21"/>
      <c r="I24" s="21"/>
      <c r="J24" s="21"/>
    </row>
    <row r="25" spans="1:10">
      <c r="A25" t="s">
        <v>25</v>
      </c>
      <c r="B25" s="21"/>
      <c r="C25" s="21"/>
      <c r="D25" s="21">
        <v>475.7</v>
      </c>
      <c r="E25" s="21"/>
      <c r="F25" s="21"/>
      <c r="G25" s="21"/>
      <c r="H25" s="21"/>
      <c r="I25" s="21"/>
      <c r="J25" s="21"/>
    </row>
    <row r="26" spans="1:10">
      <c r="A26" t="s">
        <v>89</v>
      </c>
      <c r="B26" s="21"/>
      <c r="C26" s="21"/>
      <c r="D26" s="21"/>
      <c r="E26" s="23">
        <v>-883.2</v>
      </c>
      <c r="F26" s="21"/>
      <c r="G26" s="21"/>
      <c r="H26" s="21"/>
      <c r="I26" s="21"/>
      <c r="J26" s="21"/>
    </row>
    <row r="27" spans="1:10">
      <c r="A27" t="s">
        <v>27</v>
      </c>
      <c r="B27" s="21"/>
      <c r="C27" s="21"/>
      <c r="D27" s="21"/>
      <c r="E27" s="21"/>
      <c r="F27" s="21"/>
      <c r="G27" s="21">
        <v>1077.06</v>
      </c>
      <c r="H27" s="21"/>
      <c r="I27" s="21"/>
      <c r="J27" s="21"/>
    </row>
    <row r="28" spans="1:10">
      <c r="A28" t="s">
        <v>104</v>
      </c>
      <c r="B28" s="21"/>
      <c r="C28" s="28">
        <v>837.59</v>
      </c>
      <c r="D28" s="21"/>
      <c r="E28" s="21"/>
      <c r="F28" s="21"/>
      <c r="G28" s="21"/>
      <c r="H28" s="21"/>
      <c r="I28" s="21"/>
      <c r="J28" s="21"/>
    </row>
    <row r="29" spans="1:10">
      <c r="A29" t="s">
        <v>90</v>
      </c>
      <c r="B29" s="21"/>
      <c r="C29" s="21"/>
      <c r="D29" s="21"/>
      <c r="E29" s="21"/>
      <c r="F29" s="21"/>
      <c r="G29" s="21"/>
      <c r="H29" s="21">
        <v>641.21</v>
      </c>
      <c r="I29" s="21"/>
      <c r="J29" s="21"/>
    </row>
    <row r="30" spans="1:10">
      <c r="A30" t="s">
        <v>41</v>
      </c>
      <c r="B30" s="21"/>
      <c r="C30" s="21"/>
      <c r="D30" s="21"/>
      <c r="E30" s="21"/>
      <c r="F30" s="21"/>
      <c r="G30" s="21"/>
      <c r="H30" s="21"/>
      <c r="I30" s="21">
        <v>1059.83</v>
      </c>
      <c r="J30" s="21"/>
    </row>
    <row r="31" spans="1:10">
      <c r="A31" t="s">
        <v>31</v>
      </c>
      <c r="B31" s="21"/>
      <c r="C31" s="21"/>
      <c r="D31" s="21"/>
      <c r="E31" s="21">
        <v>934.53</v>
      </c>
      <c r="F31" s="21"/>
      <c r="G31" s="21"/>
      <c r="H31" s="21"/>
      <c r="I31" s="21"/>
      <c r="J31" s="21"/>
    </row>
    <row r="32" spans="1:10">
      <c r="A32" t="s">
        <v>80</v>
      </c>
      <c r="B32" s="21"/>
      <c r="C32" s="21">
        <v>641.21</v>
      </c>
      <c r="D32" s="21"/>
      <c r="E32" s="21"/>
      <c r="F32" s="21"/>
      <c r="G32" s="21"/>
      <c r="H32" s="21"/>
      <c r="I32" s="21"/>
      <c r="J32" s="21"/>
    </row>
    <row r="33" spans="1:13">
      <c r="A33" t="s">
        <v>54</v>
      </c>
      <c r="B33" s="21"/>
      <c r="C33" s="21"/>
      <c r="D33" s="21"/>
      <c r="E33" s="21"/>
      <c r="F33" s="21"/>
      <c r="G33" s="21"/>
      <c r="H33" s="21"/>
      <c r="I33" s="21">
        <v>416.1</v>
      </c>
      <c r="J33" s="21"/>
    </row>
    <row r="34" spans="1:13">
      <c r="A34" t="s">
        <v>33</v>
      </c>
      <c r="B34" s="21"/>
      <c r="C34" s="21"/>
      <c r="D34" s="21"/>
      <c r="E34" s="21"/>
      <c r="F34" s="21">
        <v>458.83</v>
      </c>
      <c r="G34" s="21"/>
      <c r="H34" s="21"/>
      <c r="I34" s="21"/>
      <c r="J34" s="21"/>
    </row>
    <row r="35" spans="1:13">
      <c r="A35" t="s">
        <v>78</v>
      </c>
      <c r="B35" s="21">
        <v>435.85</v>
      </c>
      <c r="C35" s="21"/>
      <c r="D35" s="21"/>
      <c r="E35" s="21"/>
      <c r="F35" s="21"/>
      <c r="G35" s="21"/>
      <c r="H35" s="21"/>
      <c r="I35" s="21"/>
      <c r="J35" s="21"/>
    </row>
    <row r="36" spans="1:13">
      <c r="A36" t="s">
        <v>34</v>
      </c>
      <c r="B36" s="21"/>
      <c r="C36" s="21"/>
      <c r="D36" s="21"/>
      <c r="E36" s="21"/>
      <c r="F36" s="21"/>
      <c r="G36" s="21"/>
      <c r="H36" s="21">
        <v>561.15</v>
      </c>
      <c r="I36" s="21"/>
      <c r="J36" s="21"/>
    </row>
    <row r="37" spans="1:13">
      <c r="A37" t="s">
        <v>91</v>
      </c>
      <c r="B37" s="21"/>
      <c r="C37" s="21">
        <v>401.74</v>
      </c>
      <c r="D37" s="21"/>
      <c r="E37" s="21"/>
      <c r="F37" s="21"/>
      <c r="G37" s="21"/>
      <c r="H37" s="21"/>
      <c r="I37" s="21"/>
      <c r="J37" s="21"/>
    </row>
    <row r="38" spans="1:13">
      <c r="A38" t="s">
        <v>92</v>
      </c>
      <c r="B38" s="21"/>
      <c r="C38" s="21"/>
      <c r="D38" s="21"/>
      <c r="E38" s="21"/>
      <c r="F38" s="21"/>
      <c r="G38" s="21"/>
      <c r="H38" s="21">
        <v>766.51</v>
      </c>
      <c r="I38" s="21"/>
      <c r="J38" s="21"/>
    </row>
    <row r="39" spans="1:13">
      <c r="A39" t="s">
        <v>36</v>
      </c>
      <c r="B39" s="23"/>
      <c r="C39" s="21"/>
      <c r="D39" s="21"/>
      <c r="E39" s="21"/>
      <c r="F39" s="21"/>
      <c r="G39" s="21"/>
      <c r="H39" s="21"/>
      <c r="I39" s="21"/>
      <c r="J39" s="21"/>
    </row>
    <row r="40" spans="1:13">
      <c r="A40" s="6" t="s">
        <v>37</v>
      </c>
      <c r="B40" s="24">
        <f>SUM(B6:B39)</f>
        <v>3678.16</v>
      </c>
      <c r="C40" s="24">
        <f t="shared" ref="C40:J40" si="0">SUM(C6:C39)</f>
        <v>2256.79</v>
      </c>
      <c r="D40" s="24">
        <f t="shared" si="0"/>
        <v>1208.0999999999999</v>
      </c>
      <c r="E40" s="24">
        <f t="shared" si="0"/>
        <v>2564.8599999999997</v>
      </c>
      <c r="F40" s="24">
        <f t="shared" si="0"/>
        <v>2057.19</v>
      </c>
      <c r="G40" s="24">
        <f t="shared" si="0"/>
        <v>2610.08</v>
      </c>
      <c r="H40" s="24">
        <f t="shared" si="0"/>
        <v>1968.8700000000001</v>
      </c>
      <c r="I40" s="24">
        <f t="shared" si="0"/>
        <v>3236.5699999999997</v>
      </c>
      <c r="J40" s="24">
        <f t="shared" si="0"/>
        <v>2387.84</v>
      </c>
      <c r="K40" s="8">
        <f>SUM(B40:J40)</f>
        <v>21968.460000000003</v>
      </c>
      <c r="L40" s="15"/>
      <c r="M40" s="15"/>
    </row>
    <row r="41" spans="1:13">
      <c r="A41" s="9"/>
      <c r="B41" s="7" t="s">
        <v>38</v>
      </c>
      <c r="C41" s="7" t="s">
        <v>2</v>
      </c>
      <c r="D41" s="7" t="s">
        <v>3</v>
      </c>
      <c r="E41" s="7" t="s">
        <v>4</v>
      </c>
      <c r="F41" s="7" t="s">
        <v>5</v>
      </c>
      <c r="G41" s="7" t="s">
        <v>6</v>
      </c>
      <c r="H41" s="7" t="s">
        <v>7</v>
      </c>
      <c r="I41" s="7" t="s">
        <v>52</v>
      </c>
      <c r="J41" s="7" t="s">
        <v>8</v>
      </c>
      <c r="K41" s="10" t="s">
        <v>37</v>
      </c>
    </row>
    <row r="44" spans="1:13">
      <c r="A44">
        <f>COUNTA(A6:A38)</f>
        <v>33</v>
      </c>
    </row>
    <row r="46" spans="1:13">
      <c r="A46" t="s">
        <v>112</v>
      </c>
      <c r="G46" s="3"/>
    </row>
    <row r="47" spans="1:13">
      <c r="B47" s="16"/>
      <c r="C47" s="16"/>
      <c r="D47" s="16"/>
      <c r="F47" s="19"/>
      <c r="G47" s="19"/>
      <c r="H47" s="16"/>
    </row>
    <row r="48" spans="1:13">
      <c r="B48" s="16"/>
      <c r="C48" s="16"/>
      <c r="D48" s="16"/>
      <c r="F48" s="16"/>
      <c r="G48" s="16"/>
      <c r="H48" s="16"/>
    </row>
    <row r="49" spans="2:10">
      <c r="B49" s="16"/>
      <c r="C49" s="16"/>
      <c r="D49" s="16"/>
      <c r="F49" s="16"/>
      <c r="G49" s="16"/>
      <c r="H49" s="20"/>
    </row>
    <row r="50" spans="2:10">
      <c r="B50" s="16"/>
      <c r="C50" s="16"/>
      <c r="D50" s="16"/>
      <c r="F50" s="16"/>
      <c r="G50" s="16"/>
      <c r="H50" s="16"/>
    </row>
    <row r="51" spans="2:10">
      <c r="C51" s="17"/>
      <c r="F51" s="17"/>
      <c r="H51" s="18"/>
    </row>
    <row r="52" spans="2:10">
      <c r="D52" s="16"/>
      <c r="H52" s="17"/>
    </row>
    <row r="53" spans="2:10">
      <c r="D53" s="16"/>
      <c r="F53" s="17"/>
      <c r="H53" s="16"/>
    </row>
    <row r="54" spans="2:10">
      <c r="D54" s="19"/>
      <c r="H54" s="17"/>
    </row>
    <row r="55" spans="2:10">
      <c r="F55" s="17"/>
      <c r="H55" s="17"/>
    </row>
    <row r="56" spans="2:10">
      <c r="H56" s="17"/>
      <c r="J56" s="17"/>
    </row>
    <row r="58" spans="2:10">
      <c r="H58" s="17"/>
    </row>
  </sheetData>
  <phoneticPr fontId="6" type="noConversion"/>
  <pageMargins left="0.5" right="0.25" top="0.55000000000000004" bottom="0.8" header="0.35" footer="0.5"/>
  <pageSetup scale="65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57"/>
  <sheetViews>
    <sheetView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19.5" customWidth="1"/>
    <col min="2" max="2" width="14.5" bestFit="1" customWidth="1"/>
    <col min="3" max="3" width="10.83203125" bestFit="1" customWidth="1"/>
    <col min="4" max="4" width="10.33203125" bestFit="1" customWidth="1"/>
    <col min="5" max="5" width="7.6640625" customWidth="1"/>
    <col min="6" max="6" width="12.33203125" bestFit="1" customWidth="1"/>
    <col min="7" max="7" width="10.33203125" bestFit="1" customWidth="1"/>
    <col min="8" max="8" width="13.6640625" bestFit="1" customWidth="1"/>
    <col min="9" max="9" width="9" customWidth="1"/>
    <col min="10" max="10" width="7.6640625" customWidth="1"/>
    <col min="11" max="11" width="12.83203125" customWidth="1"/>
    <col min="12" max="12" width="12.164062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113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21">
        <v>441.6</v>
      </c>
      <c r="C6" s="21"/>
      <c r="D6" s="21"/>
      <c r="E6" s="21"/>
      <c r="F6" s="21"/>
      <c r="G6" s="21"/>
      <c r="H6" s="21"/>
      <c r="I6" s="21"/>
      <c r="J6" s="21"/>
    </row>
    <row r="7" spans="1:18">
      <c r="A7" t="s">
        <v>9</v>
      </c>
      <c r="B7" s="21">
        <v>612.49</v>
      </c>
      <c r="C7" s="21"/>
      <c r="D7" s="21"/>
      <c r="E7" s="21"/>
      <c r="F7" s="21"/>
      <c r="G7" s="21"/>
      <c r="H7" s="21"/>
      <c r="I7" s="21"/>
      <c r="J7" s="21"/>
    </row>
    <row r="8" spans="1:18">
      <c r="A8" t="s">
        <v>72</v>
      </c>
      <c r="B8" s="21">
        <v>837.59</v>
      </c>
      <c r="C8" s="21"/>
      <c r="D8" s="21"/>
      <c r="E8" s="21"/>
      <c r="F8" s="21"/>
      <c r="G8" s="21"/>
      <c r="H8" s="21"/>
      <c r="I8" s="21"/>
      <c r="J8" s="21"/>
    </row>
    <row r="9" spans="1:18">
      <c r="A9" t="s">
        <v>62</v>
      </c>
      <c r="B9" s="21"/>
      <c r="C9" s="21"/>
      <c r="D9" s="21"/>
      <c r="E9" s="21"/>
      <c r="F9" s="21"/>
      <c r="G9" s="21"/>
      <c r="H9" s="21"/>
      <c r="I9" s="21">
        <v>700.81</v>
      </c>
      <c r="J9" s="21"/>
    </row>
    <row r="10" spans="1:18">
      <c r="A10" t="s">
        <v>12</v>
      </c>
      <c r="B10" s="21"/>
      <c r="C10" s="21"/>
      <c r="D10" s="21"/>
      <c r="E10" s="21"/>
      <c r="F10" s="21"/>
      <c r="G10" s="21">
        <v>732.4</v>
      </c>
      <c r="H10" s="21"/>
      <c r="I10" s="21"/>
      <c r="J10" s="21"/>
    </row>
    <row r="11" spans="1:18">
      <c r="A11" t="s">
        <v>48</v>
      </c>
      <c r="B11" s="21"/>
      <c r="C11" s="21">
        <v>376.25</v>
      </c>
      <c r="D11" s="21"/>
      <c r="E11" s="21"/>
      <c r="F11" s="21"/>
      <c r="G11" s="21"/>
      <c r="H11" s="21"/>
      <c r="I11" s="21"/>
      <c r="J11" s="21"/>
    </row>
    <row r="12" spans="1:18">
      <c r="A12" s="25" t="s">
        <v>84</v>
      </c>
      <c r="B12" s="26"/>
      <c r="C12" s="26"/>
      <c r="D12" s="26"/>
      <c r="E12" s="27">
        <v>1103.3</v>
      </c>
      <c r="F12" s="21"/>
      <c r="G12" s="21"/>
      <c r="H12" s="21"/>
      <c r="I12" s="21"/>
      <c r="J12" s="21"/>
    </row>
    <row r="13" spans="1:18">
      <c r="A13" t="s">
        <v>50</v>
      </c>
      <c r="B13" s="21"/>
      <c r="C13" s="21"/>
      <c r="D13" s="21"/>
      <c r="E13" s="21"/>
      <c r="F13" s="21"/>
      <c r="G13" s="21"/>
      <c r="H13" s="21"/>
      <c r="I13" s="21">
        <v>1059.83</v>
      </c>
      <c r="J13" s="21"/>
    </row>
    <row r="14" spans="1:18">
      <c r="A14" s="5" t="s">
        <v>13</v>
      </c>
      <c r="B14" s="21"/>
      <c r="C14" s="21"/>
      <c r="D14" s="21"/>
      <c r="E14" s="21"/>
      <c r="F14" s="21">
        <v>1059.83</v>
      </c>
      <c r="G14" s="21"/>
      <c r="H14" s="21"/>
      <c r="I14" s="21"/>
      <c r="J14" s="21"/>
      <c r="R14" t="s">
        <v>14</v>
      </c>
    </row>
    <row r="15" spans="1:18">
      <c r="A15" s="5" t="s">
        <v>15</v>
      </c>
      <c r="B15" s="21">
        <v>874.93</v>
      </c>
      <c r="C15" s="21"/>
      <c r="D15" s="21"/>
      <c r="E15" s="21"/>
      <c r="F15" s="21"/>
      <c r="G15" s="21"/>
      <c r="H15" s="21"/>
      <c r="I15" s="21"/>
      <c r="J15" s="21"/>
    </row>
    <row r="16" spans="1:18">
      <c r="A16" t="s">
        <v>85</v>
      </c>
      <c r="B16" s="21"/>
      <c r="C16" s="21"/>
      <c r="D16" s="21"/>
      <c r="E16" s="21"/>
      <c r="F16" s="21"/>
      <c r="G16" s="21"/>
      <c r="H16" s="21"/>
      <c r="I16" s="21"/>
      <c r="J16" s="21">
        <v>669.57</v>
      </c>
    </row>
    <row r="17" spans="1:10">
      <c r="A17" t="s">
        <v>69</v>
      </c>
      <c r="B17" s="21"/>
      <c r="C17" s="21"/>
      <c r="D17" s="21"/>
      <c r="E17" s="21">
        <v>475.7</v>
      </c>
      <c r="F17" s="21"/>
      <c r="G17" s="21"/>
      <c r="H17" s="21"/>
      <c r="I17" s="21"/>
      <c r="J17" s="21"/>
    </row>
    <row r="18" spans="1:10">
      <c r="A18" t="s">
        <v>18</v>
      </c>
      <c r="B18" s="21"/>
      <c r="C18" s="21"/>
      <c r="D18" s="21"/>
      <c r="E18" s="21"/>
      <c r="F18" s="21"/>
      <c r="G18" s="21"/>
      <c r="H18" s="21"/>
      <c r="I18" s="21"/>
      <c r="J18" s="21">
        <v>641.21</v>
      </c>
    </row>
    <row r="19" spans="1:10">
      <c r="A19" t="s">
        <v>86</v>
      </c>
      <c r="B19" s="21"/>
      <c r="C19" s="21"/>
      <c r="D19" s="21"/>
      <c r="E19" s="21">
        <v>934.53</v>
      </c>
      <c r="F19" s="21"/>
      <c r="G19" s="21"/>
      <c r="H19" s="21"/>
      <c r="I19" s="21"/>
      <c r="J19" s="21"/>
    </row>
    <row r="20" spans="1:10">
      <c r="A20" t="s">
        <v>21</v>
      </c>
      <c r="B20" s="21"/>
      <c r="C20" s="21"/>
      <c r="D20" s="21">
        <v>732.4</v>
      </c>
      <c r="E20" s="21"/>
      <c r="F20" s="21"/>
      <c r="G20" s="21"/>
      <c r="H20" s="21"/>
      <c r="I20" s="21"/>
      <c r="J20" s="21"/>
    </row>
    <row r="21" spans="1:10">
      <c r="A21" t="s">
        <v>87</v>
      </c>
      <c r="B21" s="21"/>
      <c r="C21" s="21"/>
      <c r="D21" s="21"/>
      <c r="E21" s="21"/>
      <c r="F21" s="21"/>
      <c r="G21" s="21"/>
      <c r="H21" s="21"/>
      <c r="I21" s="21"/>
      <c r="J21" s="21">
        <v>1077.06</v>
      </c>
    </row>
    <row r="22" spans="1:10">
      <c r="A22" t="s">
        <v>23</v>
      </c>
      <c r="B22" s="21"/>
      <c r="C22" s="21"/>
      <c r="D22" s="21"/>
      <c r="E22" s="21"/>
      <c r="F22" s="21">
        <v>538.53</v>
      </c>
      <c r="G22" s="21"/>
      <c r="H22" s="21"/>
      <c r="I22" s="21"/>
      <c r="J22" s="21"/>
    </row>
    <row r="23" spans="1:10">
      <c r="A23" t="s">
        <v>63</v>
      </c>
      <c r="B23" s="21">
        <v>475.7</v>
      </c>
      <c r="C23" s="21"/>
      <c r="D23" s="21"/>
      <c r="E23" s="21"/>
      <c r="F23" s="21"/>
      <c r="G23" s="21"/>
      <c r="H23" s="21"/>
      <c r="I23" s="21"/>
      <c r="J23" s="21"/>
    </row>
    <row r="24" spans="1:10">
      <c r="A24" t="s">
        <v>88</v>
      </c>
      <c r="B24" s="21"/>
      <c r="C24" s="21"/>
      <c r="D24" s="21"/>
      <c r="E24" s="21"/>
      <c r="F24" s="21"/>
      <c r="G24" s="21">
        <v>800.62</v>
      </c>
      <c r="H24" s="21"/>
      <c r="I24" s="21"/>
      <c r="J24" s="21"/>
    </row>
    <row r="25" spans="1:10">
      <c r="A25" t="s">
        <v>25</v>
      </c>
      <c r="B25" s="21"/>
      <c r="C25" s="21"/>
      <c r="D25" s="21">
        <v>475.7</v>
      </c>
      <c r="E25" s="21"/>
      <c r="F25" s="21"/>
      <c r="G25" s="21"/>
      <c r="H25" s="21"/>
      <c r="I25" s="21"/>
      <c r="J25" s="21"/>
    </row>
    <row r="26" spans="1:10">
      <c r="A26" t="s">
        <v>27</v>
      </c>
      <c r="B26" s="21"/>
      <c r="C26" s="21"/>
      <c r="D26" s="21"/>
      <c r="E26" s="21"/>
      <c r="F26" s="21"/>
      <c r="G26" s="21">
        <v>1077.06</v>
      </c>
      <c r="H26" s="21"/>
      <c r="I26" s="21"/>
      <c r="J26" s="21"/>
    </row>
    <row r="27" spans="1:10">
      <c r="A27" t="s">
        <v>104</v>
      </c>
      <c r="B27" s="21"/>
      <c r="C27" s="28">
        <v>837.59</v>
      </c>
      <c r="D27" s="21"/>
      <c r="E27" s="21"/>
      <c r="F27" s="21"/>
      <c r="G27" s="21"/>
      <c r="H27" s="21"/>
      <c r="I27" s="21"/>
      <c r="J27" s="21"/>
    </row>
    <row r="28" spans="1:10">
      <c r="A28" t="s">
        <v>90</v>
      </c>
      <c r="B28" s="21"/>
      <c r="C28" s="21"/>
      <c r="D28" s="21"/>
      <c r="E28" s="21"/>
      <c r="F28" s="21"/>
      <c r="G28" s="21"/>
      <c r="H28" s="21">
        <v>641.21</v>
      </c>
      <c r="I28" s="21"/>
      <c r="J28" s="21"/>
    </row>
    <row r="29" spans="1:10">
      <c r="A29" t="s">
        <v>41</v>
      </c>
      <c r="B29" s="21"/>
      <c r="C29" s="21"/>
      <c r="D29" s="21"/>
      <c r="E29" s="21"/>
      <c r="F29" s="21"/>
      <c r="G29" s="21"/>
      <c r="H29" s="21"/>
      <c r="I29" s="21">
        <v>1059.83</v>
      </c>
      <c r="J29" s="21"/>
    </row>
    <row r="30" spans="1:10">
      <c r="A30" t="s">
        <v>31</v>
      </c>
      <c r="B30" s="21"/>
      <c r="C30" s="21"/>
      <c r="D30" s="21"/>
      <c r="E30" s="21">
        <v>934.53</v>
      </c>
      <c r="F30" s="21"/>
      <c r="G30" s="21"/>
      <c r="H30" s="21"/>
      <c r="I30" s="21"/>
      <c r="J30" s="21"/>
    </row>
    <row r="31" spans="1:10">
      <c r="A31" t="s">
        <v>80</v>
      </c>
      <c r="B31" s="21"/>
      <c r="C31" s="21">
        <v>641.21</v>
      </c>
      <c r="D31" s="21"/>
      <c r="E31" s="21"/>
      <c r="F31" s="21"/>
      <c r="G31" s="21"/>
      <c r="H31" s="21"/>
      <c r="I31" s="21"/>
      <c r="J31" s="21"/>
    </row>
    <row r="32" spans="1:10">
      <c r="A32" t="s">
        <v>54</v>
      </c>
      <c r="B32" s="21"/>
      <c r="C32" s="21"/>
      <c r="D32" s="21"/>
      <c r="E32" s="21"/>
      <c r="F32" s="21"/>
      <c r="G32" s="21"/>
      <c r="H32" s="21"/>
      <c r="I32" s="23">
        <v>-416.1</v>
      </c>
      <c r="J32" s="21"/>
    </row>
    <row r="33" spans="1:13">
      <c r="A33" t="s">
        <v>33</v>
      </c>
      <c r="B33" s="21"/>
      <c r="C33" s="21"/>
      <c r="D33" s="21"/>
      <c r="E33" s="21"/>
      <c r="F33" s="21">
        <v>458.83</v>
      </c>
      <c r="G33" s="21"/>
      <c r="H33" s="21"/>
      <c r="I33" s="21"/>
      <c r="J33" s="21"/>
    </row>
    <row r="34" spans="1:13">
      <c r="A34" t="s">
        <v>78</v>
      </c>
      <c r="B34" s="21">
        <v>435.85</v>
      </c>
      <c r="C34" s="21"/>
      <c r="D34" s="21"/>
      <c r="E34" s="21"/>
      <c r="F34" s="21"/>
      <c r="G34" s="21"/>
      <c r="H34" s="21"/>
      <c r="I34" s="21"/>
      <c r="J34" s="21"/>
    </row>
    <row r="35" spans="1:13">
      <c r="A35" t="s">
        <v>34</v>
      </c>
      <c r="B35" s="21"/>
      <c r="C35" s="21"/>
      <c r="D35" s="21"/>
      <c r="E35" s="21"/>
      <c r="F35" s="21"/>
      <c r="G35" s="21"/>
      <c r="H35" s="21">
        <v>561.15</v>
      </c>
      <c r="I35" s="21"/>
      <c r="J35" s="21"/>
    </row>
    <row r="36" spans="1:13">
      <c r="A36" t="s">
        <v>91</v>
      </c>
      <c r="B36" s="21"/>
      <c r="C36" s="21">
        <v>401.74</v>
      </c>
      <c r="D36" s="21"/>
      <c r="E36" s="21"/>
      <c r="F36" s="21"/>
      <c r="G36" s="21"/>
      <c r="H36" s="21"/>
      <c r="I36" s="21"/>
      <c r="J36" s="21"/>
    </row>
    <row r="37" spans="1:13">
      <c r="A37" t="s">
        <v>92</v>
      </c>
      <c r="B37" s="21"/>
      <c r="C37" s="21"/>
      <c r="D37" s="21"/>
      <c r="E37" s="21"/>
      <c r="F37" s="21"/>
      <c r="G37" s="21"/>
      <c r="H37" s="21">
        <v>766.51</v>
      </c>
      <c r="I37" s="21"/>
      <c r="J37" s="21"/>
    </row>
    <row r="38" spans="1:13">
      <c r="A38" t="s">
        <v>36</v>
      </c>
      <c r="B38" s="23"/>
      <c r="C38" s="21"/>
      <c r="D38" s="21"/>
      <c r="E38" s="21"/>
      <c r="F38" s="21"/>
      <c r="G38" s="21"/>
      <c r="H38" s="21"/>
      <c r="I38" s="21"/>
      <c r="J38" s="21"/>
    </row>
    <row r="39" spans="1:13">
      <c r="A39" s="6" t="s">
        <v>37</v>
      </c>
      <c r="B39" s="24">
        <f>SUM(B6:B38)</f>
        <v>3678.16</v>
      </c>
      <c r="C39" s="24">
        <f t="shared" ref="C39:J39" si="0">SUM(C6:C38)</f>
        <v>2256.79</v>
      </c>
      <c r="D39" s="24">
        <f t="shared" si="0"/>
        <v>1208.0999999999999</v>
      </c>
      <c r="E39" s="24">
        <f t="shared" si="0"/>
        <v>3448.0599999999995</v>
      </c>
      <c r="F39" s="24">
        <f t="shared" si="0"/>
        <v>2057.19</v>
      </c>
      <c r="G39" s="24">
        <f t="shared" si="0"/>
        <v>2610.08</v>
      </c>
      <c r="H39" s="24">
        <f t="shared" si="0"/>
        <v>1968.8700000000001</v>
      </c>
      <c r="I39" s="24">
        <f t="shared" si="0"/>
        <v>2404.37</v>
      </c>
      <c r="J39" s="24">
        <f t="shared" si="0"/>
        <v>2387.84</v>
      </c>
      <c r="K39" s="8">
        <f>SUM(B39:J39)</f>
        <v>22019.46</v>
      </c>
      <c r="L39" s="15"/>
      <c r="M39" s="15"/>
    </row>
    <row r="40" spans="1:13">
      <c r="A40" s="9"/>
      <c r="B40" s="7" t="s">
        <v>38</v>
      </c>
      <c r="C40" s="7" t="s">
        <v>2</v>
      </c>
      <c r="D40" s="7" t="s">
        <v>3</v>
      </c>
      <c r="E40" s="7" t="s">
        <v>4</v>
      </c>
      <c r="F40" s="7" t="s">
        <v>5</v>
      </c>
      <c r="G40" s="7" t="s">
        <v>6</v>
      </c>
      <c r="H40" s="7" t="s">
        <v>7</v>
      </c>
      <c r="I40" s="7" t="s">
        <v>52</v>
      </c>
      <c r="J40" s="7" t="s">
        <v>8</v>
      </c>
      <c r="K40" s="10" t="s">
        <v>37</v>
      </c>
    </row>
    <row r="43" spans="1:13">
      <c r="A43">
        <f>COUNTA(A6:A37)</f>
        <v>32</v>
      </c>
    </row>
    <row r="45" spans="1:13">
      <c r="A45" t="s">
        <v>114</v>
      </c>
      <c r="G45" s="3"/>
    </row>
    <row r="46" spans="1:13">
      <c r="B46" s="16"/>
      <c r="C46" s="16"/>
      <c r="D46" s="16"/>
      <c r="F46" s="19"/>
      <c r="G46" s="19"/>
      <c r="H46" s="16"/>
    </row>
    <row r="47" spans="1:13">
      <c r="B47" s="16"/>
      <c r="C47" s="16"/>
      <c r="D47" s="16"/>
      <c r="F47" s="16"/>
      <c r="G47" s="16"/>
      <c r="H47" s="16"/>
    </row>
    <row r="48" spans="1:13">
      <c r="B48" s="16"/>
      <c r="C48" s="16"/>
      <c r="D48" s="16"/>
      <c r="F48" s="16"/>
      <c r="G48" s="16"/>
      <c r="H48" s="20"/>
    </row>
    <row r="49" spans="2:10">
      <c r="B49" s="16"/>
      <c r="C49" s="16"/>
      <c r="D49" s="16"/>
      <c r="F49" s="16"/>
      <c r="G49" s="16"/>
      <c r="H49" s="16"/>
    </row>
    <row r="50" spans="2:10">
      <c r="C50" s="17"/>
      <c r="F50" s="17"/>
      <c r="H50" s="18"/>
    </row>
    <row r="51" spans="2:10">
      <c r="D51" s="16"/>
      <c r="H51" s="17"/>
    </row>
    <row r="52" spans="2:10">
      <c r="D52" s="16"/>
      <c r="F52" s="17"/>
      <c r="H52" s="16"/>
    </row>
    <row r="53" spans="2:10">
      <c r="D53" s="19"/>
      <c r="H53" s="17"/>
    </row>
    <row r="54" spans="2:10">
      <c r="F54" s="17"/>
      <c r="H54" s="17"/>
    </row>
    <row r="55" spans="2:10">
      <c r="H55" s="17"/>
      <c r="J55" s="17"/>
    </row>
    <row r="57" spans="2:10">
      <c r="H57" s="17"/>
    </row>
  </sheetData>
  <phoneticPr fontId="6" type="noConversion"/>
  <pageMargins left="0.5" right="0.25" top="0.55000000000000004" bottom="0.8" header="0.35" footer="0.5"/>
  <pageSetup scale="65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56"/>
  <sheetViews>
    <sheetView topLeftCell="D22"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19.5" customWidth="1"/>
    <col min="2" max="2" width="14.5" bestFit="1" customWidth="1"/>
    <col min="3" max="3" width="10.83203125" bestFit="1" customWidth="1"/>
    <col min="4" max="4" width="10.33203125" bestFit="1" customWidth="1"/>
    <col min="5" max="5" width="7.6640625" customWidth="1"/>
    <col min="6" max="6" width="12.33203125" bestFit="1" customWidth="1"/>
    <col min="7" max="7" width="10.33203125" bestFit="1" customWidth="1"/>
    <col min="8" max="8" width="13.6640625" bestFit="1" customWidth="1"/>
    <col min="9" max="9" width="9.1640625" customWidth="1"/>
    <col min="10" max="10" width="7.6640625" customWidth="1"/>
    <col min="11" max="11" width="11.5" bestFit="1" customWidth="1"/>
  </cols>
  <sheetData>
    <row r="1" spans="1:18">
      <c r="A1" s="1" t="s">
        <v>0</v>
      </c>
    </row>
    <row r="2" spans="1:18" ht="13.5" customHeight="1">
      <c r="A2" s="1"/>
    </row>
    <row r="3" spans="1:18">
      <c r="A3" s="1" t="s">
        <v>115</v>
      </c>
    </row>
    <row r="4" spans="1:18">
      <c r="A4" s="1"/>
    </row>
    <row r="5" spans="1:18" ht="14" thickBot="1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51</v>
      </c>
      <c r="J5" s="2" t="s">
        <v>8</v>
      </c>
      <c r="K5" s="3"/>
    </row>
    <row r="6" spans="1:18" ht="14" thickTop="1">
      <c r="A6" t="s">
        <v>61</v>
      </c>
      <c r="B6" s="21"/>
      <c r="C6" s="21"/>
      <c r="D6" s="21"/>
      <c r="E6" s="21"/>
      <c r="F6" s="21"/>
      <c r="G6" s="21"/>
      <c r="H6" s="21"/>
      <c r="I6" s="21"/>
      <c r="J6" s="21"/>
    </row>
    <row r="7" spans="1:18">
      <c r="A7" t="s">
        <v>9</v>
      </c>
      <c r="B7" s="21">
        <v>612.49</v>
      </c>
      <c r="C7" s="21"/>
      <c r="D7" s="21"/>
      <c r="E7" s="21"/>
      <c r="F7" s="21"/>
      <c r="G7" s="21"/>
      <c r="H7" s="21"/>
      <c r="I7" s="21"/>
      <c r="J7" s="21"/>
    </row>
    <row r="8" spans="1:18">
      <c r="A8" t="s">
        <v>72</v>
      </c>
      <c r="B8" s="21">
        <v>837.59</v>
      </c>
      <c r="C8" s="21"/>
      <c r="D8" s="21"/>
      <c r="E8" s="21"/>
      <c r="F8" s="21"/>
      <c r="G8" s="21"/>
      <c r="H8" s="21"/>
      <c r="I8" s="21"/>
      <c r="J8" s="21"/>
    </row>
    <row r="9" spans="1:18">
      <c r="A9" t="s">
        <v>62</v>
      </c>
      <c r="B9" s="21"/>
      <c r="C9" s="21"/>
      <c r="D9" s="21"/>
      <c r="E9" s="21"/>
      <c r="F9" s="21"/>
      <c r="G9" s="21"/>
      <c r="H9" s="21"/>
      <c r="I9" s="21">
        <v>700.81</v>
      </c>
      <c r="J9" s="21"/>
    </row>
    <row r="10" spans="1:18">
      <c r="A10" t="s">
        <v>12</v>
      </c>
      <c r="B10" s="21"/>
      <c r="C10" s="21"/>
      <c r="D10" s="21"/>
      <c r="E10" s="21"/>
      <c r="F10" s="21"/>
      <c r="G10" s="21">
        <v>732.4</v>
      </c>
      <c r="H10" s="21"/>
      <c r="I10" s="21"/>
      <c r="J10" s="21"/>
    </row>
    <row r="11" spans="1:18">
      <c r="A11" t="s">
        <v>48</v>
      </c>
      <c r="B11" s="21"/>
      <c r="C11" s="21">
        <v>376.25</v>
      </c>
      <c r="D11" s="21"/>
      <c r="E11" s="21"/>
      <c r="F11" s="21"/>
      <c r="G11" s="21"/>
      <c r="H11" s="21"/>
      <c r="I11" s="21"/>
      <c r="J11" s="21"/>
    </row>
    <row r="12" spans="1:18">
      <c r="A12" s="25" t="s">
        <v>84</v>
      </c>
      <c r="B12" s="26"/>
      <c r="C12" s="26"/>
      <c r="D12" s="26"/>
      <c r="E12" s="27"/>
      <c r="F12" s="21"/>
      <c r="G12" s="21"/>
      <c r="H12" s="21"/>
      <c r="I12" s="21"/>
      <c r="J12" s="21"/>
    </row>
    <row r="13" spans="1:18">
      <c r="A13" t="s">
        <v>50</v>
      </c>
      <c r="B13" s="21"/>
      <c r="C13" s="21"/>
      <c r="D13" s="21"/>
      <c r="E13" s="21"/>
      <c r="F13" s="21"/>
      <c r="G13" s="21"/>
      <c r="H13" s="21"/>
      <c r="I13" s="21">
        <v>1059.83</v>
      </c>
      <c r="J13" s="21"/>
    </row>
    <row r="14" spans="1:18">
      <c r="A14" s="5" t="s">
        <v>13</v>
      </c>
      <c r="B14" s="21"/>
      <c r="C14" s="21"/>
      <c r="D14" s="21"/>
      <c r="E14" s="21"/>
      <c r="F14" s="21">
        <v>1059.83</v>
      </c>
      <c r="G14" s="21"/>
      <c r="H14" s="21"/>
      <c r="I14" s="21"/>
      <c r="J14" s="21"/>
      <c r="R14" t="s">
        <v>14</v>
      </c>
    </row>
    <row r="15" spans="1:18">
      <c r="A15" s="5" t="s">
        <v>15</v>
      </c>
      <c r="B15" s="21"/>
      <c r="C15" s="21"/>
      <c r="D15" s="21"/>
      <c r="E15" s="21"/>
      <c r="F15" s="21"/>
      <c r="G15" s="21"/>
      <c r="H15" s="21"/>
      <c r="I15" s="21"/>
      <c r="J15" s="21"/>
    </row>
    <row r="16" spans="1:18">
      <c r="A16" t="s">
        <v>85</v>
      </c>
      <c r="B16" s="21"/>
      <c r="C16" s="21"/>
      <c r="D16" s="21"/>
      <c r="E16" s="21"/>
      <c r="F16" s="21"/>
      <c r="G16" s="21"/>
      <c r="H16" s="21"/>
      <c r="I16" s="21"/>
      <c r="J16" s="21">
        <v>669.57</v>
      </c>
    </row>
    <row r="17" spans="1:10">
      <c r="A17" t="s">
        <v>69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t="s">
        <v>18</v>
      </c>
      <c r="B18" s="21"/>
      <c r="C18" s="21"/>
      <c r="D18" s="21"/>
      <c r="E18" s="21"/>
      <c r="F18" s="21"/>
      <c r="G18" s="21"/>
      <c r="H18" s="21"/>
      <c r="I18" s="21"/>
      <c r="J18" s="21">
        <v>641.21</v>
      </c>
    </row>
    <row r="19" spans="1:10">
      <c r="A19" t="s">
        <v>86</v>
      </c>
      <c r="B19" s="21"/>
      <c r="C19" s="21"/>
      <c r="D19" s="21"/>
      <c r="E19" s="21">
        <v>934.53</v>
      </c>
      <c r="F19" s="21"/>
      <c r="G19" s="21"/>
      <c r="H19" s="21"/>
      <c r="I19" s="21"/>
      <c r="J19" s="21"/>
    </row>
    <row r="20" spans="1:10">
      <c r="A20" t="s">
        <v>21</v>
      </c>
      <c r="B20" s="21"/>
      <c r="C20" s="21"/>
      <c r="D20" s="21">
        <v>732.4</v>
      </c>
      <c r="E20" s="21"/>
      <c r="F20" s="21"/>
      <c r="G20" s="21"/>
      <c r="H20" s="21"/>
      <c r="I20" s="21"/>
      <c r="J20" s="21"/>
    </row>
    <row r="21" spans="1:10">
      <c r="A21" t="s">
        <v>87</v>
      </c>
      <c r="B21" s="21"/>
      <c r="C21" s="21"/>
      <c r="D21" s="21"/>
      <c r="E21" s="21"/>
      <c r="F21" s="21"/>
      <c r="G21" s="21"/>
      <c r="H21" s="21"/>
      <c r="I21" s="21"/>
      <c r="J21" s="21"/>
    </row>
    <row r="22" spans="1:10">
      <c r="A22" t="s">
        <v>23</v>
      </c>
      <c r="B22" s="21"/>
      <c r="C22" s="21"/>
      <c r="D22" s="21"/>
      <c r="E22" s="21"/>
      <c r="F22" s="21">
        <v>538.53</v>
      </c>
      <c r="G22" s="21"/>
      <c r="H22" s="21"/>
      <c r="I22" s="21"/>
      <c r="J22" s="21"/>
    </row>
    <row r="23" spans="1:10">
      <c r="A23" t="s">
        <v>63</v>
      </c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t="s">
        <v>88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t="s">
        <v>25</v>
      </c>
      <c r="B25" s="21"/>
      <c r="C25" s="21"/>
      <c r="D25" s="21">
        <v>475.7</v>
      </c>
      <c r="E25" s="21"/>
      <c r="F25" s="21"/>
      <c r="G25" s="21"/>
      <c r="H25" s="21"/>
      <c r="I25" s="21"/>
      <c r="J25" s="21"/>
    </row>
    <row r="26" spans="1:10">
      <c r="A26" t="s">
        <v>27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t="s">
        <v>104</v>
      </c>
      <c r="B27" s="21"/>
      <c r="C27" s="28">
        <v>837.59</v>
      </c>
      <c r="D27" s="21"/>
      <c r="E27" s="21"/>
      <c r="F27" s="21"/>
      <c r="G27" s="21"/>
      <c r="H27" s="21"/>
      <c r="I27" s="21"/>
      <c r="J27" s="21"/>
    </row>
    <row r="28" spans="1:10">
      <c r="A28" t="s">
        <v>90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t="s">
        <v>41</v>
      </c>
      <c r="B29" s="21"/>
      <c r="C29" s="21"/>
      <c r="D29" s="21"/>
      <c r="E29" s="21"/>
      <c r="F29" s="21"/>
      <c r="G29" s="21"/>
      <c r="H29" s="21"/>
      <c r="I29" s="21">
        <v>1059.83</v>
      </c>
      <c r="J29" s="21"/>
    </row>
    <row r="30" spans="1:10">
      <c r="A30" t="s">
        <v>31</v>
      </c>
      <c r="B30" s="21"/>
      <c r="C30" s="21"/>
      <c r="D30" s="21"/>
      <c r="E30" s="21">
        <v>934.53</v>
      </c>
      <c r="F30" s="21"/>
      <c r="G30" s="21"/>
      <c r="H30" s="21"/>
      <c r="I30" s="21"/>
      <c r="J30" s="21"/>
    </row>
    <row r="31" spans="1:10">
      <c r="A31" t="s">
        <v>80</v>
      </c>
      <c r="B31" s="21"/>
      <c r="C31" s="21">
        <v>641.21</v>
      </c>
      <c r="D31" s="21"/>
      <c r="E31" s="21"/>
      <c r="F31" s="21"/>
      <c r="G31" s="21"/>
      <c r="H31" s="21"/>
      <c r="I31" s="21"/>
      <c r="J31" s="21"/>
    </row>
    <row r="32" spans="1:10">
      <c r="A32" t="s">
        <v>33</v>
      </c>
      <c r="B32" s="21"/>
      <c r="C32" s="21"/>
      <c r="D32" s="21"/>
      <c r="E32" s="21"/>
      <c r="F32" s="21">
        <v>458.83</v>
      </c>
      <c r="G32" s="21"/>
      <c r="H32" s="21"/>
      <c r="I32" s="21"/>
      <c r="J32" s="21"/>
    </row>
    <row r="33" spans="1:13">
      <c r="A33" t="s">
        <v>78</v>
      </c>
      <c r="B33" s="21"/>
      <c r="C33" s="21"/>
      <c r="D33" s="21"/>
      <c r="E33" s="21"/>
      <c r="F33" s="21"/>
      <c r="G33" s="21"/>
      <c r="H33" s="21"/>
      <c r="I33" s="21"/>
      <c r="J33" s="21"/>
    </row>
    <row r="34" spans="1:13">
      <c r="A34" t="s">
        <v>34</v>
      </c>
      <c r="B34" s="21"/>
      <c r="C34" s="21"/>
      <c r="D34" s="21"/>
      <c r="E34" s="21"/>
      <c r="F34" s="21"/>
      <c r="G34" s="21"/>
      <c r="H34" s="21"/>
      <c r="I34" s="21"/>
      <c r="J34" s="21"/>
    </row>
    <row r="35" spans="1:13">
      <c r="A35" t="s">
        <v>91</v>
      </c>
      <c r="B35" s="21"/>
      <c r="C35" s="21">
        <v>401.74</v>
      </c>
      <c r="D35" s="21"/>
      <c r="E35" s="21"/>
      <c r="F35" s="21"/>
      <c r="G35" s="21"/>
      <c r="H35" s="21"/>
      <c r="I35" s="21"/>
      <c r="J35" s="21"/>
    </row>
    <row r="36" spans="1:13">
      <c r="A36" t="s">
        <v>92</v>
      </c>
      <c r="B36" s="21"/>
      <c r="C36" s="21"/>
      <c r="D36" s="21"/>
      <c r="E36" s="21"/>
      <c r="F36" s="21"/>
      <c r="G36" s="21"/>
      <c r="H36" s="21"/>
      <c r="I36" s="21"/>
      <c r="J36" s="21"/>
    </row>
    <row r="37" spans="1:13">
      <c r="A37" t="s">
        <v>36</v>
      </c>
      <c r="B37" s="23">
        <v>-8730.69</v>
      </c>
      <c r="C37" s="21"/>
      <c r="D37" s="21"/>
      <c r="E37" s="21"/>
      <c r="F37" s="21"/>
      <c r="G37" s="21"/>
      <c r="H37" s="21"/>
      <c r="I37" s="21"/>
      <c r="J37" s="21"/>
    </row>
    <row r="38" spans="1:13">
      <c r="A38" s="6" t="s">
        <v>37</v>
      </c>
      <c r="B38" s="24">
        <f>SUM(B6:B37)</f>
        <v>-7280.6100000000006</v>
      </c>
      <c r="C38" s="24">
        <f t="shared" ref="C38:J38" si="0">SUM(C6:C37)</f>
        <v>2256.79</v>
      </c>
      <c r="D38" s="24">
        <f t="shared" si="0"/>
        <v>1208.0999999999999</v>
      </c>
      <c r="E38" s="24">
        <f t="shared" si="0"/>
        <v>1869.06</v>
      </c>
      <c r="F38" s="24">
        <f t="shared" si="0"/>
        <v>2057.19</v>
      </c>
      <c r="G38" s="24">
        <f t="shared" si="0"/>
        <v>732.4</v>
      </c>
      <c r="H38" s="24">
        <f t="shared" si="0"/>
        <v>0</v>
      </c>
      <c r="I38" s="24">
        <f t="shared" si="0"/>
        <v>2820.47</v>
      </c>
      <c r="J38" s="24">
        <f t="shared" si="0"/>
        <v>1310.7800000000002</v>
      </c>
      <c r="K38" s="8">
        <f>SUM(B38:J38)</f>
        <v>4974.1799999999994</v>
      </c>
      <c r="M38" s="15"/>
    </row>
    <row r="39" spans="1:13">
      <c r="A39" s="9"/>
      <c r="B39" s="7" t="s">
        <v>38</v>
      </c>
      <c r="C39" s="7" t="s">
        <v>2</v>
      </c>
      <c r="D39" s="7" t="s">
        <v>3</v>
      </c>
      <c r="E39" s="7" t="s">
        <v>4</v>
      </c>
      <c r="F39" s="7" t="s">
        <v>5</v>
      </c>
      <c r="G39" s="7" t="s">
        <v>6</v>
      </c>
      <c r="H39" s="7" t="s">
        <v>7</v>
      </c>
      <c r="I39" s="7" t="s">
        <v>52</v>
      </c>
      <c r="J39" s="7" t="s">
        <v>8</v>
      </c>
      <c r="K39" s="10" t="s">
        <v>37</v>
      </c>
    </row>
    <row r="42" spans="1:13">
      <c r="A42">
        <f>COUNTA(A6:A36)</f>
        <v>31</v>
      </c>
    </row>
    <row r="44" spans="1:13">
      <c r="A44" t="s">
        <v>116</v>
      </c>
      <c r="G44" s="3"/>
    </row>
    <row r="45" spans="1:13">
      <c r="B45" s="16"/>
      <c r="C45" s="16"/>
      <c r="D45" s="16"/>
      <c r="F45" s="19"/>
      <c r="G45" s="19"/>
      <c r="H45" s="16"/>
    </row>
    <row r="46" spans="1:13">
      <c r="B46" s="16"/>
      <c r="C46" s="16"/>
      <c r="D46" s="16"/>
      <c r="F46" s="16"/>
      <c r="G46" s="16"/>
      <c r="H46" s="16"/>
    </row>
    <row r="47" spans="1:13">
      <c r="B47" s="16"/>
      <c r="C47" s="16"/>
      <c r="D47" s="16"/>
      <c r="F47" s="16"/>
      <c r="G47" s="16"/>
      <c r="H47" s="20"/>
    </row>
    <row r="48" spans="1:13">
      <c r="B48" s="16"/>
      <c r="C48" s="16"/>
      <c r="D48" s="16"/>
      <c r="F48" s="16"/>
      <c r="G48" s="16"/>
      <c r="H48" s="16"/>
    </row>
    <row r="49" spans="3:10">
      <c r="C49" s="17"/>
      <c r="F49" s="17"/>
      <c r="H49" s="18"/>
    </row>
    <row r="50" spans="3:10">
      <c r="D50" s="16"/>
      <c r="H50" s="17"/>
    </row>
    <row r="51" spans="3:10">
      <c r="D51" s="16"/>
      <c r="F51" s="17"/>
      <c r="H51" s="16"/>
    </row>
    <row r="52" spans="3:10">
      <c r="D52" s="19"/>
      <c r="H52" s="17"/>
    </row>
    <row r="53" spans="3:10">
      <c r="F53" s="17"/>
      <c r="H53" s="17"/>
    </row>
    <row r="54" spans="3:10">
      <c r="H54" s="17"/>
      <c r="J54" s="17"/>
    </row>
    <row r="56" spans="3:10">
      <c r="H56" s="17"/>
    </row>
  </sheetData>
  <phoneticPr fontId="6" type="noConversion"/>
  <pageMargins left="0.5" right="0.25" top="0.55000000000000004" bottom="0.8" header="0.35" footer="0.5"/>
  <pageSetup scale="65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49"/>
  <sheetViews>
    <sheetView topLeftCell="A14"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23.83203125" customWidth="1"/>
    <col min="2" max="2" width="21" customWidth="1"/>
    <col min="4" max="4" width="10.5" bestFit="1" customWidth="1"/>
  </cols>
  <sheetData>
    <row r="1" spans="1:9">
      <c r="A1" s="1" t="s">
        <v>0</v>
      </c>
    </row>
    <row r="2" spans="1:9" ht="13.5" customHeight="1">
      <c r="A2" s="1"/>
    </row>
    <row r="3" spans="1:9">
      <c r="A3" s="1" t="s">
        <v>117</v>
      </c>
    </row>
    <row r="4" spans="1:9">
      <c r="B4" s="3"/>
    </row>
    <row r="5" spans="1:9">
      <c r="A5" s="29" t="s">
        <v>61</v>
      </c>
      <c r="B5" s="24">
        <v>441.6</v>
      </c>
    </row>
    <row r="6" spans="1:9">
      <c r="A6" s="29" t="s">
        <v>9</v>
      </c>
      <c r="B6" s="24">
        <v>612.49</v>
      </c>
    </row>
    <row r="7" spans="1:9">
      <c r="A7" s="29" t="s">
        <v>72</v>
      </c>
      <c r="B7" s="24">
        <v>837.59</v>
      </c>
    </row>
    <row r="8" spans="1:9">
      <c r="A8" s="29" t="s">
        <v>62</v>
      </c>
      <c r="B8" s="24">
        <v>700.81</v>
      </c>
    </row>
    <row r="9" spans="1:9">
      <c r="A9" s="29" t="s">
        <v>12</v>
      </c>
      <c r="B9" s="24">
        <v>732.4</v>
      </c>
    </row>
    <row r="10" spans="1:9">
      <c r="A10" s="29" t="s">
        <v>48</v>
      </c>
      <c r="B10" s="24">
        <v>376.25</v>
      </c>
    </row>
    <row r="11" spans="1:9">
      <c r="A11" s="34" t="s">
        <v>118</v>
      </c>
      <c r="B11" s="30">
        <v>446.5</v>
      </c>
    </row>
    <row r="12" spans="1:9">
      <c r="A12" s="29" t="s">
        <v>50</v>
      </c>
      <c r="B12" s="24">
        <v>1059.83</v>
      </c>
    </row>
    <row r="13" spans="1:9">
      <c r="A13" s="31" t="s">
        <v>13</v>
      </c>
      <c r="B13" s="24">
        <v>1059.83</v>
      </c>
      <c r="I13" t="s">
        <v>14</v>
      </c>
    </row>
    <row r="14" spans="1:9">
      <c r="A14" s="36" t="s">
        <v>15</v>
      </c>
      <c r="B14" s="24"/>
    </row>
    <row r="15" spans="1:9">
      <c r="A15" s="29" t="s">
        <v>85</v>
      </c>
      <c r="B15" s="24">
        <v>669.57</v>
      </c>
    </row>
    <row r="16" spans="1:9">
      <c r="A16" s="34" t="s">
        <v>69</v>
      </c>
      <c r="B16" s="24">
        <v>475.7</v>
      </c>
    </row>
    <row r="17" spans="1:2">
      <c r="A17" s="29" t="s">
        <v>18</v>
      </c>
      <c r="B17" s="24">
        <v>641.21</v>
      </c>
    </row>
    <row r="18" spans="1:2">
      <c r="A18" s="29" t="s">
        <v>86</v>
      </c>
      <c r="B18" s="24">
        <v>934.53</v>
      </c>
    </row>
    <row r="19" spans="1:2">
      <c r="A19" s="29" t="s">
        <v>21</v>
      </c>
      <c r="B19" s="24">
        <v>732.4</v>
      </c>
    </row>
    <row r="20" spans="1:2">
      <c r="A20" s="34" t="s">
        <v>87</v>
      </c>
      <c r="B20" s="24">
        <v>1077.06</v>
      </c>
    </row>
    <row r="21" spans="1:2">
      <c r="A21" s="29" t="s">
        <v>23</v>
      </c>
      <c r="B21" s="24">
        <v>538.53</v>
      </c>
    </row>
    <row r="22" spans="1:2">
      <c r="A22" s="34" t="s">
        <v>63</v>
      </c>
      <c r="B22" s="24">
        <v>475.7</v>
      </c>
    </row>
    <row r="23" spans="1:2">
      <c r="A23" s="34" t="s">
        <v>88</v>
      </c>
      <c r="B23" s="24">
        <v>800.62</v>
      </c>
    </row>
    <row r="24" spans="1:2">
      <c r="A24" s="29" t="s">
        <v>25</v>
      </c>
      <c r="B24" s="24">
        <v>475.7</v>
      </c>
    </row>
    <row r="25" spans="1:2">
      <c r="A25" s="34" t="s">
        <v>27</v>
      </c>
      <c r="B25" s="24">
        <v>1077.06</v>
      </c>
    </row>
    <row r="26" spans="1:2">
      <c r="A26" s="29" t="s">
        <v>104</v>
      </c>
      <c r="B26" s="32">
        <v>837.59</v>
      </c>
    </row>
    <row r="27" spans="1:2">
      <c r="A27" s="34" t="s">
        <v>90</v>
      </c>
      <c r="B27" s="24">
        <v>641.21</v>
      </c>
    </row>
    <row r="28" spans="1:2">
      <c r="A28" s="29" t="s">
        <v>41</v>
      </c>
      <c r="B28" s="24">
        <v>1059.83</v>
      </c>
    </row>
    <row r="29" spans="1:2">
      <c r="A29" s="29" t="s">
        <v>31</v>
      </c>
      <c r="B29" s="24">
        <v>934.53</v>
      </c>
    </row>
    <row r="30" spans="1:2">
      <c r="A30" s="29" t="s">
        <v>80</v>
      </c>
      <c r="B30" s="24">
        <v>641.21</v>
      </c>
    </row>
    <row r="31" spans="1:2">
      <c r="A31" s="29" t="s">
        <v>33</v>
      </c>
      <c r="B31" s="24">
        <v>458.83</v>
      </c>
    </row>
    <row r="32" spans="1:2">
      <c r="A32" s="34" t="s">
        <v>78</v>
      </c>
      <c r="B32" s="24">
        <v>435.85</v>
      </c>
    </row>
    <row r="33" spans="1:4">
      <c r="A33" s="34" t="s">
        <v>34</v>
      </c>
      <c r="B33" s="24">
        <v>561.15</v>
      </c>
    </row>
    <row r="34" spans="1:4">
      <c r="A34" s="29" t="s">
        <v>91</v>
      </c>
      <c r="B34" s="24">
        <v>401.74</v>
      </c>
    </row>
    <row r="35" spans="1:4">
      <c r="A35" s="34" t="s">
        <v>92</v>
      </c>
      <c r="B35" s="24">
        <v>766.51</v>
      </c>
    </row>
    <row r="36" spans="1:4">
      <c r="A36" s="29" t="s">
        <v>119</v>
      </c>
      <c r="B36" s="33"/>
    </row>
    <row r="37" spans="1:4">
      <c r="A37" s="29" t="s">
        <v>120</v>
      </c>
      <c r="B37" s="24">
        <v>7198.96</v>
      </c>
    </row>
    <row r="38" spans="1:4">
      <c r="A38" s="29" t="s">
        <v>36</v>
      </c>
      <c r="B38" s="24">
        <v>874.93</v>
      </c>
    </row>
    <row r="39" spans="1:4">
      <c r="A39" s="6" t="s">
        <v>37</v>
      </c>
      <c r="B39" s="24">
        <f>SUM(B5:B38)</f>
        <v>28977.72</v>
      </c>
      <c r="C39" s="35"/>
      <c r="D39" s="15"/>
    </row>
    <row r="41" spans="1:4">
      <c r="A41">
        <f>COUNTA(A5:A35)</f>
        <v>31</v>
      </c>
    </row>
    <row r="43" spans="1:4">
      <c r="A43" s="419" t="s">
        <v>121</v>
      </c>
      <c r="B43" s="419"/>
    </row>
    <row r="44" spans="1:4">
      <c r="A44" s="419"/>
      <c r="B44" s="419"/>
    </row>
    <row r="45" spans="1:4">
      <c r="A45" s="419"/>
      <c r="B45" s="419"/>
    </row>
    <row r="46" spans="1:4">
      <c r="A46" s="419"/>
      <c r="B46" s="419"/>
    </row>
    <row r="48" spans="1:4">
      <c r="A48" t="s">
        <v>122</v>
      </c>
    </row>
    <row r="49" spans="1:1">
      <c r="A49" t="s">
        <v>123</v>
      </c>
    </row>
  </sheetData>
  <mergeCells count="1">
    <mergeCell ref="A43:B46"/>
  </mergeCells>
  <phoneticPr fontId="6" type="noConversion"/>
  <pageMargins left="0.5" right="0.25" top="0.55000000000000004" bottom="0.8" header="0.35" footer="0.5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47"/>
  <sheetViews>
    <sheetView topLeftCell="A21"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23.83203125" customWidth="1"/>
    <col min="2" max="2" width="21" customWidth="1"/>
    <col min="3" max="3" width="10.5" bestFit="1" customWidth="1"/>
  </cols>
  <sheetData>
    <row r="1" spans="1:8">
      <c r="A1" s="1" t="s">
        <v>0</v>
      </c>
    </row>
    <row r="2" spans="1:8" ht="13.5" customHeight="1">
      <c r="A2" s="1"/>
    </row>
    <row r="3" spans="1:8">
      <c r="A3" s="1" t="s">
        <v>124</v>
      </c>
    </row>
    <row r="4" spans="1:8">
      <c r="B4" s="3"/>
    </row>
    <row r="5" spans="1:8">
      <c r="A5" s="29" t="s">
        <v>61</v>
      </c>
      <c r="B5" s="24">
        <v>441.6</v>
      </c>
    </row>
    <row r="6" spans="1:8">
      <c r="A6" s="29" t="s">
        <v>9</v>
      </c>
      <c r="B6" s="24">
        <v>612.49</v>
      </c>
    </row>
    <row r="7" spans="1:8">
      <c r="A7" s="29" t="s">
        <v>72</v>
      </c>
      <c r="B7" s="24">
        <v>837.59</v>
      </c>
    </row>
    <row r="8" spans="1:8">
      <c r="A8" s="29" t="s">
        <v>62</v>
      </c>
      <c r="B8" s="24">
        <v>700.81</v>
      </c>
    </row>
    <row r="9" spans="1:8">
      <c r="A9" s="29" t="s">
        <v>12</v>
      </c>
      <c r="B9" s="24">
        <v>732.4</v>
      </c>
    </row>
    <row r="10" spans="1:8">
      <c r="A10" s="37" t="s">
        <v>48</v>
      </c>
      <c r="B10" s="32">
        <v>376.25</v>
      </c>
    </row>
    <row r="11" spans="1:8">
      <c r="A11" s="37" t="s">
        <v>118</v>
      </c>
      <c r="B11" s="32">
        <v>446.5</v>
      </c>
    </row>
    <row r="12" spans="1:8">
      <c r="A12" s="29" t="s">
        <v>50</v>
      </c>
      <c r="B12" s="24">
        <v>1059.83</v>
      </c>
    </row>
    <row r="13" spans="1:8">
      <c r="A13" s="31" t="s">
        <v>13</v>
      </c>
      <c r="B13" s="24">
        <v>1059.83</v>
      </c>
      <c r="H13" t="s">
        <v>14</v>
      </c>
    </row>
    <row r="14" spans="1:8">
      <c r="A14" s="31" t="s">
        <v>15</v>
      </c>
      <c r="B14" s="24">
        <v>874.93</v>
      </c>
    </row>
    <row r="15" spans="1:8">
      <c r="A15" s="37" t="s">
        <v>69</v>
      </c>
      <c r="B15" s="24">
        <v>475.7</v>
      </c>
    </row>
    <row r="16" spans="1:8">
      <c r="A16" s="38" t="s">
        <v>125</v>
      </c>
      <c r="B16" s="24">
        <v>1077.06</v>
      </c>
    </row>
    <row r="17" spans="1:2">
      <c r="A17" s="29" t="s">
        <v>18</v>
      </c>
      <c r="B17" s="24">
        <v>641.21</v>
      </c>
    </row>
    <row r="18" spans="1:2">
      <c r="A18" s="29" t="s">
        <v>86</v>
      </c>
      <c r="B18" s="24">
        <v>934.53</v>
      </c>
    </row>
    <row r="19" spans="1:2">
      <c r="A19" s="29" t="s">
        <v>21</v>
      </c>
      <c r="B19" s="24">
        <v>732.4</v>
      </c>
    </row>
    <row r="20" spans="1:2">
      <c r="A20" s="37" t="s">
        <v>87</v>
      </c>
      <c r="B20" s="24">
        <v>1077.06</v>
      </c>
    </row>
    <row r="21" spans="1:2">
      <c r="A21" s="29" t="s">
        <v>23</v>
      </c>
      <c r="B21" s="24">
        <v>538.53</v>
      </c>
    </row>
    <row r="22" spans="1:2">
      <c r="A22" s="37" t="s">
        <v>63</v>
      </c>
      <c r="B22" s="24">
        <v>475.7</v>
      </c>
    </row>
    <row r="23" spans="1:2">
      <c r="A23" s="37" t="s">
        <v>88</v>
      </c>
      <c r="B23" s="24">
        <v>800.62</v>
      </c>
    </row>
    <row r="24" spans="1:2">
      <c r="A24" s="29" t="s">
        <v>25</v>
      </c>
      <c r="B24" s="24">
        <v>475.7</v>
      </c>
    </row>
    <row r="25" spans="1:2">
      <c r="A25" s="37" t="s">
        <v>27</v>
      </c>
      <c r="B25" s="24">
        <v>1077.06</v>
      </c>
    </row>
    <row r="26" spans="1:2">
      <c r="A26" s="37" t="s">
        <v>126</v>
      </c>
      <c r="B26" s="24">
        <v>367.64</v>
      </c>
    </row>
    <row r="27" spans="1:2">
      <c r="A27" s="29" t="s">
        <v>104</v>
      </c>
      <c r="B27" s="32">
        <v>837.59</v>
      </c>
    </row>
    <row r="28" spans="1:2">
      <c r="A28" s="37" t="s">
        <v>90</v>
      </c>
      <c r="B28" s="24">
        <v>641.21</v>
      </c>
    </row>
    <row r="29" spans="1:2">
      <c r="A29" s="29" t="s">
        <v>41</v>
      </c>
      <c r="B29" s="24">
        <v>1059.83</v>
      </c>
    </row>
    <row r="30" spans="1:2">
      <c r="A30" s="29" t="s">
        <v>31</v>
      </c>
      <c r="B30" s="24">
        <v>934.53</v>
      </c>
    </row>
    <row r="31" spans="1:2">
      <c r="A31" s="29" t="s">
        <v>80</v>
      </c>
      <c r="B31" s="24">
        <v>641.21</v>
      </c>
    </row>
    <row r="32" spans="1:2">
      <c r="A32" s="29" t="s">
        <v>33</v>
      </c>
      <c r="B32" s="24">
        <v>458.83</v>
      </c>
    </row>
    <row r="33" spans="1:3">
      <c r="A33" s="38" t="s">
        <v>78</v>
      </c>
      <c r="B33" s="24">
        <v>435.85</v>
      </c>
    </row>
    <row r="34" spans="1:3">
      <c r="A34" s="37" t="s">
        <v>34</v>
      </c>
      <c r="B34" s="24">
        <v>561.15</v>
      </c>
    </row>
    <row r="35" spans="1:3">
      <c r="A35" s="29" t="s">
        <v>91</v>
      </c>
      <c r="B35" s="24">
        <v>401.74</v>
      </c>
    </row>
    <row r="36" spans="1:3">
      <c r="A36" s="38" t="s">
        <v>92</v>
      </c>
      <c r="B36" s="24">
        <v>766.51</v>
      </c>
    </row>
    <row r="37" spans="1:3">
      <c r="A37" s="29" t="s">
        <v>119</v>
      </c>
      <c r="B37" s="33"/>
    </row>
    <row r="38" spans="1:3">
      <c r="A38" s="29" t="s">
        <v>120</v>
      </c>
      <c r="B38" s="24">
        <v>2932.48</v>
      </c>
    </row>
    <row r="39" spans="1:3">
      <c r="A39" s="29" t="s">
        <v>36</v>
      </c>
      <c r="B39" s="24">
        <v>874.93</v>
      </c>
    </row>
    <row r="40" spans="1:3">
      <c r="A40" s="6" t="s">
        <v>37</v>
      </c>
      <c r="B40" s="24">
        <f>SUM(B5:B39)</f>
        <v>26361.3</v>
      </c>
      <c r="C40" s="15"/>
    </row>
    <row r="42" spans="1:3">
      <c r="A42">
        <f>COUNTA(A5:A36)</f>
        <v>32</v>
      </c>
    </row>
    <row r="44" spans="1:3">
      <c r="A44" t="s">
        <v>130</v>
      </c>
    </row>
    <row r="45" spans="1:3" ht="13" customHeight="1">
      <c r="A45" t="s">
        <v>127</v>
      </c>
    </row>
    <row r="46" spans="1:3">
      <c r="A46" t="s">
        <v>129</v>
      </c>
    </row>
    <row r="47" spans="1:3">
      <c r="A47" t="s">
        <v>128</v>
      </c>
    </row>
  </sheetData>
  <phoneticPr fontId="6" type="noConversion"/>
  <pageMargins left="0.5" right="0.25" top="0.55000000000000004" bottom="0.8" header="0.35" footer="0.5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47"/>
  <sheetViews>
    <sheetView topLeftCell="A19"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23.83203125" customWidth="1"/>
    <col min="2" max="2" width="21" customWidth="1"/>
    <col min="3" max="3" width="10.5" bestFit="1" customWidth="1"/>
  </cols>
  <sheetData>
    <row r="1" spans="1:8">
      <c r="A1" s="1" t="s">
        <v>0</v>
      </c>
    </row>
    <row r="2" spans="1:8" ht="13.5" customHeight="1">
      <c r="A2" s="1"/>
    </row>
    <row r="3" spans="1:8">
      <c r="A3" s="1" t="s">
        <v>131</v>
      </c>
    </row>
    <row r="4" spans="1:8">
      <c r="B4" s="3"/>
    </row>
    <row r="5" spans="1:8">
      <c r="A5" s="29" t="s">
        <v>61</v>
      </c>
      <c r="B5" s="24">
        <v>441.6</v>
      </c>
    </row>
    <row r="6" spans="1:8">
      <c r="A6" s="29" t="s">
        <v>9</v>
      </c>
      <c r="B6" s="24">
        <v>612.49</v>
      </c>
    </row>
    <row r="7" spans="1:8">
      <c r="A7" s="34" t="s">
        <v>132</v>
      </c>
      <c r="B7" s="33">
        <v>487.19</v>
      </c>
    </row>
    <row r="8" spans="1:8">
      <c r="A8" s="29" t="s">
        <v>72</v>
      </c>
      <c r="B8" s="24">
        <v>837.59</v>
      </c>
    </row>
    <row r="9" spans="1:8">
      <c r="A9" s="29" t="s">
        <v>62</v>
      </c>
      <c r="B9" s="24">
        <v>700.81</v>
      </c>
    </row>
    <row r="10" spans="1:8">
      <c r="A10" s="29" t="s">
        <v>12</v>
      </c>
      <c r="B10" s="24">
        <v>732.4</v>
      </c>
    </row>
    <row r="11" spans="1:8">
      <c r="A11" s="37" t="s">
        <v>48</v>
      </c>
      <c r="B11" s="32">
        <v>376.25</v>
      </c>
    </row>
    <row r="12" spans="1:8">
      <c r="A12" s="37" t="s">
        <v>118</v>
      </c>
      <c r="B12" s="32">
        <v>446.5</v>
      </c>
    </row>
    <row r="13" spans="1:8">
      <c r="A13" s="29" t="s">
        <v>50</v>
      </c>
      <c r="B13" s="24">
        <v>1059.83</v>
      </c>
    </row>
    <row r="14" spans="1:8">
      <c r="A14" s="31" t="s">
        <v>13</v>
      </c>
      <c r="B14" s="24">
        <v>1059.83</v>
      </c>
      <c r="H14" t="s">
        <v>14</v>
      </c>
    </row>
    <row r="15" spans="1:8">
      <c r="A15" s="31" t="s">
        <v>15</v>
      </c>
      <c r="B15" s="24">
        <v>874.93</v>
      </c>
    </row>
    <row r="16" spans="1:8">
      <c r="A16" s="37" t="s">
        <v>69</v>
      </c>
      <c r="B16" s="24">
        <v>475.7</v>
      </c>
    </row>
    <row r="17" spans="1:2">
      <c r="A17" s="38" t="s">
        <v>125</v>
      </c>
      <c r="B17" s="33">
        <v>1077.06</v>
      </c>
    </row>
    <row r="18" spans="1:2">
      <c r="A18" s="29" t="s">
        <v>18</v>
      </c>
      <c r="B18" s="24">
        <v>641.21</v>
      </c>
    </row>
    <row r="19" spans="1:2">
      <c r="A19" s="29" t="s">
        <v>86</v>
      </c>
      <c r="B19" s="24">
        <v>934.53</v>
      </c>
    </row>
    <row r="20" spans="1:2">
      <c r="A20" s="29" t="s">
        <v>21</v>
      </c>
      <c r="B20" s="24">
        <v>732.4</v>
      </c>
    </row>
    <row r="21" spans="1:2">
      <c r="A21" s="37" t="s">
        <v>87</v>
      </c>
      <c r="B21" s="24">
        <v>1077.06</v>
      </c>
    </row>
    <row r="22" spans="1:2">
      <c r="A22" s="29" t="s">
        <v>23</v>
      </c>
      <c r="B22" s="24">
        <v>538.53</v>
      </c>
    </row>
    <row r="23" spans="1:2">
      <c r="A23" s="37" t="s">
        <v>63</v>
      </c>
      <c r="B23" s="24">
        <v>475.7</v>
      </c>
    </row>
    <row r="24" spans="1:2">
      <c r="A24" s="37" t="s">
        <v>88</v>
      </c>
      <c r="B24" s="24">
        <v>800.62</v>
      </c>
    </row>
    <row r="25" spans="1:2">
      <c r="A25" s="29" t="s">
        <v>25</v>
      </c>
      <c r="B25" s="24">
        <v>475.7</v>
      </c>
    </row>
    <row r="26" spans="1:2">
      <c r="A26" s="34" t="s">
        <v>133</v>
      </c>
      <c r="B26" s="33">
        <v>612.49</v>
      </c>
    </row>
    <row r="27" spans="1:2">
      <c r="A27" s="37" t="s">
        <v>27</v>
      </c>
      <c r="B27" s="24">
        <v>1077.06</v>
      </c>
    </row>
    <row r="28" spans="1:2">
      <c r="A28" s="37" t="s">
        <v>126</v>
      </c>
      <c r="B28" s="24">
        <v>367.64</v>
      </c>
    </row>
    <row r="29" spans="1:2">
      <c r="A29" s="29" t="s">
        <v>104</v>
      </c>
      <c r="B29" s="32">
        <v>837.59</v>
      </c>
    </row>
    <row r="30" spans="1:2">
      <c r="A30" s="37" t="s">
        <v>90</v>
      </c>
      <c r="B30" s="24">
        <v>641.21</v>
      </c>
    </row>
    <row r="31" spans="1:2">
      <c r="A31" s="34" t="s">
        <v>134</v>
      </c>
      <c r="B31" s="33">
        <v>376.25</v>
      </c>
    </row>
    <row r="32" spans="1:2">
      <c r="A32" s="29" t="s">
        <v>41</v>
      </c>
      <c r="B32" s="24">
        <v>1059.83</v>
      </c>
    </row>
    <row r="33" spans="1:3">
      <c r="A33" s="29" t="s">
        <v>31</v>
      </c>
      <c r="B33" s="24">
        <v>934.53</v>
      </c>
    </row>
    <row r="34" spans="1:3">
      <c r="A34" s="29" t="s">
        <v>80</v>
      </c>
      <c r="B34" s="24">
        <v>641.21</v>
      </c>
    </row>
    <row r="35" spans="1:3">
      <c r="A35" s="29" t="s">
        <v>33</v>
      </c>
      <c r="B35" s="24">
        <v>458.83</v>
      </c>
    </row>
    <row r="36" spans="1:3">
      <c r="A36" s="37" t="s">
        <v>78</v>
      </c>
      <c r="B36" s="33"/>
    </row>
    <row r="37" spans="1:3">
      <c r="A37" s="37" t="s">
        <v>34</v>
      </c>
      <c r="B37" s="24">
        <v>561.15</v>
      </c>
    </row>
    <row r="38" spans="1:3">
      <c r="A38" s="29" t="s">
        <v>91</v>
      </c>
      <c r="B38" s="24">
        <v>401.74</v>
      </c>
    </row>
    <row r="39" spans="1:3">
      <c r="A39" s="37" t="s">
        <v>92</v>
      </c>
      <c r="B39" s="33"/>
      <c r="C39" s="35"/>
    </row>
    <row r="40" spans="1:3">
      <c r="A40" s="29" t="s">
        <v>36</v>
      </c>
      <c r="B40" s="24">
        <v>487.54</v>
      </c>
    </row>
    <row r="41" spans="1:3">
      <c r="A41" s="6" t="s">
        <v>37</v>
      </c>
      <c r="B41" s="24">
        <f>SUM(B5:B40)</f>
        <v>23315.000000000004</v>
      </c>
      <c r="C41" s="15"/>
    </row>
    <row r="43" spans="1:3">
      <c r="A43">
        <f>COUNTA(A5:A39)</f>
        <v>35</v>
      </c>
    </row>
    <row r="45" spans="1:3">
      <c r="A45" t="s">
        <v>130</v>
      </c>
    </row>
    <row r="46" spans="1:3" ht="13" customHeight="1">
      <c r="A46" t="s">
        <v>136</v>
      </c>
    </row>
    <row r="47" spans="1:3">
      <c r="A47" t="s">
        <v>135</v>
      </c>
    </row>
  </sheetData>
  <phoneticPr fontId="6" type="noConversion"/>
  <pageMargins left="0.5" right="0.25" top="0.55000000000000004" bottom="0.8" header="0.3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47"/>
  <sheetViews>
    <sheetView topLeftCell="A18"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2.1640625" bestFit="1" customWidth="1"/>
  </cols>
  <sheetData>
    <row r="1" spans="1:8">
      <c r="A1" s="1" t="s">
        <v>0</v>
      </c>
    </row>
    <row r="2" spans="1:8" ht="13.5" customHeight="1">
      <c r="A2" s="1"/>
    </row>
    <row r="3" spans="1:8">
      <c r="A3" s="1" t="s">
        <v>137</v>
      </c>
    </row>
    <row r="4" spans="1:8">
      <c r="B4" s="40" t="s">
        <v>140</v>
      </c>
    </row>
    <row r="5" spans="1:8">
      <c r="A5" s="29" t="s">
        <v>61</v>
      </c>
      <c r="B5" s="24">
        <v>464.2</v>
      </c>
    </row>
    <row r="6" spans="1:8">
      <c r="A6" s="29" t="s">
        <v>9</v>
      </c>
      <c r="B6" s="24">
        <v>669.68</v>
      </c>
    </row>
    <row r="7" spans="1:8">
      <c r="A7" s="37" t="s">
        <v>132</v>
      </c>
      <c r="B7" s="32">
        <v>523.82000000000005</v>
      </c>
    </row>
    <row r="8" spans="1:8">
      <c r="A8" s="29" t="s">
        <v>72</v>
      </c>
      <c r="B8" s="24">
        <v>913.77</v>
      </c>
    </row>
    <row r="9" spans="1:8">
      <c r="A9" s="29" t="s">
        <v>62</v>
      </c>
      <c r="B9" s="24">
        <v>764.91</v>
      </c>
    </row>
    <row r="10" spans="1:8">
      <c r="A10" s="39" t="s">
        <v>138</v>
      </c>
      <c r="B10" s="24">
        <v>488.2</v>
      </c>
    </row>
    <row r="11" spans="1:8">
      <c r="A11" s="29" t="s">
        <v>12</v>
      </c>
      <c r="B11" s="24">
        <v>800.54</v>
      </c>
    </row>
    <row r="12" spans="1:8">
      <c r="A12" s="37" t="s">
        <v>48</v>
      </c>
      <c r="B12" s="32">
        <v>407.58</v>
      </c>
    </row>
    <row r="13" spans="1:8">
      <c r="A13" s="37" t="s">
        <v>118</v>
      </c>
      <c r="B13" s="32">
        <v>475.21</v>
      </c>
    </row>
    <row r="14" spans="1:8">
      <c r="A14" s="29" t="s">
        <v>50</v>
      </c>
      <c r="B14" s="24">
        <v>1124.8800000000001</v>
      </c>
    </row>
    <row r="15" spans="1:8">
      <c r="A15" s="31" t="s">
        <v>13</v>
      </c>
      <c r="B15" s="24">
        <v>1124.8800000000001</v>
      </c>
      <c r="H15" t="s">
        <v>14</v>
      </c>
    </row>
    <row r="16" spans="1:8">
      <c r="A16" s="31" t="s">
        <v>15</v>
      </c>
      <c r="B16" s="24">
        <v>955.39</v>
      </c>
    </row>
    <row r="17" spans="1:2">
      <c r="A17" s="37" t="s">
        <v>69</v>
      </c>
      <c r="B17" s="24">
        <v>508.82</v>
      </c>
    </row>
    <row r="18" spans="1:2">
      <c r="A18" s="29" t="s">
        <v>18</v>
      </c>
      <c r="B18" s="24">
        <v>699.3</v>
      </c>
    </row>
    <row r="19" spans="1:2">
      <c r="A19" s="29" t="s">
        <v>86</v>
      </c>
      <c r="B19" s="24">
        <v>1017.64</v>
      </c>
    </row>
    <row r="20" spans="1:2">
      <c r="A20" s="29" t="s">
        <v>21</v>
      </c>
      <c r="B20" s="24">
        <v>800.54</v>
      </c>
    </row>
    <row r="21" spans="1:2">
      <c r="A21" s="37" t="s">
        <v>87</v>
      </c>
      <c r="B21" s="24">
        <v>1124.8800000000001</v>
      </c>
    </row>
    <row r="22" spans="1:2">
      <c r="A22" s="29" t="s">
        <v>23</v>
      </c>
      <c r="B22" s="24">
        <v>586.05999999999995</v>
      </c>
    </row>
    <row r="23" spans="1:2">
      <c r="A23" s="37" t="s">
        <v>63</v>
      </c>
      <c r="B23" s="24">
        <v>508.82</v>
      </c>
    </row>
    <row r="24" spans="1:2">
      <c r="A24" s="37" t="s">
        <v>88</v>
      </c>
      <c r="B24" s="24">
        <v>874.78</v>
      </c>
    </row>
    <row r="25" spans="1:2">
      <c r="A25" s="29" t="s">
        <v>25</v>
      </c>
      <c r="B25" s="24">
        <v>508.82</v>
      </c>
    </row>
    <row r="26" spans="1:2">
      <c r="A26" s="37" t="s">
        <v>133</v>
      </c>
      <c r="B26" s="32">
        <v>669.68</v>
      </c>
    </row>
    <row r="27" spans="1:2">
      <c r="A27" s="37" t="s">
        <v>141</v>
      </c>
      <c r="B27" s="32">
        <f>458.2+253.09</f>
        <v>711.29</v>
      </c>
    </row>
    <row r="28" spans="1:2">
      <c r="A28" s="37" t="s">
        <v>27</v>
      </c>
      <c r="B28" s="24">
        <v>1124.8800000000001</v>
      </c>
    </row>
    <row r="29" spans="1:2">
      <c r="A29" s="37" t="s">
        <v>126</v>
      </c>
      <c r="B29" s="24">
        <v>392.96</v>
      </c>
    </row>
    <row r="30" spans="1:2">
      <c r="A30" s="29" t="s">
        <v>104</v>
      </c>
      <c r="B30" s="32">
        <v>913.77</v>
      </c>
    </row>
    <row r="31" spans="1:2">
      <c r="A31" s="37" t="s">
        <v>90</v>
      </c>
      <c r="B31" s="24">
        <v>699.3</v>
      </c>
    </row>
    <row r="32" spans="1:2">
      <c r="A32" s="37" t="s">
        <v>134</v>
      </c>
      <c r="B32" s="32">
        <v>407.58</v>
      </c>
    </row>
    <row r="33" spans="1:3">
      <c r="A33" s="29" t="s">
        <v>41</v>
      </c>
      <c r="B33" s="24">
        <v>1124.8800000000001</v>
      </c>
    </row>
    <row r="34" spans="1:3">
      <c r="A34" s="29" t="s">
        <v>31</v>
      </c>
      <c r="B34" s="24">
        <v>1017.64</v>
      </c>
    </row>
    <row r="35" spans="1:3">
      <c r="A35" s="29" t="s">
        <v>80</v>
      </c>
      <c r="B35" s="24">
        <v>699.3</v>
      </c>
    </row>
    <row r="36" spans="1:3">
      <c r="A36" s="29" t="s">
        <v>33</v>
      </c>
      <c r="B36" s="24">
        <v>488.2</v>
      </c>
    </row>
    <row r="37" spans="1:3">
      <c r="A37" s="37" t="s">
        <v>34</v>
      </c>
      <c r="B37" s="24">
        <v>613.05999999999995</v>
      </c>
    </row>
    <row r="38" spans="1:3">
      <c r="A38" s="29" t="s">
        <v>91</v>
      </c>
      <c r="B38" s="24">
        <v>425.58</v>
      </c>
    </row>
    <row r="39" spans="1:3">
      <c r="A39" s="37"/>
      <c r="B39" s="33"/>
      <c r="C39" s="35"/>
    </row>
    <row r="40" spans="1:3">
      <c r="A40" s="29" t="s">
        <v>36</v>
      </c>
      <c r="B40" s="24">
        <v>121.18</v>
      </c>
    </row>
    <row r="41" spans="1:3">
      <c r="A41" s="29"/>
      <c r="B41" s="24"/>
    </row>
    <row r="42" spans="1:3">
      <c r="A42" s="6" t="s">
        <v>37</v>
      </c>
      <c r="B42" s="41">
        <f>SUM(B5:B40)</f>
        <v>24752.020000000004</v>
      </c>
      <c r="C42" s="15"/>
    </row>
    <row r="44" spans="1:3">
      <c r="A44">
        <f>COUNTA(A5:A38)</f>
        <v>34</v>
      </c>
    </row>
    <row r="46" spans="1:3">
      <c r="A46" t="s">
        <v>130</v>
      </c>
    </row>
    <row r="47" spans="1:3" ht="13" customHeight="1">
      <c r="A47" t="s">
        <v>139</v>
      </c>
    </row>
  </sheetData>
  <phoneticPr fontId="6" type="noConversion"/>
  <pageMargins left="0.5" right="0.25" top="0.55000000000000004" bottom="0.8" header="0.35" footer="0.5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50"/>
  <sheetViews>
    <sheetView topLeftCell="A15"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0.5" bestFit="1" customWidth="1"/>
  </cols>
  <sheetData>
    <row r="1" spans="1:2">
      <c r="A1" s="1" t="s">
        <v>0</v>
      </c>
    </row>
    <row r="2" spans="1:2" ht="13.5" customHeight="1">
      <c r="A2" s="1"/>
    </row>
    <row r="3" spans="1:2">
      <c r="A3" s="1" t="s">
        <v>142</v>
      </c>
    </row>
    <row r="4" spans="1:2">
      <c r="B4" s="40" t="s">
        <v>140</v>
      </c>
    </row>
    <row r="5" spans="1:2">
      <c r="A5" s="29" t="s">
        <v>61</v>
      </c>
      <c r="B5" s="24">
        <v>464.2</v>
      </c>
    </row>
    <row r="6" spans="1:2">
      <c r="A6" s="29" t="s">
        <v>9</v>
      </c>
      <c r="B6" s="24">
        <v>669.68</v>
      </c>
    </row>
    <row r="7" spans="1:2">
      <c r="A7" s="37" t="s">
        <v>132</v>
      </c>
      <c r="B7" s="32">
        <v>523.82000000000005</v>
      </c>
    </row>
    <row r="8" spans="1:2">
      <c r="A8" s="42" t="s">
        <v>143</v>
      </c>
      <c r="B8" s="32">
        <v>467.2</v>
      </c>
    </row>
    <row r="9" spans="1:2">
      <c r="A9" s="29" t="s">
        <v>72</v>
      </c>
      <c r="B9" s="24">
        <v>913.77</v>
      </c>
    </row>
    <row r="10" spans="1:2">
      <c r="A10" s="29" t="s">
        <v>62</v>
      </c>
      <c r="B10" s="24">
        <v>764.91</v>
      </c>
    </row>
    <row r="11" spans="1:2">
      <c r="A11" s="37" t="s">
        <v>138</v>
      </c>
      <c r="B11" s="24">
        <v>488.2</v>
      </c>
    </row>
    <row r="12" spans="1:2">
      <c r="A12" s="29" t="s">
        <v>12</v>
      </c>
      <c r="B12" s="24">
        <v>800.54</v>
      </c>
    </row>
    <row r="13" spans="1:2">
      <c r="A13" s="37" t="s">
        <v>48</v>
      </c>
      <c r="B13" s="32">
        <v>407.58</v>
      </c>
    </row>
    <row r="14" spans="1:2">
      <c r="A14" s="37" t="s">
        <v>118</v>
      </c>
      <c r="B14" s="32">
        <v>475.21</v>
      </c>
    </row>
    <row r="15" spans="1:2">
      <c r="A15" s="29" t="s">
        <v>50</v>
      </c>
      <c r="B15" s="24">
        <v>1124.8800000000001</v>
      </c>
    </row>
    <row r="16" spans="1:2">
      <c r="A16" s="34" t="s">
        <v>144</v>
      </c>
      <c r="B16" s="33">
        <v>907.78</v>
      </c>
    </row>
    <row r="17" spans="1:8">
      <c r="A17" s="29" t="s">
        <v>13</v>
      </c>
      <c r="B17" s="24">
        <v>1124.8800000000001</v>
      </c>
      <c r="H17" t="s">
        <v>14</v>
      </c>
    </row>
    <row r="18" spans="1:8">
      <c r="A18" s="31" t="s">
        <v>15</v>
      </c>
      <c r="B18" s="24">
        <v>955.39</v>
      </c>
    </row>
    <row r="19" spans="1:8">
      <c r="A19" s="34" t="s">
        <v>69</v>
      </c>
      <c r="B19" s="33">
        <v>508.82</v>
      </c>
    </row>
    <row r="20" spans="1:8">
      <c r="A20" s="29" t="s">
        <v>18</v>
      </c>
      <c r="B20" s="24">
        <v>699.3</v>
      </c>
    </row>
    <row r="21" spans="1:8">
      <c r="A21" s="29" t="s">
        <v>86</v>
      </c>
      <c r="B21" s="24">
        <v>1017.64</v>
      </c>
    </row>
    <row r="22" spans="1:8">
      <c r="A22" s="29" t="s">
        <v>21</v>
      </c>
      <c r="B22" s="24">
        <v>800.54</v>
      </c>
    </row>
    <row r="23" spans="1:8">
      <c r="A23" s="37" t="s">
        <v>87</v>
      </c>
      <c r="B23" s="24">
        <v>1124.8800000000001</v>
      </c>
    </row>
    <row r="24" spans="1:8">
      <c r="A24" s="29" t="s">
        <v>23</v>
      </c>
      <c r="B24" s="24">
        <v>586.05999999999995</v>
      </c>
    </row>
    <row r="25" spans="1:8">
      <c r="A25" s="37" t="s">
        <v>63</v>
      </c>
      <c r="B25" s="24">
        <v>508.82</v>
      </c>
    </row>
    <row r="26" spans="1:8">
      <c r="A26" s="37" t="s">
        <v>88</v>
      </c>
      <c r="B26" s="24">
        <v>874.78</v>
      </c>
    </row>
    <row r="27" spans="1:8">
      <c r="A27" s="29" t="s">
        <v>25</v>
      </c>
      <c r="B27" s="24">
        <v>508.82</v>
      </c>
    </row>
    <row r="28" spans="1:8">
      <c r="A28" s="37" t="s">
        <v>133</v>
      </c>
      <c r="B28" s="32">
        <v>669.68</v>
      </c>
    </row>
    <row r="29" spans="1:8">
      <c r="A29" s="37" t="s">
        <v>141</v>
      </c>
      <c r="B29" s="32">
        <f>458.2+253.09</f>
        <v>711.29</v>
      </c>
    </row>
    <row r="30" spans="1:8">
      <c r="A30" s="37" t="s">
        <v>27</v>
      </c>
      <c r="B30" s="24">
        <v>1124.8800000000001</v>
      </c>
    </row>
    <row r="31" spans="1:8">
      <c r="A31" s="37" t="s">
        <v>126</v>
      </c>
      <c r="B31" s="24">
        <v>392.96</v>
      </c>
    </row>
    <row r="32" spans="1:8">
      <c r="A32" s="29" t="s">
        <v>104</v>
      </c>
      <c r="B32" s="32">
        <v>913.77</v>
      </c>
    </row>
    <row r="33" spans="1:3">
      <c r="A33" s="37" t="s">
        <v>90</v>
      </c>
      <c r="B33" s="24">
        <v>699.3</v>
      </c>
    </row>
    <row r="34" spans="1:3">
      <c r="A34" s="37" t="s">
        <v>134</v>
      </c>
      <c r="B34" s="32">
        <v>407.58</v>
      </c>
    </row>
    <row r="35" spans="1:3">
      <c r="A35" s="29" t="s">
        <v>41</v>
      </c>
      <c r="B35" s="24">
        <v>1124.8800000000001</v>
      </c>
    </row>
    <row r="36" spans="1:3">
      <c r="A36" s="29" t="s">
        <v>31</v>
      </c>
      <c r="B36" s="24">
        <v>1017.64</v>
      </c>
    </row>
    <row r="37" spans="1:3">
      <c r="A37" s="29" t="s">
        <v>80</v>
      </c>
      <c r="B37" s="24">
        <v>699.3</v>
      </c>
    </row>
    <row r="38" spans="1:3">
      <c r="A38" s="29" t="s">
        <v>33</v>
      </c>
      <c r="B38" s="24">
        <v>488.2</v>
      </c>
    </row>
    <row r="39" spans="1:3">
      <c r="A39" s="37" t="s">
        <v>34</v>
      </c>
      <c r="B39" s="24">
        <v>613.05999999999995</v>
      </c>
    </row>
    <row r="40" spans="1:3">
      <c r="A40" s="29" t="s">
        <v>91</v>
      </c>
      <c r="B40" s="24">
        <v>425.58</v>
      </c>
    </row>
    <row r="41" spans="1:3">
      <c r="A41" s="37"/>
      <c r="B41" s="33"/>
      <c r="C41" s="35"/>
    </row>
    <row r="42" spans="1:3">
      <c r="A42" s="29" t="s">
        <v>36</v>
      </c>
      <c r="B42" s="24">
        <v>2278.2800000000002</v>
      </c>
    </row>
    <row r="43" spans="1:3">
      <c r="A43" s="29"/>
      <c r="B43" s="24"/>
    </row>
    <row r="44" spans="1:3">
      <c r="A44" s="6" t="s">
        <v>37</v>
      </c>
      <c r="B44" s="41">
        <f>SUM(B5:B42)</f>
        <v>28284.100000000002</v>
      </c>
      <c r="C44" s="15"/>
    </row>
    <row r="46" spans="1:3">
      <c r="A46">
        <f>COUNTA(A5:A40)</f>
        <v>36</v>
      </c>
    </row>
    <row r="48" spans="1:3">
      <c r="A48" t="s">
        <v>130</v>
      </c>
    </row>
    <row r="49" spans="1:2" ht="44" customHeight="1">
      <c r="A49" s="420" t="s">
        <v>145</v>
      </c>
      <c r="B49" s="420"/>
    </row>
    <row r="50" spans="1:2">
      <c r="A50" s="12" t="s">
        <v>146</v>
      </c>
    </row>
  </sheetData>
  <mergeCells count="1">
    <mergeCell ref="A49:B49"/>
  </mergeCells>
  <phoneticPr fontId="6" type="noConversion"/>
  <pageMargins left="0.5" right="0.25" top="0.55000000000000004" bottom="0.8" header="0.35" footer="0.5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4"/>
  <sheetViews>
    <sheetView topLeftCell="A31"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0.5" bestFit="1" customWidth="1"/>
  </cols>
  <sheetData>
    <row r="1" spans="1:2">
      <c r="A1" s="1" t="s">
        <v>0</v>
      </c>
    </row>
    <row r="2" spans="1:2" ht="13.5" customHeight="1">
      <c r="A2" s="1"/>
    </row>
    <row r="3" spans="1:2">
      <c r="A3" s="1" t="s">
        <v>147</v>
      </c>
    </row>
    <row r="5" spans="1:2">
      <c r="A5" s="29" t="s">
        <v>61</v>
      </c>
      <c r="B5" s="24">
        <v>464.2</v>
      </c>
    </row>
    <row r="6" spans="1:2">
      <c r="A6" s="29" t="s">
        <v>9</v>
      </c>
      <c r="B6" s="24">
        <v>669.68</v>
      </c>
    </row>
    <row r="7" spans="1:2">
      <c r="A7" s="37" t="s">
        <v>132</v>
      </c>
      <c r="B7" s="32">
        <v>523.82000000000005</v>
      </c>
    </row>
    <row r="8" spans="1:2">
      <c r="A8" s="37" t="s">
        <v>143</v>
      </c>
      <c r="B8" s="32">
        <v>467.2</v>
      </c>
    </row>
    <row r="9" spans="1:2">
      <c r="A9" s="29" t="s">
        <v>72</v>
      </c>
      <c r="B9" s="24">
        <v>913.77</v>
      </c>
    </row>
    <row r="10" spans="1:2">
      <c r="A10" s="29" t="s">
        <v>62</v>
      </c>
      <c r="B10" s="24">
        <v>764.91</v>
      </c>
    </row>
    <row r="11" spans="1:2">
      <c r="A11" s="37" t="s">
        <v>138</v>
      </c>
      <c r="B11" s="24">
        <v>488.2</v>
      </c>
    </row>
    <row r="12" spans="1:2">
      <c r="A12" s="45" t="s">
        <v>152</v>
      </c>
      <c r="B12" s="46">
        <f>800.54+253.09</f>
        <v>1053.6299999999999</v>
      </c>
    </row>
    <row r="13" spans="1:2">
      <c r="A13" s="37" t="s">
        <v>48</v>
      </c>
      <c r="B13" s="32">
        <v>407.58</v>
      </c>
    </row>
    <row r="14" spans="1:2">
      <c r="A14" s="45" t="s">
        <v>118</v>
      </c>
      <c r="B14" s="43"/>
    </row>
    <row r="15" spans="1:2">
      <c r="A15" s="29" t="s">
        <v>50</v>
      </c>
      <c r="B15" s="24">
        <v>1124.8800000000001</v>
      </c>
    </row>
    <row r="16" spans="1:2">
      <c r="A16" s="45" t="s">
        <v>144</v>
      </c>
      <c r="B16" s="44"/>
    </row>
    <row r="17" spans="1:8">
      <c r="A17" s="29" t="s">
        <v>13</v>
      </c>
      <c r="B17" s="24">
        <v>1124.8800000000001</v>
      </c>
      <c r="H17" t="s">
        <v>14</v>
      </c>
    </row>
    <row r="18" spans="1:8">
      <c r="A18" s="31" t="s">
        <v>15</v>
      </c>
      <c r="B18" s="24">
        <v>955.39</v>
      </c>
    </row>
    <row r="19" spans="1:8">
      <c r="A19" s="45" t="s">
        <v>69</v>
      </c>
      <c r="B19" s="44"/>
    </row>
    <row r="20" spans="1:8">
      <c r="A20" s="29" t="s">
        <v>18</v>
      </c>
      <c r="B20" s="24">
        <v>699.3</v>
      </c>
    </row>
    <row r="21" spans="1:8">
      <c r="A21" s="29" t="s">
        <v>86</v>
      </c>
      <c r="B21" s="24">
        <v>1017.64</v>
      </c>
    </row>
    <row r="22" spans="1:8">
      <c r="A22" s="29" t="s">
        <v>21</v>
      </c>
      <c r="B22" s="24">
        <v>800.54</v>
      </c>
    </row>
    <row r="23" spans="1:8">
      <c r="A23" s="37" t="s">
        <v>87</v>
      </c>
      <c r="B23" s="24">
        <v>1124.8800000000001</v>
      </c>
    </row>
    <row r="24" spans="1:8">
      <c r="A24" s="29" t="s">
        <v>23</v>
      </c>
      <c r="B24" s="24">
        <v>586.05999999999995</v>
      </c>
    </row>
    <row r="25" spans="1:8">
      <c r="A25" s="37" t="s">
        <v>63</v>
      </c>
      <c r="B25" s="24">
        <v>508.82</v>
      </c>
    </row>
    <row r="26" spans="1:8">
      <c r="A26" s="37" t="s">
        <v>88</v>
      </c>
      <c r="B26" s="24">
        <v>874.78</v>
      </c>
    </row>
    <row r="27" spans="1:8">
      <c r="A27" s="29" t="s">
        <v>25</v>
      </c>
      <c r="B27" s="24">
        <v>508.82</v>
      </c>
    </row>
    <row r="28" spans="1:8">
      <c r="A28" s="45" t="s">
        <v>148</v>
      </c>
      <c r="B28" s="46">
        <v>455.2</v>
      </c>
    </row>
    <row r="29" spans="1:8">
      <c r="A29" s="37" t="s">
        <v>133</v>
      </c>
      <c r="B29" s="32">
        <v>669.68</v>
      </c>
    </row>
    <row r="30" spans="1:8">
      <c r="A30" s="38" t="s">
        <v>149</v>
      </c>
      <c r="B30" s="43">
        <v>425.58</v>
      </c>
    </row>
    <row r="31" spans="1:8">
      <c r="A31" s="38" t="s">
        <v>151</v>
      </c>
      <c r="B31" s="43">
        <v>461.2</v>
      </c>
    </row>
    <row r="32" spans="1:8">
      <c r="A32" s="37" t="s">
        <v>141</v>
      </c>
      <c r="B32" s="32">
        <f>458.2+253.09</f>
        <v>711.29</v>
      </c>
    </row>
    <row r="33" spans="1:3">
      <c r="A33" s="37" t="s">
        <v>27</v>
      </c>
      <c r="B33" s="24">
        <v>1124.8800000000001</v>
      </c>
    </row>
    <row r="34" spans="1:3">
      <c r="A34" s="38" t="s">
        <v>126</v>
      </c>
      <c r="B34" s="44"/>
    </row>
    <row r="35" spans="1:3">
      <c r="A35" s="29" t="s">
        <v>104</v>
      </c>
      <c r="B35" s="32">
        <v>913.77</v>
      </c>
    </row>
    <row r="36" spans="1:3">
      <c r="A36" s="37" t="s">
        <v>90</v>
      </c>
      <c r="B36" s="24">
        <v>699.3</v>
      </c>
    </row>
    <row r="37" spans="1:3">
      <c r="A37" s="37" t="s">
        <v>134</v>
      </c>
      <c r="B37" s="32">
        <v>407.58</v>
      </c>
    </row>
    <row r="38" spans="1:3">
      <c r="A38" s="29" t="s">
        <v>41</v>
      </c>
      <c r="B38" s="24">
        <v>1124.8800000000001</v>
      </c>
    </row>
    <row r="39" spans="1:3">
      <c r="A39" s="29" t="s">
        <v>31</v>
      </c>
      <c r="B39" s="24">
        <v>1017.64</v>
      </c>
    </row>
    <row r="40" spans="1:3">
      <c r="A40" s="29" t="s">
        <v>80</v>
      </c>
      <c r="B40" s="24">
        <v>699.3</v>
      </c>
    </row>
    <row r="41" spans="1:3">
      <c r="A41" s="38" t="s">
        <v>150</v>
      </c>
      <c r="B41" s="46">
        <v>479.2</v>
      </c>
    </row>
    <row r="42" spans="1:3">
      <c r="A42" s="29" t="s">
        <v>33</v>
      </c>
      <c r="B42" s="24">
        <v>488.2</v>
      </c>
    </row>
    <row r="43" spans="1:3">
      <c r="A43" s="37" t="s">
        <v>34</v>
      </c>
      <c r="B43" s="24">
        <v>613.05999999999995</v>
      </c>
    </row>
    <row r="44" spans="1:3">
      <c r="A44" s="29" t="s">
        <v>91</v>
      </c>
      <c r="B44" s="24">
        <v>425.58</v>
      </c>
    </row>
    <row r="45" spans="1:3">
      <c r="A45" s="37"/>
      <c r="B45" s="33"/>
      <c r="C45" s="35"/>
    </row>
    <row r="46" spans="1:3">
      <c r="A46" s="29" t="s">
        <v>36</v>
      </c>
      <c r="B46" s="24">
        <f>-421</f>
        <v>-421</v>
      </c>
    </row>
    <row r="47" spans="1:3">
      <c r="A47" s="29"/>
      <c r="B47" s="24"/>
    </row>
    <row r="48" spans="1:3">
      <c r="A48" s="6" t="s">
        <v>37</v>
      </c>
      <c r="B48" s="41">
        <f>SUM(B5:B47)</f>
        <v>25374.320000000011</v>
      </c>
      <c r="C48" s="15"/>
    </row>
    <row r="50" spans="1:2">
      <c r="A50">
        <f>COUNTA(A5:A44)</f>
        <v>40</v>
      </c>
    </row>
    <row r="52" spans="1:2">
      <c r="A52" t="s">
        <v>130</v>
      </c>
    </row>
    <row r="53" spans="1:2" ht="29" customHeight="1">
      <c r="A53" s="420" t="s">
        <v>153</v>
      </c>
      <c r="B53" s="420"/>
    </row>
    <row r="54" spans="1:2">
      <c r="A54" s="12"/>
    </row>
  </sheetData>
  <mergeCells count="1">
    <mergeCell ref="A53:B53"/>
  </mergeCells>
  <phoneticPr fontId="6" type="noConversion"/>
  <pageMargins left="0.25" right="0.25" top="0.75" bottom="0.75" header="0.3" footer="0.3"/>
  <pageSetup scale="95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53"/>
  <sheetViews>
    <sheetView topLeftCell="A19" zoomScale="140" zoomScaleNormal="140" zoomScalePageLayoutView="140" workbookViewId="0">
      <selection activeCell="M35" sqref="M3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0.5" bestFit="1" customWidth="1"/>
  </cols>
  <sheetData>
    <row r="1" spans="1:8">
      <c r="A1" s="1" t="s">
        <v>0</v>
      </c>
    </row>
    <row r="2" spans="1:8" ht="13.5" customHeight="1">
      <c r="A2" s="1"/>
    </row>
    <row r="3" spans="1:8">
      <c r="A3" s="1" t="s">
        <v>154</v>
      </c>
    </row>
    <row r="5" spans="1:8">
      <c r="A5" s="29" t="s">
        <v>61</v>
      </c>
      <c r="B5" s="24">
        <v>464.2</v>
      </c>
    </row>
    <row r="6" spans="1:8">
      <c r="A6" s="29" t="s">
        <v>9</v>
      </c>
      <c r="B6" s="24">
        <v>669.68</v>
      </c>
    </row>
    <row r="7" spans="1:8">
      <c r="A7" s="37" t="s">
        <v>132</v>
      </c>
      <c r="B7" s="32">
        <v>523.82000000000005</v>
      </c>
    </row>
    <row r="8" spans="1:8">
      <c r="A8" s="37" t="s">
        <v>143</v>
      </c>
      <c r="B8" s="32">
        <v>467.2</v>
      </c>
    </row>
    <row r="9" spans="1:8">
      <c r="A9" s="29" t="s">
        <v>72</v>
      </c>
      <c r="B9" s="24">
        <v>913.77</v>
      </c>
    </row>
    <row r="10" spans="1:8">
      <c r="A10" s="29" t="s">
        <v>62</v>
      </c>
      <c r="B10" s="24">
        <v>764.91</v>
      </c>
    </row>
    <row r="11" spans="1:8">
      <c r="A11" s="37" t="s">
        <v>138</v>
      </c>
      <c r="B11" s="24">
        <v>488.2</v>
      </c>
    </row>
    <row r="12" spans="1:8">
      <c r="A12" s="29" t="s">
        <v>152</v>
      </c>
      <c r="B12" s="24">
        <f>800.54+253.09</f>
        <v>1053.6299999999999</v>
      </c>
    </row>
    <row r="13" spans="1:8">
      <c r="A13" s="37" t="s">
        <v>48</v>
      </c>
      <c r="B13" s="32">
        <v>407.58</v>
      </c>
    </row>
    <row r="14" spans="1:8">
      <c r="A14" s="45" t="s">
        <v>155</v>
      </c>
      <c r="B14" s="43">
        <f>523.82+253.09</f>
        <v>776.91000000000008</v>
      </c>
    </row>
    <row r="15" spans="1:8">
      <c r="A15" s="29" t="s">
        <v>50</v>
      </c>
      <c r="B15" s="24">
        <v>1124.8800000000001</v>
      </c>
    </row>
    <row r="16" spans="1:8">
      <c r="A16" s="29" t="s">
        <v>13</v>
      </c>
      <c r="B16" s="24">
        <v>1124.8800000000001</v>
      </c>
      <c r="H16" t="s">
        <v>14</v>
      </c>
    </row>
    <row r="17" spans="1:2">
      <c r="A17" s="31" t="s">
        <v>15</v>
      </c>
      <c r="B17" s="24">
        <v>955.39</v>
      </c>
    </row>
    <row r="18" spans="1:2">
      <c r="A18" s="45" t="s">
        <v>156</v>
      </c>
      <c r="B18" s="46">
        <v>376.46</v>
      </c>
    </row>
    <row r="19" spans="1:2">
      <c r="A19" s="29" t="s">
        <v>18</v>
      </c>
      <c r="B19" s="24">
        <v>699.3</v>
      </c>
    </row>
    <row r="20" spans="1:2">
      <c r="A20" s="29" t="s">
        <v>86</v>
      </c>
      <c r="B20" s="24">
        <v>1017.64</v>
      </c>
    </row>
    <row r="21" spans="1:2">
      <c r="A21" s="29" t="s">
        <v>21</v>
      </c>
      <c r="B21" s="24">
        <v>800.54</v>
      </c>
    </row>
    <row r="22" spans="1:2">
      <c r="A22" s="37" t="s">
        <v>87</v>
      </c>
      <c r="B22" s="24">
        <v>1124.8800000000001</v>
      </c>
    </row>
    <row r="23" spans="1:2">
      <c r="A23" s="29" t="s">
        <v>23</v>
      </c>
      <c r="B23" s="24">
        <v>586.05999999999995</v>
      </c>
    </row>
    <row r="24" spans="1:2">
      <c r="A24" s="37" t="s">
        <v>63</v>
      </c>
      <c r="B24" s="24">
        <v>508.82</v>
      </c>
    </row>
    <row r="25" spans="1:2">
      <c r="A25" s="37" t="s">
        <v>88</v>
      </c>
      <c r="B25" s="24">
        <v>874.78</v>
      </c>
    </row>
    <row r="26" spans="1:2">
      <c r="A26" s="29" t="s">
        <v>25</v>
      </c>
      <c r="B26" s="24">
        <v>508.82</v>
      </c>
    </row>
    <row r="27" spans="1:2">
      <c r="A27" s="29" t="s">
        <v>148</v>
      </c>
      <c r="B27" s="24">
        <v>455.2</v>
      </c>
    </row>
    <row r="28" spans="1:2">
      <c r="A28" s="37" t="s">
        <v>133</v>
      </c>
      <c r="B28" s="32">
        <v>669.68</v>
      </c>
    </row>
    <row r="29" spans="1:2">
      <c r="A29" s="37" t="s">
        <v>149</v>
      </c>
      <c r="B29" s="32">
        <v>425.58</v>
      </c>
    </row>
    <row r="30" spans="1:2">
      <c r="A30" s="37" t="s">
        <v>151</v>
      </c>
      <c r="B30" s="32">
        <v>461.2</v>
      </c>
    </row>
    <row r="31" spans="1:2">
      <c r="A31" s="37" t="s">
        <v>141</v>
      </c>
      <c r="B31" s="32">
        <f>458.2+253.09</f>
        <v>711.29</v>
      </c>
    </row>
    <row r="32" spans="1:2">
      <c r="A32" s="37" t="s">
        <v>27</v>
      </c>
      <c r="B32" s="24">
        <v>1124.8800000000001</v>
      </c>
    </row>
    <row r="33" spans="1:3">
      <c r="A33" s="29" t="s">
        <v>104</v>
      </c>
      <c r="B33" s="32">
        <v>913.77</v>
      </c>
    </row>
    <row r="34" spans="1:3">
      <c r="A34" s="37" t="s">
        <v>90</v>
      </c>
      <c r="B34" s="24">
        <v>699.3</v>
      </c>
    </row>
    <row r="35" spans="1:3">
      <c r="A35" s="37" t="s">
        <v>134</v>
      </c>
      <c r="B35" s="32">
        <v>407.58</v>
      </c>
    </row>
    <row r="36" spans="1:3">
      <c r="A36" s="29" t="s">
        <v>41</v>
      </c>
      <c r="B36" s="24">
        <v>1124.8800000000001</v>
      </c>
    </row>
    <row r="37" spans="1:3">
      <c r="A37" s="29" t="s">
        <v>31</v>
      </c>
      <c r="B37" s="24">
        <v>1017.64</v>
      </c>
    </row>
    <row r="38" spans="1:3">
      <c r="A38" s="29" t="s">
        <v>80</v>
      </c>
      <c r="B38" s="24">
        <v>699.3</v>
      </c>
    </row>
    <row r="39" spans="1:3">
      <c r="A39" s="29" t="s">
        <v>157</v>
      </c>
      <c r="B39" s="24">
        <v>562.44000000000005</v>
      </c>
    </row>
    <row r="40" spans="1:3">
      <c r="A40" s="37" t="s">
        <v>150</v>
      </c>
      <c r="B40" s="24">
        <v>479.2</v>
      </c>
    </row>
    <row r="41" spans="1:3">
      <c r="A41" s="29" t="s">
        <v>33</v>
      </c>
      <c r="B41" s="24">
        <v>488.2</v>
      </c>
    </row>
    <row r="42" spans="1:3">
      <c r="A42" s="37" t="s">
        <v>34</v>
      </c>
      <c r="B42" s="24">
        <v>613.05999999999995</v>
      </c>
    </row>
    <row r="43" spans="1:3">
      <c r="A43" s="29" t="s">
        <v>91</v>
      </c>
      <c r="B43" s="24">
        <v>425.58</v>
      </c>
    </row>
    <row r="44" spans="1:3">
      <c r="A44" s="37"/>
      <c r="B44" s="33"/>
      <c r="C44" s="35"/>
    </row>
    <row r="45" spans="1:3">
      <c r="A45" s="29" t="s">
        <v>36</v>
      </c>
      <c r="B45" s="24">
        <f>1269.82</f>
        <v>1269.82</v>
      </c>
    </row>
    <row r="46" spans="1:3">
      <c r="A46" s="29"/>
      <c r="B46" s="24"/>
    </row>
    <row r="47" spans="1:3">
      <c r="A47" s="6" t="s">
        <v>37</v>
      </c>
      <c r="B47" s="41">
        <f>SUM(B5:B46)</f>
        <v>28780.950000000008</v>
      </c>
      <c r="C47" s="15"/>
    </row>
    <row r="49" spans="1:2">
      <c r="A49">
        <f>COUNTA(A5:A43)</f>
        <v>39</v>
      </c>
    </row>
    <row r="51" spans="1:2">
      <c r="A51" t="s">
        <v>130</v>
      </c>
    </row>
    <row r="52" spans="1:2" ht="29" customHeight="1">
      <c r="A52" s="420" t="s">
        <v>153</v>
      </c>
      <c r="B52" s="420"/>
    </row>
    <row r="53" spans="1:2">
      <c r="A53" s="12"/>
    </row>
  </sheetData>
  <mergeCells count="1">
    <mergeCell ref="A52:B52"/>
  </mergeCells>
  <pageMargins left="0.25" right="0.25" top="0.75" bottom="0.75" header="0.3" footer="0.3"/>
  <pageSetup scale="9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H53"/>
  <sheetViews>
    <sheetView zoomScale="140" zoomScaleNormal="140" zoomScalePageLayoutView="140" workbookViewId="0">
      <selection activeCell="F15" sqref="F1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0.5" bestFit="1" customWidth="1"/>
  </cols>
  <sheetData>
    <row r="1" spans="1:8">
      <c r="A1" s="1" t="s">
        <v>0</v>
      </c>
    </row>
    <row r="2" spans="1:8" ht="13.5" customHeight="1">
      <c r="A2" s="1"/>
    </row>
    <row r="3" spans="1:8">
      <c r="A3" s="1" t="s">
        <v>158</v>
      </c>
    </row>
    <row r="5" spans="1:8">
      <c r="A5" s="29" t="s">
        <v>61</v>
      </c>
      <c r="B5" s="24">
        <v>464.2</v>
      </c>
    </row>
    <row r="6" spans="1:8">
      <c r="A6" s="29" t="s">
        <v>9</v>
      </c>
      <c r="B6" s="24">
        <v>669.68</v>
      </c>
    </row>
    <row r="7" spans="1:8">
      <c r="A7" s="37" t="s">
        <v>132</v>
      </c>
      <c r="B7" s="32">
        <v>523.82000000000005</v>
      </c>
    </row>
    <row r="8" spans="1:8">
      <c r="A8" s="37" t="s">
        <v>143</v>
      </c>
      <c r="B8" s="32">
        <v>467.2</v>
      </c>
    </row>
    <row r="9" spans="1:8">
      <c r="A9" s="29" t="s">
        <v>72</v>
      </c>
      <c r="B9" s="24">
        <v>913.77</v>
      </c>
    </row>
    <row r="10" spans="1:8">
      <c r="A10" s="29" t="s">
        <v>62</v>
      </c>
      <c r="B10" s="24">
        <v>764.91</v>
      </c>
    </row>
    <row r="11" spans="1:8">
      <c r="A11" s="37" t="s">
        <v>138</v>
      </c>
      <c r="B11" s="24">
        <v>488.2</v>
      </c>
    </row>
    <row r="12" spans="1:8">
      <c r="A12" s="29" t="s">
        <v>152</v>
      </c>
      <c r="B12" s="24">
        <f>800.54+253.09</f>
        <v>1053.6299999999999</v>
      </c>
    </row>
    <row r="13" spans="1:8">
      <c r="A13" s="37" t="s">
        <v>48</v>
      </c>
      <c r="B13" s="32">
        <v>407.58</v>
      </c>
    </row>
    <row r="14" spans="1:8">
      <c r="A14" s="29" t="s">
        <v>155</v>
      </c>
      <c r="B14" s="32">
        <f>523.82+253.09</f>
        <v>776.91000000000008</v>
      </c>
    </row>
    <row r="15" spans="1:8">
      <c r="A15" s="29" t="s">
        <v>50</v>
      </c>
      <c r="B15" s="24">
        <v>1124.8800000000001</v>
      </c>
    </row>
    <row r="16" spans="1:8">
      <c r="A16" s="29" t="s">
        <v>13</v>
      </c>
      <c r="B16" s="24">
        <v>1124.8800000000001</v>
      </c>
      <c r="H16" t="s">
        <v>14</v>
      </c>
    </row>
    <row r="17" spans="1:2">
      <c r="A17" s="31" t="s">
        <v>15</v>
      </c>
      <c r="B17" s="24">
        <v>955.39</v>
      </c>
    </row>
    <row r="18" spans="1:2">
      <c r="A18" s="29" t="s">
        <v>156</v>
      </c>
      <c r="B18" s="24">
        <v>376.46</v>
      </c>
    </row>
    <row r="19" spans="1:2">
      <c r="A19" s="29" t="s">
        <v>18</v>
      </c>
      <c r="B19" s="24">
        <v>699.3</v>
      </c>
    </row>
    <row r="20" spans="1:2">
      <c r="A20" s="29" t="s">
        <v>86</v>
      </c>
      <c r="B20" s="24">
        <v>1017.64</v>
      </c>
    </row>
    <row r="21" spans="1:2">
      <c r="A21" s="29" t="s">
        <v>21</v>
      </c>
      <c r="B21" s="24">
        <v>800.54</v>
      </c>
    </row>
    <row r="22" spans="1:2">
      <c r="A22" s="37" t="s">
        <v>87</v>
      </c>
      <c r="B22" s="24">
        <v>1124.8800000000001</v>
      </c>
    </row>
    <row r="23" spans="1:2">
      <c r="A23" s="29" t="s">
        <v>23</v>
      </c>
      <c r="B23" s="24">
        <v>586.05999999999995</v>
      </c>
    </row>
    <row r="24" spans="1:2">
      <c r="A24" s="37" t="s">
        <v>63</v>
      </c>
      <c r="B24" s="24">
        <v>508.82</v>
      </c>
    </row>
    <row r="25" spans="1:2">
      <c r="A25" s="37" t="s">
        <v>88</v>
      </c>
      <c r="B25" s="24">
        <v>874.78</v>
      </c>
    </row>
    <row r="26" spans="1:2">
      <c r="A26" s="29" t="s">
        <v>25</v>
      </c>
      <c r="B26" s="24">
        <v>508.82</v>
      </c>
    </row>
    <row r="27" spans="1:2">
      <c r="A27" s="29" t="s">
        <v>148</v>
      </c>
      <c r="B27" s="24">
        <v>455.2</v>
      </c>
    </row>
    <row r="28" spans="1:2">
      <c r="A28" s="37" t="s">
        <v>133</v>
      </c>
      <c r="B28" s="32">
        <v>669.68</v>
      </c>
    </row>
    <row r="29" spans="1:2">
      <c r="A29" s="37" t="s">
        <v>149</v>
      </c>
      <c r="B29" s="32">
        <v>425.58</v>
      </c>
    </row>
    <row r="30" spans="1:2">
      <c r="A30" s="37" t="s">
        <v>151</v>
      </c>
      <c r="B30" s="32">
        <v>461.2</v>
      </c>
    </row>
    <row r="31" spans="1:2">
      <c r="A31" s="37" t="s">
        <v>141</v>
      </c>
      <c r="B31" s="32">
        <f>458.2+253.09</f>
        <v>711.29</v>
      </c>
    </row>
    <row r="32" spans="1:2">
      <c r="A32" s="37" t="s">
        <v>27</v>
      </c>
      <c r="B32" s="24">
        <v>1124.8800000000001</v>
      </c>
    </row>
    <row r="33" spans="1:3">
      <c r="A33" s="29" t="s">
        <v>104</v>
      </c>
      <c r="B33" s="32">
        <v>913.77</v>
      </c>
    </row>
    <row r="34" spans="1:3">
      <c r="A34" s="37" t="s">
        <v>90</v>
      </c>
      <c r="B34" s="24">
        <v>699.3</v>
      </c>
    </row>
    <row r="35" spans="1:3">
      <c r="A35" s="37" t="s">
        <v>134</v>
      </c>
      <c r="B35" s="32">
        <v>407.58</v>
      </c>
    </row>
    <row r="36" spans="1:3">
      <c r="A36" s="29" t="s">
        <v>41</v>
      </c>
      <c r="B36" s="24">
        <v>1124.8800000000001</v>
      </c>
    </row>
    <row r="37" spans="1:3">
      <c r="A37" s="29" t="s">
        <v>31</v>
      </c>
      <c r="B37" s="24">
        <v>1017.64</v>
      </c>
    </row>
    <row r="38" spans="1:3">
      <c r="A38" s="29" t="s">
        <v>80</v>
      </c>
      <c r="B38" s="24">
        <v>699.3</v>
      </c>
    </row>
    <row r="39" spans="1:3">
      <c r="A39" s="29" t="s">
        <v>157</v>
      </c>
      <c r="B39" s="24">
        <v>562.44000000000005</v>
      </c>
    </row>
    <row r="40" spans="1:3">
      <c r="A40" s="37" t="s">
        <v>150</v>
      </c>
      <c r="B40" s="24">
        <v>479.2</v>
      </c>
    </row>
    <row r="41" spans="1:3">
      <c r="A41" s="29" t="s">
        <v>33</v>
      </c>
      <c r="B41" s="24">
        <v>488.2</v>
      </c>
    </row>
    <row r="42" spans="1:3">
      <c r="A42" s="37" t="s">
        <v>34</v>
      </c>
      <c r="B42" s="24">
        <v>613.05999999999995</v>
      </c>
    </row>
    <row r="43" spans="1:3">
      <c r="A43" s="29" t="s">
        <v>91</v>
      </c>
      <c r="B43" s="24">
        <v>425.58</v>
      </c>
    </row>
    <row r="44" spans="1:3">
      <c r="A44" s="37"/>
      <c r="B44" s="33"/>
      <c r="C44" s="35"/>
    </row>
    <row r="45" spans="1:3">
      <c r="A45" s="29" t="s">
        <v>36</v>
      </c>
      <c r="B45" s="24">
        <v>562.44000000000005</v>
      </c>
    </row>
    <row r="46" spans="1:3">
      <c r="A46" s="29"/>
      <c r="B46" s="24"/>
    </row>
    <row r="47" spans="1:3">
      <c r="A47" s="6" t="s">
        <v>37</v>
      </c>
      <c r="B47" s="41">
        <f>SUM(B5:B46)</f>
        <v>28073.570000000007</v>
      </c>
      <c r="C47" s="15"/>
    </row>
    <row r="49" spans="1:2">
      <c r="A49">
        <f>COUNTA(A5:A43)</f>
        <v>39</v>
      </c>
    </row>
    <row r="51" spans="1:2">
      <c r="A51" t="s">
        <v>130</v>
      </c>
    </row>
    <row r="52" spans="1:2" ht="29" customHeight="1">
      <c r="A52" s="420" t="s">
        <v>153</v>
      </c>
      <c r="B52" s="420"/>
    </row>
    <row r="53" spans="1:2">
      <c r="A53" s="12"/>
    </row>
  </sheetData>
  <mergeCells count="1">
    <mergeCell ref="A52:B52"/>
  </mergeCells>
  <pageMargins left="0.25" right="0.25" top="0.75" bottom="0.75" header="0.3" footer="0.3"/>
  <pageSetup scale="9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55"/>
  <sheetViews>
    <sheetView topLeftCell="A10" zoomScale="140" zoomScaleNormal="140" zoomScalePageLayoutView="140" workbookViewId="0">
      <selection activeCell="F15" sqref="F1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0.5" bestFit="1" customWidth="1"/>
  </cols>
  <sheetData>
    <row r="1" spans="1:3">
      <c r="A1" s="1" t="s">
        <v>0</v>
      </c>
    </row>
    <row r="2" spans="1:3" ht="13.5" customHeight="1">
      <c r="A2" s="1"/>
    </row>
    <row r="3" spans="1:3">
      <c r="A3" s="1" t="s">
        <v>159</v>
      </c>
    </row>
    <row r="5" spans="1:3">
      <c r="A5" s="37" t="s">
        <v>132</v>
      </c>
      <c r="B5" s="32">
        <v>523.82000000000005</v>
      </c>
      <c r="C5" t="s">
        <v>162</v>
      </c>
    </row>
    <row r="6" spans="1:3">
      <c r="A6" s="37" t="s">
        <v>143</v>
      </c>
      <c r="B6" s="32">
        <v>467.2</v>
      </c>
      <c r="C6" t="s">
        <v>162</v>
      </c>
    </row>
    <row r="7" spans="1:3">
      <c r="A7" s="29" t="s">
        <v>50</v>
      </c>
      <c r="B7" s="24">
        <v>1124.8800000000001</v>
      </c>
      <c r="C7" t="s">
        <v>162</v>
      </c>
    </row>
    <row r="8" spans="1:3">
      <c r="A8" s="31" t="s">
        <v>15</v>
      </c>
      <c r="B8" s="24">
        <v>955.39</v>
      </c>
      <c r="C8" t="s">
        <v>162</v>
      </c>
    </row>
    <row r="9" spans="1:3">
      <c r="A9" s="37" t="s">
        <v>87</v>
      </c>
      <c r="B9" s="24">
        <v>1124.8800000000001</v>
      </c>
      <c r="C9" t="s">
        <v>162</v>
      </c>
    </row>
    <row r="10" spans="1:3">
      <c r="A10" s="37" t="s">
        <v>63</v>
      </c>
      <c r="B10" s="24">
        <v>508.82</v>
      </c>
      <c r="C10" t="s">
        <v>162</v>
      </c>
    </row>
    <row r="11" spans="1:3">
      <c r="A11" s="37" t="s">
        <v>88</v>
      </c>
      <c r="B11" s="24">
        <v>874.78</v>
      </c>
      <c r="C11" t="s">
        <v>162</v>
      </c>
    </row>
    <row r="12" spans="1:3">
      <c r="A12" s="29" t="s">
        <v>148</v>
      </c>
      <c r="B12" s="24">
        <v>455.2</v>
      </c>
      <c r="C12" t="s">
        <v>162</v>
      </c>
    </row>
    <row r="13" spans="1:3">
      <c r="A13" s="37" t="s">
        <v>141</v>
      </c>
      <c r="B13" s="32">
        <f>458.2+253.09</f>
        <v>711.29</v>
      </c>
      <c r="C13" t="s">
        <v>162</v>
      </c>
    </row>
    <row r="14" spans="1:3">
      <c r="A14" s="37" t="s">
        <v>90</v>
      </c>
      <c r="B14" s="24">
        <v>699.3</v>
      </c>
      <c r="C14" t="s">
        <v>162</v>
      </c>
    </row>
    <row r="15" spans="1:3">
      <c r="A15" s="29" t="s">
        <v>41</v>
      </c>
      <c r="B15" s="24">
        <v>1124.8800000000001</v>
      </c>
      <c r="C15" t="s">
        <v>162</v>
      </c>
    </row>
    <row r="16" spans="1:3">
      <c r="A16" s="37" t="s">
        <v>34</v>
      </c>
      <c r="B16" s="24">
        <v>613.05999999999995</v>
      </c>
      <c r="C16" t="s">
        <v>162</v>
      </c>
    </row>
    <row r="17" spans="1:8">
      <c r="A17" s="29" t="s">
        <v>155</v>
      </c>
      <c r="B17" s="32">
        <f>523.82+253.09</f>
        <v>776.91000000000008</v>
      </c>
      <c r="C17" t="s">
        <v>162</v>
      </c>
    </row>
    <row r="18" spans="1:8">
      <c r="A18" s="37" t="s">
        <v>27</v>
      </c>
      <c r="B18" s="24">
        <v>1124.8800000000001</v>
      </c>
      <c r="C18" t="s">
        <v>162</v>
      </c>
    </row>
    <row r="19" spans="1:8">
      <c r="A19" s="37" t="s">
        <v>138</v>
      </c>
      <c r="B19" s="24">
        <v>488.2</v>
      </c>
    </row>
    <row r="20" spans="1:8">
      <c r="A20" s="29" t="s">
        <v>86</v>
      </c>
      <c r="B20" s="24">
        <v>1017.64</v>
      </c>
    </row>
    <row r="21" spans="1:8">
      <c r="A21" s="29" t="s">
        <v>61</v>
      </c>
      <c r="B21" s="33">
        <v>-928.4</v>
      </c>
    </row>
    <row r="22" spans="1:8">
      <c r="A22" s="29" t="s">
        <v>9</v>
      </c>
      <c r="B22" s="24">
        <v>669.68</v>
      </c>
    </row>
    <row r="23" spans="1:8">
      <c r="A23" s="29" t="s">
        <v>72</v>
      </c>
      <c r="B23" s="24">
        <v>913.77</v>
      </c>
    </row>
    <row r="24" spans="1:8">
      <c r="A24" s="29" t="s">
        <v>62</v>
      </c>
      <c r="B24" s="24">
        <v>764.91</v>
      </c>
    </row>
    <row r="25" spans="1:8">
      <c r="A25" s="29" t="s">
        <v>152</v>
      </c>
      <c r="B25" s="24">
        <f>800.54+253.09</f>
        <v>1053.6299999999999</v>
      </c>
    </row>
    <row r="26" spans="1:8">
      <c r="A26" s="37" t="s">
        <v>48</v>
      </c>
      <c r="B26" s="33">
        <f>660.67+506.18</f>
        <v>1166.8499999999999</v>
      </c>
    </row>
    <row r="27" spans="1:8">
      <c r="A27" s="29" t="s">
        <v>13</v>
      </c>
      <c r="B27" s="24">
        <v>1124.8800000000001</v>
      </c>
      <c r="H27" t="s">
        <v>14</v>
      </c>
    </row>
    <row r="28" spans="1:8">
      <c r="A28" s="29" t="s">
        <v>156</v>
      </c>
      <c r="B28" s="24">
        <v>376.46</v>
      </c>
    </row>
    <row r="29" spans="1:8">
      <c r="A29" s="29" t="s">
        <v>18</v>
      </c>
      <c r="B29" s="24">
        <v>699.3</v>
      </c>
    </row>
    <row r="30" spans="1:8">
      <c r="A30" s="29" t="s">
        <v>21</v>
      </c>
      <c r="B30" s="24">
        <v>800.54</v>
      </c>
    </row>
    <row r="31" spans="1:8">
      <c r="A31" s="29" t="s">
        <v>23</v>
      </c>
      <c r="B31" s="24">
        <v>586.05999999999995</v>
      </c>
    </row>
    <row r="32" spans="1:8">
      <c r="A32" s="29" t="s">
        <v>25</v>
      </c>
      <c r="B32" s="24">
        <v>508.82</v>
      </c>
    </row>
    <row r="33" spans="1:3">
      <c r="A33" s="29" t="s">
        <v>160</v>
      </c>
      <c r="B33" s="33">
        <f>586.06+586.06</f>
        <v>1172.1199999999999</v>
      </c>
    </row>
    <row r="34" spans="1:3">
      <c r="A34" s="37" t="s">
        <v>133</v>
      </c>
      <c r="B34" s="32">
        <v>669.68</v>
      </c>
    </row>
    <row r="35" spans="1:3">
      <c r="A35" s="37" t="s">
        <v>149</v>
      </c>
      <c r="B35" s="32">
        <v>425.58</v>
      </c>
    </row>
    <row r="36" spans="1:3">
      <c r="A36" s="37" t="s">
        <v>151</v>
      </c>
      <c r="B36" s="32">
        <v>461.2</v>
      </c>
    </row>
    <row r="37" spans="1:3">
      <c r="A37" s="29" t="s">
        <v>104</v>
      </c>
      <c r="B37" s="32">
        <v>913.77</v>
      </c>
    </row>
    <row r="38" spans="1:3">
      <c r="A38" s="37" t="s">
        <v>134</v>
      </c>
      <c r="B38" s="32">
        <v>407.58</v>
      </c>
    </row>
    <row r="39" spans="1:3">
      <c r="A39" s="29" t="s">
        <v>161</v>
      </c>
      <c r="B39" s="33">
        <v>699.3</v>
      </c>
    </row>
    <row r="40" spans="1:3">
      <c r="A40" s="29" t="s">
        <v>31</v>
      </c>
      <c r="B40" s="24">
        <v>1017.64</v>
      </c>
    </row>
    <row r="41" spans="1:3">
      <c r="A41" s="29" t="s">
        <v>80</v>
      </c>
      <c r="B41" s="24">
        <v>699.3</v>
      </c>
    </row>
    <row r="42" spans="1:3">
      <c r="A42" s="29" t="s">
        <v>157</v>
      </c>
      <c r="B42" s="24">
        <v>562.44000000000005</v>
      </c>
    </row>
    <row r="43" spans="1:3">
      <c r="A43" s="37" t="s">
        <v>150</v>
      </c>
      <c r="B43" s="24">
        <v>479.2</v>
      </c>
    </row>
    <row r="44" spans="1:3">
      <c r="A44" s="29" t="s">
        <v>33</v>
      </c>
      <c r="B44" s="24">
        <v>488.2</v>
      </c>
    </row>
    <row r="45" spans="1:3">
      <c r="A45" s="29" t="s">
        <v>91</v>
      </c>
      <c r="B45" s="24">
        <v>425.58</v>
      </c>
    </row>
    <row r="46" spans="1:3">
      <c r="A46" s="37"/>
      <c r="B46" s="33"/>
      <c r="C46" s="35"/>
    </row>
    <row r="47" spans="1:3">
      <c r="A47" s="29" t="s">
        <v>36</v>
      </c>
      <c r="B47" s="24">
        <v>0</v>
      </c>
    </row>
    <row r="48" spans="1:3">
      <c r="A48" s="29"/>
      <c r="B48" s="24"/>
    </row>
    <row r="49" spans="1:3">
      <c r="A49" s="6" t="s">
        <v>37</v>
      </c>
      <c r="B49" s="41">
        <f>SUM(B5:B48)</f>
        <v>28749.22</v>
      </c>
      <c r="C49" s="15"/>
    </row>
    <row r="51" spans="1:3">
      <c r="A51">
        <f>COUNTA(A5:A45)</f>
        <v>41</v>
      </c>
    </row>
    <row r="53" spans="1:3">
      <c r="A53" t="s">
        <v>130</v>
      </c>
    </row>
    <row r="54" spans="1:3" ht="29" customHeight="1">
      <c r="A54" s="420" t="s">
        <v>153</v>
      </c>
      <c r="B54" s="420"/>
    </row>
    <row r="55" spans="1:3">
      <c r="A55" s="12"/>
    </row>
  </sheetData>
  <sortState xmlns:xlrd2="http://schemas.microsoft.com/office/spreadsheetml/2017/richdata2" ref="A5:H45">
    <sortCondition ref="C5:C45"/>
  </sortState>
  <mergeCells count="1">
    <mergeCell ref="A54:B54"/>
  </mergeCells>
  <pageMargins left="0.25" right="0.25" top="0.75" bottom="0.75" header="0.3" footer="0.3"/>
  <pageSetup scale="9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53"/>
  <sheetViews>
    <sheetView topLeftCell="A15" zoomScale="140" zoomScaleNormal="140" zoomScalePageLayoutView="140" workbookViewId="0">
      <selection activeCell="F15" sqref="F1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0.5" bestFit="1" customWidth="1"/>
  </cols>
  <sheetData>
    <row r="1" spans="1:8">
      <c r="A1" s="1" t="s">
        <v>0</v>
      </c>
    </row>
    <row r="2" spans="1:8" ht="13.5" customHeight="1">
      <c r="A2" s="1"/>
    </row>
    <row r="3" spans="1:8">
      <c r="A3" s="1" t="s">
        <v>163</v>
      </c>
    </row>
    <row r="5" spans="1:8">
      <c r="A5" s="29" t="s">
        <v>9</v>
      </c>
      <c r="B5" s="24">
        <v>669.68</v>
      </c>
    </row>
    <row r="6" spans="1:8">
      <c r="A6" s="37" t="s">
        <v>132</v>
      </c>
      <c r="B6" s="32">
        <v>523.82000000000005</v>
      </c>
      <c r="C6" t="s">
        <v>162</v>
      </c>
    </row>
    <row r="7" spans="1:8">
      <c r="A7" s="37" t="s">
        <v>143</v>
      </c>
      <c r="B7" s="32">
        <v>467.2</v>
      </c>
      <c r="C7" t="s">
        <v>162</v>
      </c>
    </row>
    <row r="8" spans="1:8">
      <c r="A8" s="29" t="s">
        <v>72</v>
      </c>
      <c r="B8" s="24">
        <v>913.77</v>
      </c>
    </row>
    <row r="9" spans="1:8">
      <c r="A9" s="29" t="s">
        <v>62</v>
      </c>
      <c r="B9" s="24">
        <v>764.91</v>
      </c>
    </row>
    <row r="10" spans="1:8">
      <c r="A10" s="37" t="s">
        <v>138</v>
      </c>
      <c r="B10" s="24">
        <v>488.2</v>
      </c>
    </row>
    <row r="11" spans="1:8">
      <c r="A11" s="29" t="s">
        <v>152</v>
      </c>
      <c r="B11" s="24">
        <f>800.54+253.09</f>
        <v>1053.6299999999999</v>
      </c>
    </row>
    <row r="12" spans="1:8">
      <c r="A12" s="37" t="s">
        <v>48</v>
      </c>
      <c r="B12" s="33">
        <f>660.67</f>
        <v>660.67</v>
      </c>
    </row>
    <row r="13" spans="1:8">
      <c r="A13" s="29" t="s">
        <v>155</v>
      </c>
      <c r="B13" s="32">
        <f>523.82+253.09</f>
        <v>776.91000000000008</v>
      </c>
      <c r="C13" t="s">
        <v>162</v>
      </c>
    </row>
    <row r="14" spans="1:8">
      <c r="A14" s="29" t="s">
        <v>50</v>
      </c>
      <c r="B14" s="24">
        <v>1124.8800000000001</v>
      </c>
      <c r="C14" t="s">
        <v>162</v>
      </c>
    </row>
    <row r="15" spans="1:8">
      <c r="A15" s="29" t="s">
        <v>13</v>
      </c>
      <c r="B15" s="24">
        <v>1124.8800000000001</v>
      </c>
      <c r="H15" t="s">
        <v>14</v>
      </c>
    </row>
    <row r="16" spans="1:8">
      <c r="A16" s="31" t="s">
        <v>15</v>
      </c>
      <c r="B16" s="24">
        <v>955.39</v>
      </c>
      <c r="C16" t="s">
        <v>162</v>
      </c>
    </row>
    <row r="17" spans="1:3">
      <c r="A17" s="29" t="s">
        <v>156</v>
      </c>
      <c r="B17" s="24">
        <v>376.46</v>
      </c>
    </row>
    <row r="18" spans="1:3">
      <c r="A18" s="29" t="s">
        <v>18</v>
      </c>
      <c r="B18" s="24">
        <v>699.3</v>
      </c>
    </row>
    <row r="19" spans="1:3">
      <c r="A19" s="29" t="s">
        <v>86</v>
      </c>
      <c r="B19" s="24">
        <v>1017.64</v>
      </c>
    </row>
    <row r="20" spans="1:3">
      <c r="A20" s="29" t="s">
        <v>21</v>
      </c>
      <c r="B20" s="24">
        <v>800.54</v>
      </c>
    </row>
    <row r="21" spans="1:3">
      <c r="A21" s="37" t="s">
        <v>87</v>
      </c>
      <c r="B21" s="24">
        <v>1124.8800000000001</v>
      </c>
      <c r="C21" t="s">
        <v>162</v>
      </c>
    </row>
    <row r="22" spans="1:3">
      <c r="A22" s="29" t="s">
        <v>23</v>
      </c>
      <c r="B22" s="24">
        <v>586.05999999999995</v>
      </c>
    </row>
    <row r="23" spans="1:3">
      <c r="A23" s="37" t="s">
        <v>63</v>
      </c>
      <c r="B23" s="24">
        <v>508.82</v>
      </c>
      <c r="C23" t="s">
        <v>162</v>
      </c>
    </row>
    <row r="24" spans="1:3">
      <c r="A24" s="37" t="s">
        <v>88</v>
      </c>
      <c r="B24" s="24">
        <v>874.78</v>
      </c>
      <c r="C24" t="s">
        <v>162</v>
      </c>
    </row>
    <row r="25" spans="1:3">
      <c r="A25" s="29" t="s">
        <v>25</v>
      </c>
      <c r="B25" s="24">
        <v>508.82</v>
      </c>
    </row>
    <row r="26" spans="1:3">
      <c r="A26" s="29" t="s">
        <v>160</v>
      </c>
      <c r="B26" s="33">
        <v>586.05999999999995</v>
      </c>
    </row>
    <row r="27" spans="1:3">
      <c r="A27" s="29" t="s">
        <v>148</v>
      </c>
      <c r="B27" s="24">
        <v>455.2</v>
      </c>
      <c r="C27" t="s">
        <v>162</v>
      </c>
    </row>
    <row r="28" spans="1:3">
      <c r="A28" s="37" t="s">
        <v>133</v>
      </c>
      <c r="B28" s="32">
        <v>669.68</v>
      </c>
    </row>
    <row r="29" spans="1:3">
      <c r="A29" s="37" t="s">
        <v>149</v>
      </c>
      <c r="B29" s="32">
        <v>425.58</v>
      </c>
    </row>
    <row r="30" spans="1:3">
      <c r="A30" s="37" t="s">
        <v>151</v>
      </c>
      <c r="B30" s="32">
        <v>461.2</v>
      </c>
    </row>
    <row r="31" spans="1:3">
      <c r="A31" s="37" t="s">
        <v>141</v>
      </c>
      <c r="B31" s="32">
        <f>458.2+253.09</f>
        <v>711.29</v>
      </c>
      <c r="C31" t="s">
        <v>162</v>
      </c>
    </row>
    <row r="32" spans="1:3">
      <c r="A32" s="37" t="s">
        <v>27</v>
      </c>
      <c r="B32" s="24">
        <v>1124.8800000000001</v>
      </c>
      <c r="C32" t="s">
        <v>162</v>
      </c>
    </row>
    <row r="33" spans="1:3">
      <c r="A33" s="29" t="s">
        <v>104</v>
      </c>
      <c r="B33" s="32">
        <v>913.77</v>
      </c>
    </row>
    <row r="34" spans="1:3">
      <c r="A34" s="37" t="s">
        <v>90</v>
      </c>
      <c r="B34" s="24">
        <v>699.3</v>
      </c>
      <c r="C34" t="s">
        <v>162</v>
      </c>
    </row>
    <row r="35" spans="1:3">
      <c r="A35" s="37" t="s">
        <v>134</v>
      </c>
      <c r="B35" s="32">
        <v>407.58</v>
      </c>
    </row>
    <row r="36" spans="1:3">
      <c r="A36" s="29" t="s">
        <v>41</v>
      </c>
      <c r="B36" s="24">
        <v>1124.8800000000001</v>
      </c>
      <c r="C36" t="s">
        <v>162</v>
      </c>
    </row>
    <row r="37" spans="1:3">
      <c r="A37" s="29" t="s">
        <v>31</v>
      </c>
      <c r="B37" s="24">
        <v>1017.64</v>
      </c>
    </row>
    <row r="38" spans="1:3">
      <c r="A38" s="29" t="s">
        <v>157</v>
      </c>
      <c r="B38" s="24">
        <v>562.44000000000005</v>
      </c>
    </row>
    <row r="39" spans="1:3">
      <c r="A39" s="29" t="s">
        <v>80</v>
      </c>
      <c r="B39" s="24">
        <v>699.3</v>
      </c>
    </row>
    <row r="40" spans="1:3">
      <c r="A40" s="37" t="s">
        <v>150</v>
      </c>
      <c r="B40" s="24">
        <v>479.2</v>
      </c>
    </row>
    <row r="41" spans="1:3">
      <c r="A41" s="29" t="s">
        <v>33</v>
      </c>
      <c r="B41" s="24">
        <v>488.2</v>
      </c>
    </row>
    <row r="42" spans="1:3">
      <c r="A42" s="37" t="s">
        <v>34</v>
      </c>
      <c r="B42" s="24">
        <v>613.05999999999995</v>
      </c>
      <c r="C42" t="s">
        <v>162</v>
      </c>
    </row>
    <row r="43" spans="1:3">
      <c r="A43" s="29" t="s">
        <v>91</v>
      </c>
      <c r="B43" s="24">
        <v>425.58</v>
      </c>
    </row>
    <row r="44" spans="1:3">
      <c r="A44" s="37"/>
      <c r="B44" s="33"/>
      <c r="C44" s="35"/>
    </row>
    <row r="45" spans="1:3">
      <c r="A45" s="29" t="s">
        <v>36</v>
      </c>
      <c r="B45" s="24">
        <v>0</v>
      </c>
    </row>
    <row r="46" spans="1:3">
      <c r="A46" s="29"/>
      <c r="B46" s="24"/>
    </row>
    <row r="47" spans="1:3">
      <c r="A47" s="6" t="s">
        <v>37</v>
      </c>
      <c r="B47" s="41">
        <f>SUM(B5:B46)</f>
        <v>27886.080000000009</v>
      </c>
      <c r="C47" s="15"/>
    </row>
    <row r="49" spans="1:2">
      <c r="A49">
        <f>COUNTA(A5:A43)</f>
        <v>39</v>
      </c>
    </row>
    <row r="51" spans="1:2">
      <c r="A51" t="s">
        <v>130</v>
      </c>
    </row>
    <row r="52" spans="1:2" ht="29" customHeight="1">
      <c r="A52" s="420" t="s">
        <v>153</v>
      </c>
      <c r="B52" s="420"/>
    </row>
    <row r="53" spans="1:2">
      <c r="A53" s="12"/>
    </row>
  </sheetData>
  <sortState xmlns:xlrd2="http://schemas.microsoft.com/office/spreadsheetml/2017/richdata2" ref="A5:H45">
    <sortCondition ref="A5:A45"/>
  </sortState>
  <mergeCells count="1">
    <mergeCell ref="A52:B52"/>
  </mergeCells>
  <pageMargins left="0.25" right="0.25" top="0.75" bottom="0.75" header="0.3" footer="0.3"/>
  <pageSetup scale="9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53"/>
  <sheetViews>
    <sheetView topLeftCell="A3" zoomScale="140" zoomScaleNormal="140" zoomScalePageLayoutView="140" workbookViewId="0">
      <selection activeCell="F15" sqref="F1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0.5" bestFit="1" customWidth="1"/>
  </cols>
  <sheetData>
    <row r="1" spans="1:8">
      <c r="A1" s="1" t="s">
        <v>0</v>
      </c>
    </row>
    <row r="2" spans="1:8" ht="13.5" customHeight="1">
      <c r="A2" s="1"/>
    </row>
    <row r="3" spans="1:8">
      <c r="A3" s="1" t="s">
        <v>164</v>
      </c>
    </row>
    <row r="5" spans="1:8">
      <c r="A5" s="29" t="s">
        <v>9</v>
      </c>
      <c r="B5" s="24">
        <v>669.68</v>
      </c>
    </row>
    <row r="6" spans="1:8">
      <c r="A6" s="37" t="s">
        <v>132</v>
      </c>
      <c r="B6" s="32">
        <v>523.82000000000005</v>
      </c>
      <c r="C6" t="s">
        <v>162</v>
      </c>
    </row>
    <row r="7" spans="1:8">
      <c r="A7" s="37" t="s">
        <v>143</v>
      </c>
      <c r="B7" s="32">
        <v>467.2</v>
      </c>
      <c r="C7" t="s">
        <v>162</v>
      </c>
    </row>
    <row r="8" spans="1:8">
      <c r="A8" s="29" t="s">
        <v>72</v>
      </c>
      <c r="B8" s="24">
        <v>913.77</v>
      </c>
    </row>
    <row r="9" spans="1:8">
      <c r="A9" s="29" t="s">
        <v>62</v>
      </c>
      <c r="B9" s="24">
        <v>764.91</v>
      </c>
    </row>
    <row r="10" spans="1:8">
      <c r="A10" s="37" t="s">
        <v>138</v>
      </c>
      <c r="B10" s="24">
        <v>488.2</v>
      </c>
    </row>
    <row r="11" spans="1:8">
      <c r="A11" s="29" t="s">
        <v>152</v>
      </c>
      <c r="B11" s="24">
        <f>800.54+253.09</f>
        <v>1053.6299999999999</v>
      </c>
    </row>
    <row r="12" spans="1:8">
      <c r="A12" s="37" t="s">
        <v>48</v>
      </c>
      <c r="B12" s="24">
        <f>660.67</f>
        <v>660.67</v>
      </c>
    </row>
    <row r="13" spans="1:8">
      <c r="A13" s="29" t="s">
        <v>155</v>
      </c>
      <c r="B13" s="32">
        <f>523.82+253.09</f>
        <v>776.91000000000008</v>
      </c>
      <c r="C13" t="s">
        <v>162</v>
      </c>
    </row>
    <row r="14" spans="1:8">
      <c r="A14" s="29" t="s">
        <v>50</v>
      </c>
      <c r="B14" s="33">
        <v>-5624.4</v>
      </c>
      <c r="C14" t="s">
        <v>162</v>
      </c>
    </row>
    <row r="15" spans="1:8">
      <c r="A15" s="29" t="s">
        <v>13</v>
      </c>
      <c r="B15" s="24">
        <v>1124.8800000000001</v>
      </c>
      <c r="H15" t="s">
        <v>14</v>
      </c>
    </row>
    <row r="16" spans="1:8">
      <c r="A16" s="31" t="s">
        <v>15</v>
      </c>
      <c r="B16" s="24">
        <v>955.39</v>
      </c>
      <c r="C16" t="s">
        <v>162</v>
      </c>
    </row>
    <row r="17" spans="1:3">
      <c r="A17" s="29" t="s">
        <v>156</v>
      </c>
      <c r="B17" s="24">
        <v>376.46</v>
      </c>
    </row>
    <row r="18" spans="1:3">
      <c r="A18" s="29" t="s">
        <v>18</v>
      </c>
      <c r="B18" s="24">
        <v>699.3</v>
      </c>
    </row>
    <row r="19" spans="1:3">
      <c r="A19" s="29" t="s">
        <v>86</v>
      </c>
      <c r="B19" s="24">
        <v>1017.64</v>
      </c>
    </row>
    <row r="20" spans="1:3">
      <c r="A20" s="29" t="s">
        <v>21</v>
      </c>
      <c r="B20" s="24">
        <v>800.54</v>
      </c>
    </row>
    <row r="21" spans="1:3">
      <c r="A21" s="37" t="s">
        <v>87</v>
      </c>
      <c r="B21" s="24">
        <v>1124.8800000000001</v>
      </c>
      <c r="C21" t="s">
        <v>162</v>
      </c>
    </row>
    <row r="22" spans="1:3">
      <c r="A22" s="29" t="s">
        <v>23</v>
      </c>
      <c r="B22" s="24">
        <v>586.05999999999995</v>
      </c>
    </row>
    <row r="23" spans="1:3">
      <c r="A23" s="37" t="s">
        <v>63</v>
      </c>
      <c r="B23" s="24">
        <v>508.82</v>
      </c>
      <c r="C23" t="s">
        <v>162</v>
      </c>
    </row>
    <row r="24" spans="1:3">
      <c r="A24" s="37" t="s">
        <v>88</v>
      </c>
      <c r="B24" s="24">
        <v>874.78</v>
      </c>
      <c r="C24" t="s">
        <v>162</v>
      </c>
    </row>
    <row r="25" spans="1:3">
      <c r="A25" s="29" t="s">
        <v>25</v>
      </c>
      <c r="B25" s="24">
        <v>508.82</v>
      </c>
    </row>
    <row r="26" spans="1:3">
      <c r="A26" s="29" t="s">
        <v>160</v>
      </c>
      <c r="B26" s="24">
        <v>586.05999999999995</v>
      </c>
    </row>
    <row r="27" spans="1:3">
      <c r="A27" s="29" t="s">
        <v>148</v>
      </c>
      <c r="B27" s="24">
        <v>455.2</v>
      </c>
      <c r="C27" t="s">
        <v>162</v>
      </c>
    </row>
    <row r="28" spans="1:3">
      <c r="A28" s="37" t="s">
        <v>133</v>
      </c>
      <c r="B28" s="32">
        <v>669.68</v>
      </c>
    </row>
    <row r="29" spans="1:3">
      <c r="A29" s="37" t="s">
        <v>149</v>
      </c>
      <c r="B29" s="32">
        <v>425.58</v>
      </c>
    </row>
    <row r="30" spans="1:3">
      <c r="A30" s="37" t="s">
        <v>151</v>
      </c>
      <c r="B30" s="32">
        <v>461.2</v>
      </c>
    </row>
    <row r="31" spans="1:3">
      <c r="A31" s="37" t="s">
        <v>141</v>
      </c>
      <c r="B31" s="32">
        <f>458.2+253.09</f>
        <v>711.29</v>
      </c>
      <c r="C31" t="s">
        <v>162</v>
      </c>
    </row>
    <row r="32" spans="1:3">
      <c r="A32" s="37" t="s">
        <v>27</v>
      </c>
      <c r="B32" s="24">
        <v>1124.8800000000001</v>
      </c>
      <c r="C32" t="s">
        <v>162</v>
      </c>
    </row>
    <row r="33" spans="1:3">
      <c r="A33" s="29" t="s">
        <v>104</v>
      </c>
      <c r="B33" s="32">
        <v>913.77</v>
      </c>
    </row>
    <row r="34" spans="1:3">
      <c r="A34" s="37" t="s">
        <v>90</v>
      </c>
      <c r="B34" s="24">
        <v>699.3</v>
      </c>
      <c r="C34" t="s">
        <v>162</v>
      </c>
    </row>
    <row r="35" spans="1:3">
      <c r="A35" s="37" t="s">
        <v>134</v>
      </c>
      <c r="B35" s="32">
        <v>407.58</v>
      </c>
    </row>
    <row r="36" spans="1:3">
      <c r="A36" s="29" t="s">
        <v>41</v>
      </c>
      <c r="B36" s="24">
        <v>1124.8800000000001</v>
      </c>
      <c r="C36" t="s">
        <v>162</v>
      </c>
    </row>
    <row r="37" spans="1:3">
      <c r="A37" s="29" t="s">
        <v>31</v>
      </c>
      <c r="B37" s="24">
        <v>1017.64</v>
      </c>
    </row>
    <row r="38" spans="1:3">
      <c r="A38" s="29" t="s">
        <v>157</v>
      </c>
      <c r="B38" s="24">
        <v>562.44000000000005</v>
      </c>
    </row>
    <row r="39" spans="1:3">
      <c r="A39" s="29" t="s">
        <v>80</v>
      </c>
      <c r="B39" s="24">
        <v>699.3</v>
      </c>
    </row>
    <row r="40" spans="1:3">
      <c r="A40" s="37" t="s">
        <v>150</v>
      </c>
      <c r="B40" s="24">
        <v>479.2</v>
      </c>
    </row>
    <row r="41" spans="1:3">
      <c r="A41" s="29" t="s">
        <v>33</v>
      </c>
      <c r="B41" s="24">
        <v>488.2</v>
      </c>
    </row>
    <row r="42" spans="1:3">
      <c r="A42" s="37" t="s">
        <v>34</v>
      </c>
      <c r="B42" s="24">
        <v>613.05999999999995</v>
      </c>
      <c r="C42" t="s">
        <v>162</v>
      </c>
    </row>
    <row r="43" spans="1:3">
      <c r="A43" s="29" t="s">
        <v>91</v>
      </c>
      <c r="B43" s="24">
        <v>425.58</v>
      </c>
    </row>
    <row r="44" spans="1:3">
      <c r="A44" s="37"/>
      <c r="B44" s="33"/>
      <c r="C44" s="35"/>
    </row>
    <row r="45" spans="1:3">
      <c r="A45" s="29" t="s">
        <v>36</v>
      </c>
      <c r="B45" s="24">
        <v>0</v>
      </c>
    </row>
    <row r="46" spans="1:3">
      <c r="A46" s="29"/>
      <c r="B46" s="24"/>
    </row>
    <row r="47" spans="1:3">
      <c r="A47" s="6" t="s">
        <v>37</v>
      </c>
      <c r="B47" s="41">
        <f>SUM(B5:B46)</f>
        <v>21136.800000000003</v>
      </c>
      <c r="C47" s="15"/>
    </row>
    <row r="49" spans="1:2">
      <c r="A49">
        <f>COUNTA(A5:A43)</f>
        <v>39</v>
      </c>
    </row>
    <row r="51" spans="1:2">
      <c r="A51" t="s">
        <v>130</v>
      </c>
    </row>
    <row r="52" spans="1:2" ht="29" customHeight="1">
      <c r="A52" s="420" t="s">
        <v>153</v>
      </c>
      <c r="B52" s="420"/>
    </row>
    <row r="53" spans="1:2">
      <c r="A53" s="12"/>
    </row>
  </sheetData>
  <mergeCells count="1">
    <mergeCell ref="A52:B52"/>
  </mergeCells>
  <pageMargins left="0.25" right="0.25" top="0.75" bottom="0.75" header="0.3" footer="0.3"/>
  <pageSetup scale="9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53"/>
  <sheetViews>
    <sheetView topLeftCell="A15" zoomScale="140" zoomScaleNormal="140" zoomScalePageLayoutView="140" workbookViewId="0">
      <selection activeCell="F15" sqref="F1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0.5" bestFit="1" customWidth="1"/>
  </cols>
  <sheetData>
    <row r="1" spans="1:8">
      <c r="A1" s="1" t="s">
        <v>0</v>
      </c>
    </row>
    <row r="2" spans="1:8" ht="13.5" customHeight="1">
      <c r="A2" s="1"/>
    </row>
    <row r="3" spans="1:8">
      <c r="A3" s="1" t="s">
        <v>166</v>
      </c>
    </row>
    <row r="5" spans="1:8">
      <c r="A5" s="29" t="s">
        <v>9</v>
      </c>
      <c r="B5" s="24"/>
    </row>
    <row r="6" spans="1:8">
      <c r="A6" s="37" t="s">
        <v>132</v>
      </c>
      <c r="B6" s="32"/>
      <c r="C6" t="s">
        <v>162</v>
      </c>
    </row>
    <row r="7" spans="1:8">
      <c r="A7" s="37" t="s">
        <v>143</v>
      </c>
      <c r="B7" s="32">
        <v>467.2</v>
      </c>
      <c r="C7" t="s">
        <v>162</v>
      </c>
    </row>
    <row r="8" spans="1:8">
      <c r="A8" s="29" t="s">
        <v>72</v>
      </c>
      <c r="B8" s="24">
        <v>913.77</v>
      </c>
    </row>
    <row r="9" spans="1:8">
      <c r="A9" s="29" t="s">
        <v>62</v>
      </c>
      <c r="B9" s="24">
        <v>764.91</v>
      </c>
    </row>
    <row r="10" spans="1:8">
      <c r="A10" s="37" t="s">
        <v>138</v>
      </c>
      <c r="B10" s="24"/>
    </row>
    <row r="11" spans="1:8">
      <c r="A11" s="29" t="s">
        <v>152</v>
      </c>
      <c r="B11" s="24">
        <f>800.54+253.09</f>
        <v>1053.6299999999999</v>
      </c>
    </row>
    <row r="12" spans="1:8">
      <c r="A12" s="37" t="s">
        <v>48</v>
      </c>
      <c r="B12" s="24">
        <f>660.67</f>
        <v>660.67</v>
      </c>
    </row>
    <row r="13" spans="1:8">
      <c r="A13" s="29" t="s">
        <v>155</v>
      </c>
      <c r="B13" s="32"/>
      <c r="C13" t="s">
        <v>162</v>
      </c>
    </row>
    <row r="14" spans="1:8">
      <c r="A14" s="29" t="s">
        <v>50</v>
      </c>
      <c r="B14" s="33"/>
      <c r="C14" t="s">
        <v>162</v>
      </c>
    </row>
    <row r="15" spans="1:8">
      <c r="A15" s="29" t="s">
        <v>13</v>
      </c>
      <c r="B15" s="24">
        <v>1124.8800000000001</v>
      </c>
      <c r="H15" t="s">
        <v>14</v>
      </c>
    </row>
    <row r="16" spans="1:8">
      <c r="A16" s="31" t="s">
        <v>15</v>
      </c>
      <c r="B16" s="24"/>
      <c r="C16" t="s">
        <v>162</v>
      </c>
    </row>
    <row r="17" spans="1:3">
      <c r="A17" s="29" t="s">
        <v>156</v>
      </c>
      <c r="B17" s="24">
        <v>376.46</v>
      </c>
    </row>
    <row r="18" spans="1:3">
      <c r="A18" s="29" t="s">
        <v>18</v>
      </c>
      <c r="B18" s="24">
        <v>699.3</v>
      </c>
    </row>
    <row r="19" spans="1:3">
      <c r="A19" s="29" t="s">
        <v>86</v>
      </c>
      <c r="B19" s="24">
        <v>1017.64</v>
      </c>
    </row>
    <row r="20" spans="1:3">
      <c r="A20" s="29" t="s">
        <v>21</v>
      </c>
      <c r="B20" s="24">
        <v>800.54</v>
      </c>
    </row>
    <row r="21" spans="1:3">
      <c r="A21" s="37" t="s">
        <v>87</v>
      </c>
      <c r="B21" s="24"/>
      <c r="C21" t="s">
        <v>162</v>
      </c>
    </row>
    <row r="22" spans="1:3">
      <c r="A22" s="29" t="s">
        <v>23</v>
      </c>
      <c r="B22" s="24">
        <v>586.05999999999995</v>
      </c>
    </row>
    <row r="23" spans="1:3">
      <c r="A23" s="37" t="s">
        <v>63</v>
      </c>
      <c r="B23" s="24"/>
      <c r="C23" t="s">
        <v>162</v>
      </c>
    </row>
    <row r="24" spans="1:3">
      <c r="A24" s="37" t="s">
        <v>88</v>
      </c>
      <c r="B24" s="24"/>
      <c r="C24" t="s">
        <v>162</v>
      </c>
    </row>
    <row r="25" spans="1:3">
      <c r="A25" s="29" t="s">
        <v>25</v>
      </c>
      <c r="B25" s="24">
        <v>508.82</v>
      </c>
    </row>
    <row r="26" spans="1:3">
      <c r="A26" s="29" t="s">
        <v>160</v>
      </c>
      <c r="B26" s="24">
        <v>586.05999999999995</v>
      </c>
    </row>
    <row r="27" spans="1:3">
      <c r="A27" s="29" t="s">
        <v>148</v>
      </c>
      <c r="B27" s="24">
        <v>455.2</v>
      </c>
    </row>
    <row r="28" spans="1:3">
      <c r="A28" s="37" t="s">
        <v>133</v>
      </c>
      <c r="B28" s="32">
        <v>669.68</v>
      </c>
    </row>
    <row r="29" spans="1:3">
      <c r="A29" s="37" t="s">
        <v>149</v>
      </c>
      <c r="B29" s="32">
        <v>425.58</v>
      </c>
    </row>
    <row r="30" spans="1:3">
      <c r="A30" s="37" t="s">
        <v>151</v>
      </c>
      <c r="B30" s="32">
        <v>461.2</v>
      </c>
    </row>
    <row r="31" spans="1:3">
      <c r="A31" s="37" t="s">
        <v>141</v>
      </c>
      <c r="B31" s="32"/>
      <c r="C31" t="s">
        <v>162</v>
      </c>
    </row>
    <row r="32" spans="1:3">
      <c r="A32" s="37" t="s">
        <v>27</v>
      </c>
      <c r="B32" s="24"/>
      <c r="C32" t="s">
        <v>162</v>
      </c>
    </row>
    <row r="33" spans="1:3">
      <c r="A33" s="29" t="s">
        <v>104</v>
      </c>
      <c r="B33" s="32">
        <v>913.77</v>
      </c>
    </row>
    <row r="34" spans="1:3">
      <c r="A34" s="37" t="s">
        <v>90</v>
      </c>
      <c r="B34" s="24"/>
      <c r="C34" t="s">
        <v>162</v>
      </c>
    </row>
    <row r="35" spans="1:3">
      <c r="A35" s="37" t="s">
        <v>134</v>
      </c>
      <c r="B35" s="32">
        <v>407.58</v>
      </c>
    </row>
    <row r="36" spans="1:3">
      <c r="A36" s="29" t="s">
        <v>41</v>
      </c>
      <c r="B36" s="24"/>
      <c r="C36" t="s">
        <v>162</v>
      </c>
    </row>
    <row r="37" spans="1:3">
      <c r="A37" s="29" t="s">
        <v>31</v>
      </c>
      <c r="B37" s="24">
        <v>1017.64</v>
      </c>
    </row>
    <row r="38" spans="1:3">
      <c r="A38" s="29" t="s">
        <v>157</v>
      </c>
      <c r="B38" s="24">
        <v>562.44000000000005</v>
      </c>
    </row>
    <row r="39" spans="1:3">
      <c r="A39" s="29" t="s">
        <v>80</v>
      </c>
      <c r="B39" s="24">
        <v>699.3</v>
      </c>
    </row>
    <row r="40" spans="1:3">
      <c r="A40" s="37" t="s">
        <v>150</v>
      </c>
      <c r="B40" s="24">
        <v>479.2</v>
      </c>
    </row>
    <row r="41" spans="1:3">
      <c r="A41" s="29" t="s">
        <v>33</v>
      </c>
      <c r="B41" s="24">
        <v>488.2</v>
      </c>
    </row>
    <row r="42" spans="1:3">
      <c r="A42" s="37" t="s">
        <v>34</v>
      </c>
      <c r="B42" s="24"/>
      <c r="C42" t="s">
        <v>162</v>
      </c>
    </row>
    <row r="43" spans="1:3">
      <c r="A43" s="29" t="s">
        <v>91</v>
      </c>
      <c r="B43" s="24">
        <v>425.58</v>
      </c>
    </row>
    <row r="44" spans="1:3">
      <c r="A44" s="37"/>
      <c r="B44" s="33"/>
      <c r="C44" s="35"/>
    </row>
    <row r="45" spans="1:3">
      <c r="A45" s="29" t="s">
        <v>36</v>
      </c>
      <c r="B45" s="24">
        <v>-10866.57</v>
      </c>
    </row>
    <row r="46" spans="1:3">
      <c r="A46" s="29"/>
      <c r="B46" s="24"/>
    </row>
    <row r="47" spans="1:3">
      <c r="A47" s="6" t="s">
        <v>37</v>
      </c>
      <c r="B47" s="41">
        <f>SUM(B5:B46)</f>
        <v>5698.7400000000052</v>
      </c>
      <c r="C47" s="15"/>
    </row>
    <row r="49" spans="1:2">
      <c r="A49">
        <f>COUNTA(A5:A43)</f>
        <v>39</v>
      </c>
      <c r="B49" s="35"/>
    </row>
    <row r="51" spans="1:2">
      <c r="A51" t="s">
        <v>130</v>
      </c>
    </row>
    <row r="52" spans="1:2" ht="29" customHeight="1">
      <c r="A52" s="420" t="s">
        <v>165</v>
      </c>
      <c r="B52" s="420"/>
    </row>
    <row r="53" spans="1:2">
      <c r="A53" s="12"/>
    </row>
  </sheetData>
  <mergeCells count="1">
    <mergeCell ref="A52:B52"/>
  </mergeCells>
  <phoneticPr fontId="6" type="noConversion"/>
  <pageMargins left="0.25" right="0.25" top="0.75" bottom="0.75" header="0.3" footer="0.3"/>
  <pageSetup scale="91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52"/>
  <sheetViews>
    <sheetView topLeftCell="A2" zoomScale="140" zoomScaleNormal="140" zoomScalePageLayoutView="140" workbookViewId="0">
      <selection activeCell="F15" sqref="F15"/>
    </sheetView>
  </sheetViews>
  <sheetFormatPr baseColWidth="10" defaultColWidth="8.83203125" defaultRowHeight="13"/>
  <cols>
    <col min="1" max="1" width="29.33203125" customWidth="1"/>
    <col min="2" max="2" width="21" customWidth="1"/>
    <col min="3" max="3" width="10.5" bestFit="1" customWidth="1"/>
  </cols>
  <sheetData>
    <row r="1" spans="1:8">
      <c r="A1" s="1" t="s">
        <v>0</v>
      </c>
    </row>
    <row r="2" spans="1:8" ht="13.5" customHeight="1">
      <c r="A2" s="1"/>
    </row>
    <row r="3" spans="1:8">
      <c r="A3" s="1" t="s">
        <v>166</v>
      </c>
    </row>
    <row r="5" spans="1:8">
      <c r="A5" s="37" t="s">
        <v>132</v>
      </c>
      <c r="B5" s="32"/>
      <c r="C5" t="s">
        <v>162</v>
      </c>
    </row>
    <row r="6" spans="1:8">
      <c r="A6" s="37" t="s">
        <v>143</v>
      </c>
      <c r="B6" s="32">
        <v>467.2</v>
      </c>
      <c r="C6" t="s">
        <v>162</v>
      </c>
    </row>
    <row r="7" spans="1:8">
      <c r="A7" s="29" t="s">
        <v>72</v>
      </c>
      <c r="B7" s="24">
        <v>913.77</v>
      </c>
    </row>
    <row r="8" spans="1:8">
      <c r="A8" s="29" t="s">
        <v>62</v>
      </c>
      <c r="B8" s="24">
        <v>764.91</v>
      </c>
    </row>
    <row r="9" spans="1:8">
      <c r="A9" s="37" t="s">
        <v>138</v>
      </c>
      <c r="B9" s="24"/>
    </row>
    <row r="10" spans="1:8">
      <c r="A10" s="29" t="s">
        <v>152</v>
      </c>
      <c r="B10" s="24">
        <f>800.54+253.09</f>
        <v>1053.6299999999999</v>
      </c>
    </row>
    <row r="11" spans="1:8">
      <c r="A11" s="37" t="s">
        <v>48</v>
      </c>
      <c r="B11" s="24">
        <f>660.67</f>
        <v>660.67</v>
      </c>
    </row>
    <row r="12" spans="1:8">
      <c r="A12" s="29" t="s">
        <v>155</v>
      </c>
      <c r="B12" s="32"/>
      <c r="C12" t="s">
        <v>162</v>
      </c>
    </row>
    <row r="13" spans="1:8">
      <c r="A13" s="29" t="s">
        <v>50</v>
      </c>
      <c r="B13" s="33"/>
      <c r="C13" t="s">
        <v>162</v>
      </c>
    </row>
    <row r="14" spans="1:8">
      <c r="A14" s="29" t="s">
        <v>13</v>
      </c>
      <c r="B14" s="24">
        <v>1124.8800000000001</v>
      </c>
      <c r="H14" t="s">
        <v>14</v>
      </c>
    </row>
    <row r="15" spans="1:8">
      <c r="A15" s="31" t="s">
        <v>15</v>
      </c>
      <c r="B15" s="24"/>
      <c r="C15" t="s">
        <v>162</v>
      </c>
    </row>
    <row r="16" spans="1:8">
      <c r="A16" s="29" t="s">
        <v>156</v>
      </c>
      <c r="B16" s="24">
        <v>376.46</v>
      </c>
    </row>
    <row r="17" spans="1:3">
      <c r="A17" s="29" t="s">
        <v>18</v>
      </c>
      <c r="B17" s="24">
        <v>699.3</v>
      </c>
    </row>
    <row r="18" spans="1:3">
      <c r="A18" s="29" t="s">
        <v>86</v>
      </c>
      <c r="B18" s="24">
        <v>1017.64</v>
      </c>
    </row>
    <row r="19" spans="1:3">
      <c r="A19" s="29" t="s">
        <v>21</v>
      </c>
      <c r="B19" s="24">
        <v>800.54</v>
      </c>
    </row>
    <row r="20" spans="1:3">
      <c r="A20" s="37" t="s">
        <v>87</v>
      </c>
      <c r="B20" s="24"/>
      <c r="C20" t="s">
        <v>162</v>
      </c>
    </row>
    <row r="21" spans="1:3">
      <c r="A21" s="29" t="s">
        <v>23</v>
      </c>
      <c r="B21" s="24">
        <v>586.05999999999995</v>
      </c>
    </row>
    <row r="22" spans="1:3">
      <c r="A22" s="37" t="s">
        <v>63</v>
      </c>
      <c r="B22" s="24"/>
      <c r="C22" t="s">
        <v>162</v>
      </c>
    </row>
    <row r="23" spans="1:3">
      <c r="A23" s="37" t="s">
        <v>88</v>
      </c>
      <c r="B23" s="24"/>
      <c r="C23" t="s">
        <v>162</v>
      </c>
    </row>
    <row r="24" spans="1:3">
      <c r="A24" s="29" t="s">
        <v>25</v>
      </c>
      <c r="B24" s="24">
        <v>508.82</v>
      </c>
    </row>
    <row r="25" spans="1:3">
      <c r="A25" s="29" t="s">
        <v>160</v>
      </c>
      <c r="B25" s="24">
        <v>586.05999999999995</v>
      </c>
    </row>
    <row r="26" spans="1:3">
      <c r="A26" s="29" t="s">
        <v>148</v>
      </c>
      <c r="B26" s="24">
        <v>455.2</v>
      </c>
    </row>
    <row r="27" spans="1:3">
      <c r="A27" s="37" t="s">
        <v>133</v>
      </c>
      <c r="B27" s="32">
        <v>669.68</v>
      </c>
    </row>
    <row r="28" spans="1:3">
      <c r="A28" s="37" t="s">
        <v>149</v>
      </c>
      <c r="B28" s="32">
        <v>425.58</v>
      </c>
    </row>
    <row r="29" spans="1:3">
      <c r="A29" s="37" t="s">
        <v>151</v>
      </c>
      <c r="B29" s="32">
        <v>461.2</v>
      </c>
    </row>
    <row r="30" spans="1:3">
      <c r="A30" s="37" t="s">
        <v>141</v>
      </c>
      <c r="B30" s="32"/>
      <c r="C30" t="s">
        <v>162</v>
      </c>
    </row>
    <row r="31" spans="1:3">
      <c r="A31" s="37" t="s">
        <v>27</v>
      </c>
      <c r="B31" s="24"/>
      <c r="C31" t="s">
        <v>162</v>
      </c>
    </row>
    <row r="32" spans="1:3">
      <c r="A32" s="29" t="s">
        <v>104</v>
      </c>
      <c r="B32" s="32">
        <v>913.77</v>
      </c>
    </row>
    <row r="33" spans="1:3">
      <c r="A33" s="37" t="s">
        <v>90</v>
      </c>
      <c r="B33" s="24"/>
      <c r="C33" t="s">
        <v>162</v>
      </c>
    </row>
    <row r="34" spans="1:3">
      <c r="A34" s="37" t="s">
        <v>134</v>
      </c>
      <c r="B34" s="32">
        <v>407.58</v>
      </c>
    </row>
    <row r="35" spans="1:3">
      <c r="A35" s="29" t="s">
        <v>41</v>
      </c>
      <c r="B35" s="24"/>
      <c r="C35" t="s">
        <v>162</v>
      </c>
    </row>
    <row r="36" spans="1:3">
      <c r="A36" s="29" t="s">
        <v>31</v>
      </c>
      <c r="B36" s="24">
        <v>1017.64</v>
      </c>
    </row>
    <row r="37" spans="1:3">
      <c r="A37" s="29" t="s">
        <v>157</v>
      </c>
      <c r="B37" s="24">
        <v>562.44000000000005</v>
      </c>
    </row>
    <row r="38" spans="1:3">
      <c r="A38" s="29" t="s">
        <v>80</v>
      </c>
      <c r="B38" s="24">
        <v>699.3</v>
      </c>
    </row>
    <row r="39" spans="1:3">
      <c r="A39" s="37" t="s">
        <v>150</v>
      </c>
      <c r="B39" s="24">
        <v>479.2</v>
      </c>
    </row>
    <row r="40" spans="1:3">
      <c r="A40" s="29" t="s">
        <v>33</v>
      </c>
      <c r="B40" s="24">
        <v>488.2</v>
      </c>
    </row>
    <row r="41" spans="1:3">
      <c r="A41" s="37" t="s">
        <v>34</v>
      </c>
      <c r="B41" s="24"/>
      <c r="C41" t="s">
        <v>162</v>
      </c>
    </row>
    <row r="42" spans="1:3">
      <c r="A42" s="29" t="s">
        <v>91</v>
      </c>
      <c r="B42" s="24">
        <v>425.58</v>
      </c>
    </row>
    <row r="43" spans="1:3">
      <c r="A43" s="37"/>
      <c r="B43" s="33"/>
      <c r="C43" s="35"/>
    </row>
    <row r="44" spans="1:3">
      <c r="A44" s="29" t="s">
        <v>36</v>
      </c>
      <c r="B44" s="24">
        <v>-15437.06</v>
      </c>
    </row>
    <row r="45" spans="1:3">
      <c r="A45" s="29"/>
      <c r="B45" s="24"/>
    </row>
    <row r="46" spans="1:3">
      <c r="A46" s="6" t="s">
        <v>37</v>
      </c>
      <c r="B46" s="41">
        <f>SUM(B5:B45)</f>
        <v>1128.2500000000055</v>
      </c>
      <c r="C46" s="15"/>
    </row>
    <row r="48" spans="1:3">
      <c r="A48">
        <f>COUNTA(A5:A42)</f>
        <v>38</v>
      </c>
      <c r="B48" s="35"/>
    </row>
    <row r="51" spans="1:2" ht="29" customHeight="1">
      <c r="A51" s="420"/>
      <c r="B51" s="420"/>
    </row>
    <row r="52" spans="1:2">
      <c r="A52" s="12"/>
    </row>
  </sheetData>
  <mergeCells count="1">
    <mergeCell ref="A51:B51"/>
  </mergeCells>
  <phoneticPr fontId="6" type="noConversion"/>
  <pageMargins left="0.25" right="0.25" top="0.75" bottom="0.75" header="0.3" footer="0.3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G54"/>
  <sheetViews>
    <sheetView topLeftCell="A23" zoomScale="140" zoomScaleNormal="140" zoomScalePageLayoutView="140" workbookViewId="0">
      <selection activeCell="F15" sqref="F15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167</v>
      </c>
    </row>
    <row r="5" spans="1:7">
      <c r="A5" s="37" t="s">
        <v>132</v>
      </c>
      <c r="B5" s="32">
        <v>523.82000000000005</v>
      </c>
    </row>
    <row r="6" spans="1:7">
      <c r="A6" s="37" t="s">
        <v>143</v>
      </c>
      <c r="B6" s="32">
        <v>467.2</v>
      </c>
    </row>
    <row r="7" spans="1:7">
      <c r="A7" s="29" t="s">
        <v>72</v>
      </c>
      <c r="B7" s="24">
        <v>913.77</v>
      </c>
    </row>
    <row r="8" spans="1:7">
      <c r="A8" s="29" t="s">
        <v>62</v>
      </c>
      <c r="B8" s="24">
        <v>764.91</v>
      </c>
    </row>
    <row r="9" spans="1:7">
      <c r="A9" s="37" t="s">
        <v>138</v>
      </c>
      <c r="B9" s="24">
        <v>488.2</v>
      </c>
    </row>
    <row r="10" spans="1:7">
      <c r="A10" s="29" t="s">
        <v>152</v>
      </c>
      <c r="B10" s="24">
        <f>800.54+253.09</f>
        <v>1053.6299999999999</v>
      </c>
    </row>
    <row r="11" spans="1:7">
      <c r="A11" s="37" t="s">
        <v>169</v>
      </c>
      <c r="B11" s="24">
        <f>407.58+253.09</f>
        <v>660.67</v>
      </c>
    </row>
    <row r="12" spans="1:7">
      <c r="A12" s="34" t="s">
        <v>155</v>
      </c>
      <c r="B12" s="33">
        <v>523.82000000000005</v>
      </c>
    </row>
    <row r="13" spans="1:7">
      <c r="A13" s="29" t="s">
        <v>13</v>
      </c>
      <c r="B13" s="24">
        <v>1124.8800000000001</v>
      </c>
      <c r="G13" t="s">
        <v>14</v>
      </c>
    </row>
    <row r="14" spans="1:7">
      <c r="A14" s="31" t="s">
        <v>15</v>
      </c>
      <c r="B14" s="24">
        <v>955.39</v>
      </c>
    </row>
    <row r="15" spans="1:7">
      <c r="A15" s="29" t="s">
        <v>156</v>
      </c>
      <c r="B15" s="24">
        <v>376.46</v>
      </c>
    </row>
    <row r="16" spans="1:7">
      <c r="A16" s="29" t="s">
        <v>18</v>
      </c>
      <c r="B16" s="24">
        <v>699.3</v>
      </c>
    </row>
    <row r="17" spans="1:2">
      <c r="A17" s="29" t="s">
        <v>86</v>
      </c>
      <c r="B17" s="24">
        <v>1017.64</v>
      </c>
    </row>
    <row r="18" spans="1:2">
      <c r="A18" s="29" t="s">
        <v>21</v>
      </c>
      <c r="B18" s="24">
        <v>800.54</v>
      </c>
    </row>
    <row r="19" spans="1:2">
      <c r="A19" s="37" t="s">
        <v>87</v>
      </c>
      <c r="B19" s="24">
        <v>1124.8800000000001</v>
      </c>
    </row>
    <row r="20" spans="1:2">
      <c r="A20" s="29" t="s">
        <v>23</v>
      </c>
      <c r="B20" s="24">
        <v>586.05999999999995</v>
      </c>
    </row>
    <row r="21" spans="1:2">
      <c r="A21" s="37" t="s">
        <v>63</v>
      </c>
      <c r="B21" s="24">
        <v>508.82</v>
      </c>
    </row>
    <row r="22" spans="1:2">
      <c r="A22" s="37" t="s">
        <v>88</v>
      </c>
      <c r="B22" s="24">
        <v>874.78</v>
      </c>
    </row>
    <row r="23" spans="1:2">
      <c r="A23" s="42" t="s">
        <v>168</v>
      </c>
      <c r="B23" s="24">
        <v>955.39</v>
      </c>
    </row>
    <row r="24" spans="1:2">
      <c r="A24" s="29" t="s">
        <v>25</v>
      </c>
      <c r="B24" s="24">
        <v>508.82</v>
      </c>
    </row>
    <row r="25" spans="1:2">
      <c r="A25" s="29" t="s">
        <v>160</v>
      </c>
      <c r="B25" s="24">
        <v>586.05999999999995</v>
      </c>
    </row>
    <row r="26" spans="1:2">
      <c r="A26" s="29" t="s">
        <v>148</v>
      </c>
      <c r="B26" s="24">
        <v>455.2</v>
      </c>
    </row>
    <row r="27" spans="1:2">
      <c r="A27" s="37" t="s">
        <v>133</v>
      </c>
      <c r="B27" s="32">
        <v>669.68</v>
      </c>
    </row>
    <row r="28" spans="1:2">
      <c r="A28" s="37" t="s">
        <v>149</v>
      </c>
      <c r="B28" s="32">
        <v>425.58</v>
      </c>
    </row>
    <row r="29" spans="1:2">
      <c r="A29" s="37" t="s">
        <v>151</v>
      </c>
      <c r="B29" s="32">
        <v>461.2</v>
      </c>
    </row>
    <row r="30" spans="1:2">
      <c r="A30" s="37" t="s">
        <v>141</v>
      </c>
      <c r="B30" s="32">
        <f>458.2+253.09</f>
        <v>711.29</v>
      </c>
    </row>
    <row r="31" spans="1:2">
      <c r="A31" s="42" t="s">
        <v>170</v>
      </c>
      <c r="B31" s="32">
        <v>461.2</v>
      </c>
    </row>
    <row r="32" spans="1:2">
      <c r="A32" s="37" t="s">
        <v>27</v>
      </c>
      <c r="B32" s="24">
        <v>1124.8800000000001</v>
      </c>
    </row>
    <row r="33" spans="1:2">
      <c r="A33" s="29" t="s">
        <v>104</v>
      </c>
      <c r="B33" s="32">
        <v>913.77</v>
      </c>
    </row>
    <row r="34" spans="1:2">
      <c r="A34" s="37" t="s">
        <v>90</v>
      </c>
      <c r="B34" s="24">
        <v>699.3</v>
      </c>
    </row>
    <row r="35" spans="1:2">
      <c r="A35" s="37" t="s">
        <v>134</v>
      </c>
      <c r="B35" s="32">
        <v>407.58</v>
      </c>
    </row>
    <row r="36" spans="1:2">
      <c r="A36" s="29" t="s">
        <v>41</v>
      </c>
      <c r="B36" s="24">
        <v>1124.8800000000001</v>
      </c>
    </row>
    <row r="37" spans="1:2">
      <c r="A37" s="29" t="s">
        <v>31</v>
      </c>
      <c r="B37" s="24">
        <v>1017.64</v>
      </c>
    </row>
    <row r="38" spans="1:2">
      <c r="A38" s="29" t="s">
        <v>157</v>
      </c>
      <c r="B38" s="24">
        <v>562.44000000000005</v>
      </c>
    </row>
    <row r="39" spans="1:2">
      <c r="A39" s="29" t="s">
        <v>80</v>
      </c>
      <c r="B39" s="24">
        <v>699.3</v>
      </c>
    </row>
    <row r="40" spans="1:2">
      <c r="A40" s="37" t="s">
        <v>150</v>
      </c>
      <c r="B40" s="24">
        <v>479.2</v>
      </c>
    </row>
    <row r="41" spans="1:2">
      <c r="A41" s="29" t="s">
        <v>33</v>
      </c>
      <c r="B41" s="24">
        <v>488.2</v>
      </c>
    </row>
    <row r="42" spans="1:2">
      <c r="A42" s="37" t="s">
        <v>34</v>
      </c>
      <c r="B42" s="24">
        <v>613.05999999999995</v>
      </c>
    </row>
    <row r="43" spans="1:2">
      <c r="A43" s="29" t="s">
        <v>91</v>
      </c>
      <c r="B43" s="24">
        <v>425.58</v>
      </c>
    </row>
    <row r="44" spans="1:2">
      <c r="A44" s="37"/>
      <c r="B44" s="33"/>
    </row>
    <row r="45" spans="1:2">
      <c r="A45" s="29" t="s">
        <v>36</v>
      </c>
      <c r="B45" s="24">
        <v>21379.42</v>
      </c>
    </row>
    <row r="46" spans="1:2">
      <c r="A46" s="29"/>
      <c r="B46" s="24"/>
    </row>
    <row r="47" spans="1:2">
      <c r="A47" s="6" t="s">
        <v>37</v>
      </c>
      <c r="B47" s="41">
        <f>SUM(B5:B46)</f>
        <v>48634.44</v>
      </c>
    </row>
    <row r="49" spans="1:2">
      <c r="A49">
        <f>COUNTA(A5:A43)</f>
        <v>39</v>
      </c>
    </row>
    <row r="51" spans="1:2">
      <c r="A51" t="s">
        <v>130</v>
      </c>
    </row>
    <row r="52" spans="1:2" ht="29" customHeight="1">
      <c r="A52" s="420" t="s">
        <v>171</v>
      </c>
      <c r="B52" s="420"/>
    </row>
    <row r="53" spans="1:2">
      <c r="A53" s="12" t="s">
        <v>172</v>
      </c>
    </row>
    <row r="54" spans="1:2">
      <c r="A54" s="12" t="s">
        <v>173</v>
      </c>
    </row>
  </sheetData>
  <mergeCells count="1">
    <mergeCell ref="A52:B52"/>
  </mergeCells>
  <phoneticPr fontId="6" type="noConversion"/>
  <pageMargins left="1" right="1" top="1" bottom="1" header="0.5" footer="0.5"/>
  <pageSetup scale="90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G55"/>
  <sheetViews>
    <sheetView topLeftCell="A33" zoomScale="140" zoomScaleNormal="140" zoomScalePageLayoutView="140" workbookViewId="0">
      <selection activeCell="F15" sqref="F15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174</v>
      </c>
    </row>
    <row r="5" spans="1:7">
      <c r="A5" s="37" t="s">
        <v>132</v>
      </c>
      <c r="B5" s="32">
        <v>523.82000000000005</v>
      </c>
    </row>
    <row r="6" spans="1:7">
      <c r="A6" s="37" t="s">
        <v>143</v>
      </c>
      <c r="B6" s="32">
        <v>467.2</v>
      </c>
    </row>
    <row r="7" spans="1:7">
      <c r="A7" s="29" t="s">
        <v>72</v>
      </c>
      <c r="B7" s="24">
        <v>913.77</v>
      </c>
    </row>
    <row r="8" spans="1:7">
      <c r="A8" s="29" t="s">
        <v>62</v>
      </c>
      <c r="B8" s="24">
        <v>764.91</v>
      </c>
    </row>
    <row r="9" spans="1:7">
      <c r="A9" s="37" t="s">
        <v>138</v>
      </c>
      <c r="B9" s="24">
        <v>488.2</v>
      </c>
    </row>
    <row r="10" spans="1:7">
      <c r="A10" s="29" t="s">
        <v>152</v>
      </c>
      <c r="B10" s="24">
        <f>800.54+253.09</f>
        <v>1053.6299999999999</v>
      </c>
    </row>
    <row r="11" spans="1:7">
      <c r="A11" s="37" t="s">
        <v>169</v>
      </c>
      <c r="B11" s="24">
        <f>407.58+253.09</f>
        <v>660.67</v>
      </c>
    </row>
    <row r="12" spans="1:7">
      <c r="A12" s="37" t="s">
        <v>155</v>
      </c>
      <c r="B12" s="32">
        <v>523.82000000000005</v>
      </c>
    </row>
    <row r="13" spans="1:7">
      <c r="A13" s="29" t="s">
        <v>13</v>
      </c>
      <c r="B13" s="24">
        <v>1124.8800000000001</v>
      </c>
      <c r="G13" t="s">
        <v>14</v>
      </c>
    </row>
    <row r="14" spans="1:7">
      <c r="A14" s="31" t="s">
        <v>15</v>
      </c>
      <c r="B14" s="24">
        <v>955.39</v>
      </c>
    </row>
    <row r="15" spans="1:7">
      <c r="A15" s="29" t="s">
        <v>156</v>
      </c>
      <c r="B15" s="24">
        <v>376.46</v>
      </c>
    </row>
    <row r="16" spans="1:7">
      <c r="A16" s="29" t="s">
        <v>18</v>
      </c>
      <c r="B16" s="24">
        <v>699.3</v>
      </c>
    </row>
    <row r="17" spans="1:2">
      <c r="A17" s="29" t="s">
        <v>86</v>
      </c>
      <c r="B17" s="24">
        <v>1017.64</v>
      </c>
    </row>
    <row r="18" spans="1:2">
      <c r="A18" s="29" t="s">
        <v>21</v>
      </c>
      <c r="B18" s="24">
        <v>800.54</v>
      </c>
    </row>
    <row r="19" spans="1:2">
      <c r="A19" s="37" t="s">
        <v>87</v>
      </c>
      <c r="B19" s="24">
        <v>1124.8800000000001</v>
      </c>
    </row>
    <row r="20" spans="1:2">
      <c r="A20" s="29" t="s">
        <v>23</v>
      </c>
      <c r="B20" s="24">
        <v>586.05999999999995</v>
      </c>
    </row>
    <row r="21" spans="1:2">
      <c r="A21" s="37" t="s">
        <v>63</v>
      </c>
      <c r="B21" s="24">
        <v>508.82</v>
      </c>
    </row>
    <row r="22" spans="1:2">
      <c r="A22" s="37" t="s">
        <v>88</v>
      </c>
      <c r="B22" s="24">
        <v>874.78</v>
      </c>
    </row>
    <row r="23" spans="1:2">
      <c r="A23" s="37" t="s">
        <v>168</v>
      </c>
      <c r="B23" s="24">
        <v>955.39</v>
      </c>
    </row>
    <row r="24" spans="1:2">
      <c r="A24" s="29" t="s">
        <v>25</v>
      </c>
      <c r="B24" s="24">
        <v>508.82</v>
      </c>
    </row>
    <row r="25" spans="1:2">
      <c r="A25" s="29" t="s">
        <v>160</v>
      </c>
      <c r="B25" s="24">
        <v>586.05999999999995</v>
      </c>
    </row>
    <row r="26" spans="1:2">
      <c r="A26" s="29" t="s">
        <v>148</v>
      </c>
      <c r="B26" s="24">
        <v>455.2</v>
      </c>
    </row>
    <row r="27" spans="1:2">
      <c r="A27" s="37" t="s">
        <v>133</v>
      </c>
      <c r="B27" s="32">
        <v>669.68</v>
      </c>
    </row>
    <row r="28" spans="1:2">
      <c r="A28" s="37" t="s">
        <v>149</v>
      </c>
      <c r="B28" s="32">
        <v>425.58</v>
      </c>
    </row>
    <row r="29" spans="1:2">
      <c r="A29" s="37" t="s">
        <v>151</v>
      </c>
      <c r="B29" s="32">
        <v>461.2</v>
      </c>
    </row>
    <row r="30" spans="1:2">
      <c r="A30" s="37" t="s">
        <v>141</v>
      </c>
      <c r="B30" s="32">
        <f>458.2+253.09</f>
        <v>711.29</v>
      </c>
    </row>
    <row r="31" spans="1:2">
      <c r="A31" s="37" t="s">
        <v>170</v>
      </c>
      <c r="B31" s="32">
        <v>461.2</v>
      </c>
    </row>
    <row r="32" spans="1:2">
      <c r="A32" s="37" t="s">
        <v>27</v>
      </c>
      <c r="B32" s="24">
        <v>1124.8800000000001</v>
      </c>
    </row>
    <row r="33" spans="1:2">
      <c r="A33" s="29" t="s">
        <v>104</v>
      </c>
      <c r="B33" s="32">
        <v>913.77</v>
      </c>
    </row>
    <row r="34" spans="1:2">
      <c r="A34" s="6" t="s">
        <v>175</v>
      </c>
      <c r="B34" s="32">
        <v>458.2</v>
      </c>
    </row>
    <row r="35" spans="1:2">
      <c r="A35" s="37" t="s">
        <v>90</v>
      </c>
      <c r="B35" s="24">
        <v>699.3</v>
      </c>
    </row>
    <row r="36" spans="1:2">
      <c r="A36" s="37" t="s">
        <v>134</v>
      </c>
      <c r="B36" s="32">
        <v>407.58</v>
      </c>
    </row>
    <row r="37" spans="1:2">
      <c r="A37" s="29" t="s">
        <v>41</v>
      </c>
      <c r="B37" s="24">
        <v>1124.8800000000001</v>
      </c>
    </row>
    <row r="38" spans="1:2">
      <c r="A38" s="29" t="s">
        <v>31</v>
      </c>
      <c r="B38" s="24">
        <v>1017.64</v>
      </c>
    </row>
    <row r="39" spans="1:2">
      <c r="A39" s="29" t="s">
        <v>157</v>
      </c>
      <c r="B39" s="24">
        <v>562.44000000000005</v>
      </c>
    </row>
    <row r="40" spans="1:2">
      <c r="A40" s="29" t="s">
        <v>80</v>
      </c>
      <c r="B40" s="24">
        <v>699.3</v>
      </c>
    </row>
    <row r="41" spans="1:2">
      <c r="A41" s="37" t="s">
        <v>150</v>
      </c>
      <c r="B41" s="24">
        <v>479.2</v>
      </c>
    </row>
    <row r="42" spans="1:2">
      <c r="A42" s="29" t="s">
        <v>33</v>
      </c>
      <c r="B42" s="24">
        <v>488.2</v>
      </c>
    </row>
    <row r="43" spans="1:2">
      <c r="A43" s="37" t="s">
        <v>34</v>
      </c>
      <c r="B43" s="24">
        <v>613.05999999999995</v>
      </c>
    </row>
    <row r="44" spans="1:2">
      <c r="A44" s="29" t="s">
        <v>91</v>
      </c>
      <c r="B44" s="24">
        <v>425.58</v>
      </c>
    </row>
    <row r="45" spans="1:2">
      <c r="A45" s="37"/>
      <c r="B45" s="33"/>
    </row>
    <row r="46" spans="1:2">
      <c r="A46" s="29" t="s">
        <v>36</v>
      </c>
      <c r="B46" s="24">
        <v>916.4</v>
      </c>
    </row>
    <row r="47" spans="1:2">
      <c r="A47" s="29"/>
      <c r="B47" s="24"/>
    </row>
    <row r="48" spans="1:2">
      <c r="A48" s="6" t="s">
        <v>37</v>
      </c>
      <c r="B48" s="41">
        <f>SUM(B5:B47)</f>
        <v>28629.62000000001</v>
      </c>
    </row>
    <row r="50" spans="1:2">
      <c r="A50">
        <f>COUNTA(A5:A44)</f>
        <v>40</v>
      </c>
    </row>
    <row r="52" spans="1:2">
      <c r="A52" t="s">
        <v>130</v>
      </c>
    </row>
    <row r="53" spans="1:2" ht="29" customHeight="1">
      <c r="A53" s="420" t="s">
        <v>176</v>
      </c>
      <c r="B53" s="420"/>
    </row>
    <row r="54" spans="1:2">
      <c r="A54" s="12"/>
    </row>
    <row r="55" spans="1:2">
      <c r="A55" s="12"/>
    </row>
  </sheetData>
  <mergeCells count="1">
    <mergeCell ref="A53:B53"/>
  </mergeCells>
  <phoneticPr fontId="6" type="noConversion"/>
  <pageMargins left="1" right="1" top="1" bottom="1" header="0.5" footer="0.5"/>
  <pageSetup scale="80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G55"/>
  <sheetViews>
    <sheetView topLeftCell="A17"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177</v>
      </c>
    </row>
    <row r="4" spans="1:7">
      <c r="B4" s="3" t="s">
        <v>178</v>
      </c>
    </row>
    <row r="5" spans="1:7">
      <c r="A5" s="37" t="s">
        <v>132</v>
      </c>
      <c r="B5" s="32">
        <v>577.33000000000004</v>
      </c>
    </row>
    <row r="6" spans="1:7">
      <c r="A6" s="37" t="s">
        <v>143</v>
      </c>
      <c r="B6" s="32">
        <v>504.56</v>
      </c>
    </row>
    <row r="7" spans="1:7">
      <c r="A7" s="29" t="s">
        <v>72</v>
      </c>
      <c r="B7" s="24">
        <v>1018.72</v>
      </c>
    </row>
    <row r="8" spans="1:7">
      <c r="A8" s="29" t="s">
        <v>62</v>
      </c>
      <c r="B8" s="24">
        <v>853.6</v>
      </c>
    </row>
    <row r="9" spans="1:7">
      <c r="A9" s="37" t="s">
        <v>138</v>
      </c>
      <c r="B9" s="24">
        <v>529.75</v>
      </c>
    </row>
    <row r="10" spans="1:7">
      <c r="A10" s="29" t="s">
        <v>181</v>
      </c>
      <c r="B10" s="24">
        <f>891.58+253.88</f>
        <v>1145.46</v>
      </c>
    </row>
    <row r="11" spans="1:7">
      <c r="A11" s="37" t="s">
        <v>179</v>
      </c>
      <c r="B11" s="24">
        <f>447.39+267.87</f>
        <v>715.26</v>
      </c>
    </row>
    <row r="12" spans="1:7">
      <c r="A12" s="37" t="s">
        <v>155</v>
      </c>
      <c r="B12" s="32">
        <v>577.33000000000004</v>
      </c>
    </row>
    <row r="13" spans="1:7">
      <c r="A13" s="29" t="s">
        <v>13</v>
      </c>
      <c r="B13" s="24">
        <v>1199.43</v>
      </c>
      <c r="G13" t="s">
        <v>14</v>
      </c>
    </row>
    <row r="14" spans="1:7">
      <c r="A14" s="31" t="s">
        <v>15</v>
      </c>
      <c r="B14" s="24">
        <v>1040.71</v>
      </c>
    </row>
    <row r="15" spans="1:7">
      <c r="A15" s="29" t="s">
        <v>156</v>
      </c>
      <c r="B15" s="24">
        <v>409.41</v>
      </c>
    </row>
    <row r="16" spans="1:7">
      <c r="A16" s="29" t="s">
        <v>18</v>
      </c>
      <c r="B16" s="24">
        <v>780.43</v>
      </c>
    </row>
    <row r="17" spans="1:2">
      <c r="A17" s="29" t="s">
        <v>86</v>
      </c>
      <c r="B17" s="24">
        <v>1123.47</v>
      </c>
    </row>
    <row r="18" spans="1:2">
      <c r="A18" s="29" t="s">
        <v>21</v>
      </c>
      <c r="B18" s="24">
        <v>891.58</v>
      </c>
    </row>
    <row r="19" spans="1:2">
      <c r="A19" s="37" t="s">
        <v>87</v>
      </c>
      <c r="B19" s="24">
        <v>1199.43</v>
      </c>
    </row>
    <row r="20" spans="1:2">
      <c r="A20" s="29" t="s">
        <v>23</v>
      </c>
      <c r="B20" s="24">
        <v>653.69000000000005</v>
      </c>
    </row>
    <row r="21" spans="1:2">
      <c r="A21" s="37" t="s">
        <v>63</v>
      </c>
      <c r="B21" s="24">
        <v>558.54</v>
      </c>
    </row>
    <row r="22" spans="1:2">
      <c r="A22" s="37" t="s">
        <v>168</v>
      </c>
      <c r="B22" s="24">
        <v>1040.71</v>
      </c>
    </row>
    <row r="23" spans="1:2">
      <c r="A23" s="37" t="s">
        <v>88</v>
      </c>
      <c r="B23" s="24">
        <v>974.34</v>
      </c>
    </row>
    <row r="24" spans="1:2">
      <c r="A24" s="29" t="s">
        <v>25</v>
      </c>
      <c r="B24" s="24">
        <v>558.54</v>
      </c>
    </row>
    <row r="25" spans="1:2">
      <c r="A25" s="29" t="s">
        <v>160</v>
      </c>
      <c r="B25" s="24">
        <v>653.69000000000005</v>
      </c>
    </row>
    <row r="26" spans="1:2">
      <c r="A26" s="29" t="s">
        <v>148</v>
      </c>
      <c r="B26" s="24">
        <v>488.57</v>
      </c>
    </row>
    <row r="27" spans="1:2">
      <c r="A27" s="37" t="s">
        <v>133</v>
      </c>
      <c r="B27" s="32">
        <v>745.65</v>
      </c>
    </row>
    <row r="28" spans="1:2">
      <c r="A28" s="37" t="s">
        <v>149</v>
      </c>
      <c r="B28" s="32">
        <v>463.38</v>
      </c>
    </row>
    <row r="29" spans="1:2">
      <c r="A29" s="37" t="s">
        <v>151</v>
      </c>
      <c r="B29" s="32">
        <v>494.97</v>
      </c>
    </row>
    <row r="30" spans="1:2">
      <c r="A30" s="37" t="s">
        <v>180</v>
      </c>
      <c r="B30" s="32">
        <f>491.77+267.87</f>
        <v>759.64</v>
      </c>
    </row>
    <row r="31" spans="1:2">
      <c r="A31" s="37" t="s">
        <v>170</v>
      </c>
      <c r="B31" s="32">
        <v>494.97</v>
      </c>
    </row>
    <row r="32" spans="1:2">
      <c r="A32" s="37" t="s">
        <v>27</v>
      </c>
      <c r="B32" s="24">
        <v>1199.43</v>
      </c>
    </row>
    <row r="33" spans="1:2">
      <c r="A33" s="29" t="s">
        <v>104</v>
      </c>
      <c r="B33" s="32">
        <v>1018.72</v>
      </c>
    </row>
    <row r="34" spans="1:2">
      <c r="A34" s="29" t="s">
        <v>175</v>
      </c>
      <c r="B34" s="32">
        <v>491.77</v>
      </c>
    </row>
    <row r="35" spans="1:2">
      <c r="A35" s="37" t="s">
        <v>90</v>
      </c>
      <c r="B35" s="24">
        <v>780.43</v>
      </c>
    </row>
    <row r="36" spans="1:2">
      <c r="A36" s="37" t="s">
        <v>134</v>
      </c>
      <c r="B36" s="32">
        <v>447.39</v>
      </c>
    </row>
    <row r="37" spans="1:2">
      <c r="A37" s="29" t="s">
        <v>41</v>
      </c>
      <c r="B37" s="24">
        <v>1199.43</v>
      </c>
    </row>
    <row r="38" spans="1:2">
      <c r="A38" s="29" t="s">
        <v>31</v>
      </c>
      <c r="B38" s="24">
        <v>1123.47</v>
      </c>
    </row>
    <row r="39" spans="1:2">
      <c r="A39" s="29" t="s">
        <v>157</v>
      </c>
      <c r="B39" s="24">
        <v>624.91</v>
      </c>
    </row>
    <row r="40" spans="1:2">
      <c r="A40" s="29" t="s">
        <v>80</v>
      </c>
      <c r="B40" s="24">
        <v>780.43</v>
      </c>
    </row>
    <row r="41" spans="1:2">
      <c r="A41" s="37" t="s">
        <v>150</v>
      </c>
      <c r="B41" s="24">
        <v>520.55999999999995</v>
      </c>
    </row>
    <row r="42" spans="1:2">
      <c r="A42" s="29" t="s">
        <v>33</v>
      </c>
      <c r="B42" s="24">
        <v>529.75</v>
      </c>
    </row>
    <row r="43" spans="1:2">
      <c r="A43" s="37" t="s">
        <v>34</v>
      </c>
      <c r="B43" s="24">
        <v>682.08</v>
      </c>
    </row>
    <row r="44" spans="1:2">
      <c r="A44" s="29" t="s">
        <v>91</v>
      </c>
      <c r="B44" s="24">
        <v>463.38</v>
      </c>
    </row>
    <row r="45" spans="1:2">
      <c r="A45" s="37"/>
      <c r="B45" s="33"/>
    </row>
    <row r="46" spans="1:2">
      <c r="A46" s="29" t="s">
        <v>36</v>
      </c>
      <c r="B46" s="24"/>
    </row>
    <row r="47" spans="1:2">
      <c r="A47" s="29"/>
      <c r="B47" s="24"/>
    </row>
    <row r="48" spans="1:2">
      <c r="A48" s="6" t="s">
        <v>37</v>
      </c>
      <c r="B48" s="41">
        <f>SUM(B5:B47)</f>
        <v>30314.910000000011</v>
      </c>
    </row>
    <row r="50" spans="1:2">
      <c r="A50">
        <f>COUNTA(A5:A44)</f>
        <v>40</v>
      </c>
    </row>
    <row r="53" spans="1:2" ht="29" customHeight="1">
      <c r="A53" s="420"/>
      <c r="B53" s="420"/>
    </row>
    <row r="54" spans="1:2">
      <c r="A54" s="12"/>
    </row>
    <row r="55" spans="1:2">
      <c r="A55" s="12"/>
    </row>
  </sheetData>
  <mergeCells count="1">
    <mergeCell ref="A53:B53"/>
  </mergeCells>
  <phoneticPr fontId="6" type="noConversion"/>
  <pageMargins left="1" right="1" top="1" bottom="1" header="0.5" footer="0.5"/>
  <pageSetup scale="80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G57"/>
  <sheetViews>
    <sheetView topLeftCell="A20"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182</v>
      </c>
    </row>
    <row r="4" spans="1:7">
      <c r="B4" s="3" t="s">
        <v>178</v>
      </c>
    </row>
    <row r="5" spans="1:7">
      <c r="A5" s="37" t="s">
        <v>132</v>
      </c>
      <c r="B5" s="32">
        <f>577.33+815.62</f>
        <v>1392.95</v>
      </c>
    </row>
    <row r="6" spans="1:7">
      <c r="A6" s="37" t="s">
        <v>143</v>
      </c>
      <c r="B6" s="32">
        <v>504.56</v>
      </c>
    </row>
    <row r="7" spans="1:7">
      <c r="A7" s="29" t="s">
        <v>72</v>
      </c>
      <c r="B7" s="24">
        <v>1018.72</v>
      </c>
    </row>
    <row r="8" spans="1:7">
      <c r="A8" s="29" t="s">
        <v>62</v>
      </c>
      <c r="B8" s="24">
        <v>853.6</v>
      </c>
    </row>
    <row r="9" spans="1:7">
      <c r="A9" s="37" t="s">
        <v>138</v>
      </c>
      <c r="B9" s="24">
        <v>529.75</v>
      </c>
    </row>
    <row r="10" spans="1:7">
      <c r="A10" s="29" t="s">
        <v>181</v>
      </c>
      <c r="B10" s="24">
        <f>891.58+253.88</f>
        <v>1145.46</v>
      </c>
    </row>
    <row r="11" spans="1:7">
      <c r="A11" s="37" t="s">
        <v>179</v>
      </c>
      <c r="B11" s="24">
        <f>447.39+267.87</f>
        <v>715.26</v>
      </c>
    </row>
    <row r="12" spans="1:7">
      <c r="A12" s="37" t="s">
        <v>155</v>
      </c>
      <c r="B12" s="32">
        <f>577.33+267.87</f>
        <v>845.2</v>
      </c>
    </row>
    <row r="13" spans="1:7">
      <c r="A13" s="29" t="s">
        <v>13</v>
      </c>
      <c r="B13" s="24">
        <v>1199.43</v>
      </c>
      <c r="G13" t="s">
        <v>14</v>
      </c>
    </row>
    <row r="14" spans="1:7">
      <c r="A14" s="31" t="s">
        <v>15</v>
      </c>
      <c r="B14" s="24">
        <v>1040.71</v>
      </c>
    </row>
    <row r="15" spans="1:7">
      <c r="A15" s="29" t="s">
        <v>156</v>
      </c>
      <c r="B15" s="24">
        <v>409.41</v>
      </c>
    </row>
    <row r="16" spans="1:7">
      <c r="A16" s="29" t="s">
        <v>18</v>
      </c>
      <c r="B16" s="24">
        <v>780.43</v>
      </c>
    </row>
    <row r="17" spans="1:2">
      <c r="A17" s="29" t="s">
        <v>86</v>
      </c>
      <c r="B17" s="24">
        <v>1123.47</v>
      </c>
    </row>
    <row r="18" spans="1:2">
      <c r="A18" s="29" t="s">
        <v>21</v>
      </c>
      <c r="B18" s="24">
        <v>891.58</v>
      </c>
    </row>
    <row r="19" spans="1:2">
      <c r="A19" s="37" t="s">
        <v>87</v>
      </c>
      <c r="B19" s="24">
        <v>1199.43</v>
      </c>
    </row>
    <row r="20" spans="1:2">
      <c r="A20" s="29" t="s">
        <v>23</v>
      </c>
      <c r="B20" s="24">
        <v>653.69000000000005</v>
      </c>
    </row>
    <row r="21" spans="1:2">
      <c r="A21" s="37" t="s">
        <v>63</v>
      </c>
      <c r="B21" s="24">
        <v>558.54</v>
      </c>
    </row>
    <row r="22" spans="1:2">
      <c r="A22" s="37" t="s">
        <v>168</v>
      </c>
      <c r="B22" s="24">
        <v>1040.71</v>
      </c>
    </row>
    <row r="23" spans="1:2">
      <c r="A23" s="37" t="s">
        <v>88</v>
      </c>
      <c r="B23" s="24">
        <v>974.34</v>
      </c>
    </row>
    <row r="24" spans="1:2">
      <c r="A24" s="29" t="s">
        <v>25</v>
      </c>
      <c r="B24" s="24">
        <v>558.54</v>
      </c>
    </row>
    <row r="25" spans="1:2">
      <c r="A25" s="29" t="s">
        <v>160</v>
      </c>
      <c r="B25" s="24">
        <v>653.69000000000005</v>
      </c>
    </row>
    <row r="26" spans="1:2">
      <c r="A26" s="29" t="s">
        <v>148</v>
      </c>
      <c r="B26" s="24">
        <v>488.57</v>
      </c>
    </row>
    <row r="27" spans="1:2">
      <c r="A27" s="29" t="s">
        <v>183</v>
      </c>
      <c r="B27" s="24">
        <v>577.33000000000004</v>
      </c>
    </row>
    <row r="28" spans="1:2">
      <c r="A28" s="37" t="s">
        <v>133</v>
      </c>
      <c r="B28" s="32">
        <v>745.65</v>
      </c>
    </row>
    <row r="29" spans="1:2">
      <c r="A29" s="37" t="s">
        <v>149</v>
      </c>
      <c r="B29" s="32">
        <v>463.38</v>
      </c>
    </row>
    <row r="30" spans="1:2">
      <c r="A30" s="37" t="s">
        <v>151</v>
      </c>
      <c r="B30" s="32">
        <f>494.97+267.87</f>
        <v>762.84</v>
      </c>
    </row>
    <row r="31" spans="1:2">
      <c r="A31" s="37" t="s">
        <v>180</v>
      </c>
      <c r="B31" s="32">
        <f>491.77+267.87</f>
        <v>759.64</v>
      </c>
    </row>
    <row r="32" spans="1:2">
      <c r="A32" s="37" t="s">
        <v>170</v>
      </c>
      <c r="B32" s="32">
        <v>494.97</v>
      </c>
    </row>
    <row r="33" spans="1:2">
      <c r="A33" s="37" t="s">
        <v>27</v>
      </c>
      <c r="B33" s="24">
        <v>1199.43</v>
      </c>
    </row>
    <row r="34" spans="1:2">
      <c r="A34" s="29" t="s">
        <v>104</v>
      </c>
      <c r="B34" s="32">
        <v>1018.72</v>
      </c>
    </row>
    <row r="35" spans="1:2">
      <c r="A35" s="29" t="s">
        <v>175</v>
      </c>
      <c r="B35" s="32">
        <v>491.77</v>
      </c>
    </row>
    <row r="36" spans="1:2">
      <c r="A36" s="37" t="s">
        <v>90</v>
      </c>
      <c r="B36" s="24">
        <v>780.43</v>
      </c>
    </row>
    <row r="37" spans="1:2">
      <c r="A37" s="37" t="s">
        <v>134</v>
      </c>
      <c r="B37" s="32">
        <v>447.39</v>
      </c>
    </row>
    <row r="38" spans="1:2">
      <c r="A38" s="37" t="s">
        <v>184</v>
      </c>
      <c r="B38" s="32">
        <v>577.33000000000004</v>
      </c>
    </row>
    <row r="39" spans="1:2">
      <c r="A39" s="29" t="s">
        <v>41</v>
      </c>
      <c r="B39" s="24">
        <v>1199.43</v>
      </c>
    </row>
    <row r="40" spans="1:2">
      <c r="A40" s="29" t="s">
        <v>31</v>
      </c>
      <c r="B40" s="24">
        <v>1123.47</v>
      </c>
    </row>
    <row r="41" spans="1:2">
      <c r="A41" s="29" t="s">
        <v>157</v>
      </c>
      <c r="B41" s="24">
        <v>624.91</v>
      </c>
    </row>
    <row r="42" spans="1:2">
      <c r="A42" s="29" t="s">
        <v>80</v>
      </c>
      <c r="B42" s="24">
        <v>780.43</v>
      </c>
    </row>
    <row r="43" spans="1:2">
      <c r="A43" s="37" t="s">
        <v>150</v>
      </c>
      <c r="B43" s="24">
        <v>520.55999999999995</v>
      </c>
    </row>
    <row r="44" spans="1:2">
      <c r="A44" s="29" t="s">
        <v>33</v>
      </c>
      <c r="B44" s="24">
        <v>529.75</v>
      </c>
    </row>
    <row r="45" spans="1:2">
      <c r="A45" s="37" t="s">
        <v>34</v>
      </c>
      <c r="B45" s="24">
        <v>682.08</v>
      </c>
    </row>
    <row r="46" spans="1:2">
      <c r="A46" s="29" t="s">
        <v>91</v>
      </c>
      <c r="B46" s="24">
        <v>463.38</v>
      </c>
    </row>
    <row r="47" spans="1:2">
      <c r="A47" s="37"/>
      <c r="B47" s="33"/>
    </row>
    <row r="48" spans="1:2">
      <c r="A48" s="29" t="s">
        <v>36</v>
      </c>
      <c r="B48" s="24"/>
    </row>
    <row r="49" spans="1:2">
      <c r="A49" s="29"/>
      <c r="B49" s="24"/>
    </row>
    <row r="50" spans="1:2">
      <c r="A50" s="6" t="s">
        <v>37</v>
      </c>
      <c r="B50" s="41">
        <f>SUM(B5:B49)</f>
        <v>32820.930000000008</v>
      </c>
    </row>
    <row r="52" spans="1:2">
      <c r="A52">
        <f>COUNTA(A5:A46)</f>
        <v>42</v>
      </c>
    </row>
    <row r="55" spans="1:2" ht="29" customHeight="1">
      <c r="A55" s="420"/>
      <c r="B55" s="420"/>
    </row>
    <row r="56" spans="1:2">
      <c r="A56" s="12"/>
    </row>
    <row r="57" spans="1:2">
      <c r="A57" s="12"/>
    </row>
  </sheetData>
  <mergeCells count="1">
    <mergeCell ref="A55:B55"/>
  </mergeCells>
  <phoneticPr fontId="6" type="noConversion"/>
  <pageMargins left="1" right="1" top="1" bottom="1" header="0.5" footer="0.5"/>
  <pageSetup scale="80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G59"/>
  <sheetViews>
    <sheetView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185</v>
      </c>
    </row>
    <row r="4" spans="1:7">
      <c r="B4" s="3" t="s">
        <v>178</v>
      </c>
    </row>
    <row r="5" spans="1:7">
      <c r="A5" s="37" t="s">
        <v>132</v>
      </c>
      <c r="B5" s="32">
        <f>577.33+815.62</f>
        <v>1392.95</v>
      </c>
    </row>
    <row r="6" spans="1:7">
      <c r="A6" s="37" t="s">
        <v>143</v>
      </c>
      <c r="B6" s="32">
        <v>504.56</v>
      </c>
    </row>
    <row r="7" spans="1:7">
      <c r="A7" s="29" t="s">
        <v>72</v>
      </c>
      <c r="B7" s="24">
        <v>1018.72</v>
      </c>
    </row>
    <row r="8" spans="1:7">
      <c r="A8" s="29" t="s">
        <v>62</v>
      </c>
      <c r="B8" s="24">
        <v>853.6</v>
      </c>
    </row>
    <row r="9" spans="1:7">
      <c r="A9" s="37" t="s">
        <v>138</v>
      </c>
      <c r="B9" s="24">
        <v>529.75</v>
      </c>
    </row>
    <row r="10" spans="1:7">
      <c r="A10" s="29" t="s">
        <v>181</v>
      </c>
      <c r="B10" s="24">
        <f>891.58+253.88</f>
        <v>1145.46</v>
      </c>
    </row>
    <row r="11" spans="1:7">
      <c r="A11" s="37" t="s">
        <v>179</v>
      </c>
      <c r="B11" s="24">
        <f>447.39+267.87</f>
        <v>715.26</v>
      </c>
    </row>
    <row r="12" spans="1:7">
      <c r="A12" s="37" t="s">
        <v>155</v>
      </c>
      <c r="B12" s="32">
        <f>577.33+267.87</f>
        <v>845.2</v>
      </c>
    </row>
    <row r="13" spans="1:7">
      <c r="A13" s="42" t="s">
        <v>186</v>
      </c>
      <c r="B13" s="32">
        <v>488.57</v>
      </c>
    </row>
    <row r="14" spans="1:7">
      <c r="A14" s="29" t="s">
        <v>13</v>
      </c>
      <c r="B14" s="24">
        <v>1199.43</v>
      </c>
      <c r="G14" t="s">
        <v>14</v>
      </c>
    </row>
    <row r="15" spans="1:7">
      <c r="A15" s="31" t="s">
        <v>15</v>
      </c>
      <c r="B15" s="24">
        <v>1040.71</v>
      </c>
    </row>
    <row r="16" spans="1:7">
      <c r="A16" s="29" t="s">
        <v>156</v>
      </c>
      <c r="B16" s="24">
        <v>409.41</v>
      </c>
    </row>
    <row r="17" spans="1:2">
      <c r="A17" s="29" t="s">
        <v>18</v>
      </c>
      <c r="B17" s="24">
        <v>780.43</v>
      </c>
    </row>
    <row r="18" spans="1:2">
      <c r="A18" s="29" t="s">
        <v>86</v>
      </c>
      <c r="B18" s="24">
        <v>1123.47</v>
      </c>
    </row>
    <row r="19" spans="1:2">
      <c r="A19" s="29" t="s">
        <v>21</v>
      </c>
      <c r="B19" s="24">
        <v>891.58</v>
      </c>
    </row>
    <row r="20" spans="1:2">
      <c r="A20" s="37" t="s">
        <v>87</v>
      </c>
      <c r="B20" s="24">
        <v>1199.43</v>
      </c>
    </row>
    <row r="21" spans="1:2">
      <c r="A21" s="29" t="s">
        <v>23</v>
      </c>
      <c r="B21" s="24">
        <v>653.69000000000005</v>
      </c>
    </row>
    <row r="22" spans="1:2">
      <c r="A22" s="37" t="s">
        <v>63</v>
      </c>
      <c r="B22" s="24">
        <v>558.54</v>
      </c>
    </row>
    <row r="23" spans="1:2">
      <c r="A23" s="37" t="s">
        <v>168</v>
      </c>
      <c r="B23" s="24">
        <v>1040.71</v>
      </c>
    </row>
    <row r="24" spans="1:2">
      <c r="A24" s="37" t="s">
        <v>88</v>
      </c>
      <c r="B24" s="24">
        <v>974.34</v>
      </c>
    </row>
    <row r="25" spans="1:2">
      <c r="A25" s="29" t="s">
        <v>25</v>
      </c>
      <c r="B25" s="24">
        <v>558.54</v>
      </c>
    </row>
    <row r="26" spans="1:2">
      <c r="A26" s="34" t="s">
        <v>160</v>
      </c>
      <c r="B26" s="24">
        <v>653.69000000000005</v>
      </c>
    </row>
    <row r="27" spans="1:2">
      <c r="A27" s="42" t="s">
        <v>187</v>
      </c>
      <c r="B27" s="24">
        <f>624.91+267.87</f>
        <v>892.78</v>
      </c>
    </row>
    <row r="28" spans="1:2">
      <c r="A28" s="29" t="s">
        <v>148</v>
      </c>
      <c r="B28" s="24">
        <v>488.57</v>
      </c>
    </row>
    <row r="29" spans="1:2">
      <c r="A29" s="29" t="s">
        <v>183</v>
      </c>
      <c r="B29" s="24">
        <v>577.33000000000004</v>
      </c>
    </row>
    <row r="30" spans="1:2">
      <c r="A30" s="37" t="s">
        <v>133</v>
      </c>
      <c r="B30" s="32">
        <v>745.65</v>
      </c>
    </row>
    <row r="31" spans="1:2">
      <c r="A31" s="37" t="s">
        <v>149</v>
      </c>
      <c r="B31" s="32">
        <v>463.38</v>
      </c>
    </row>
    <row r="32" spans="1:2">
      <c r="A32" s="37" t="s">
        <v>151</v>
      </c>
      <c r="B32" s="32">
        <f>494.97+267.87</f>
        <v>762.84</v>
      </c>
    </row>
    <row r="33" spans="1:2">
      <c r="A33" s="37" t="s">
        <v>180</v>
      </c>
      <c r="B33" s="32">
        <f>491.77+267.87</f>
        <v>759.64</v>
      </c>
    </row>
    <row r="34" spans="1:2">
      <c r="A34" s="37" t="s">
        <v>170</v>
      </c>
      <c r="B34" s="32">
        <v>494.97</v>
      </c>
    </row>
    <row r="35" spans="1:2">
      <c r="A35" s="37" t="s">
        <v>27</v>
      </c>
      <c r="B35" s="24">
        <v>1199.43</v>
      </c>
    </row>
    <row r="36" spans="1:2">
      <c r="A36" s="29" t="s">
        <v>104</v>
      </c>
      <c r="B36" s="32">
        <v>1018.72</v>
      </c>
    </row>
    <row r="37" spans="1:2">
      <c r="A37" s="29" t="s">
        <v>175</v>
      </c>
      <c r="B37" s="32">
        <v>491.77</v>
      </c>
    </row>
    <row r="38" spans="1:2">
      <c r="A38" s="37" t="s">
        <v>90</v>
      </c>
      <c r="B38" s="24">
        <v>780.43</v>
      </c>
    </row>
    <row r="39" spans="1:2">
      <c r="A39" s="37" t="s">
        <v>134</v>
      </c>
      <c r="B39" s="32">
        <v>447.39</v>
      </c>
    </row>
    <row r="40" spans="1:2">
      <c r="A40" s="37" t="s">
        <v>184</v>
      </c>
      <c r="B40" s="32">
        <v>577.33000000000004</v>
      </c>
    </row>
    <row r="41" spans="1:2">
      <c r="A41" s="29" t="s">
        <v>41</v>
      </c>
      <c r="B41" s="24">
        <v>1199.43</v>
      </c>
    </row>
    <row r="42" spans="1:2">
      <c r="A42" s="29" t="s">
        <v>31</v>
      </c>
      <c r="B42" s="24">
        <v>1123.47</v>
      </c>
    </row>
    <row r="43" spans="1:2">
      <c r="A43" s="29" t="s">
        <v>157</v>
      </c>
      <c r="B43" s="24">
        <v>624.91</v>
      </c>
    </row>
    <row r="44" spans="1:2">
      <c r="A44" s="29" t="s">
        <v>80</v>
      </c>
      <c r="B44" s="24">
        <v>780.43</v>
      </c>
    </row>
    <row r="45" spans="1:2">
      <c r="A45" s="37" t="s">
        <v>150</v>
      </c>
      <c r="B45" s="24">
        <v>520.55999999999995</v>
      </c>
    </row>
    <row r="46" spans="1:2">
      <c r="A46" s="29" t="s">
        <v>33</v>
      </c>
      <c r="B46" s="24">
        <v>529.75</v>
      </c>
    </row>
    <row r="47" spans="1:2">
      <c r="A47" s="37" t="s">
        <v>34</v>
      </c>
      <c r="B47" s="24">
        <v>682.08</v>
      </c>
    </row>
    <row r="48" spans="1:2">
      <c r="A48" s="29" t="s">
        <v>91</v>
      </c>
      <c r="B48" s="24">
        <v>463.38</v>
      </c>
    </row>
    <row r="49" spans="1:4">
      <c r="A49" s="37"/>
      <c r="B49" s="33"/>
    </row>
    <row r="50" spans="1:4">
      <c r="A50" s="29" t="s">
        <v>36</v>
      </c>
      <c r="B50" s="24">
        <f>2762.7+3029.84</f>
        <v>5792.54</v>
      </c>
    </row>
    <row r="51" spans="1:4">
      <c r="A51" s="29"/>
      <c r="B51" s="24"/>
    </row>
    <row r="52" spans="1:4">
      <c r="A52" s="6" t="s">
        <v>37</v>
      </c>
      <c r="B52" s="41">
        <f>SUM(B5:B51)</f>
        <v>39994.820000000007</v>
      </c>
      <c r="D52" s="35"/>
    </row>
    <row r="54" spans="1:4">
      <c r="A54">
        <f>COUNTA(A5:A48)</f>
        <v>44</v>
      </c>
    </row>
    <row r="57" spans="1:4" ht="52" customHeight="1">
      <c r="A57" s="420" t="s">
        <v>188</v>
      </c>
      <c r="B57" s="420"/>
    </row>
    <row r="58" spans="1:4">
      <c r="A58" s="12"/>
    </row>
    <row r="59" spans="1:4">
      <c r="A59" s="12"/>
    </row>
  </sheetData>
  <mergeCells count="1">
    <mergeCell ref="A57:B57"/>
  </mergeCells>
  <phoneticPr fontId="6" type="noConversion"/>
  <pageMargins left="1" right="1" top="1" bottom="1" header="0.5" footer="0.5"/>
  <pageSetup scale="80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G59"/>
  <sheetViews>
    <sheetView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189</v>
      </c>
    </row>
    <row r="4" spans="1:7">
      <c r="B4" s="3" t="s">
        <v>178</v>
      </c>
    </row>
    <row r="5" spans="1:7">
      <c r="A5" s="37" t="s">
        <v>132</v>
      </c>
      <c r="B5" s="32">
        <f>577.33+815.62</f>
        <v>1392.95</v>
      </c>
    </row>
    <row r="6" spans="1:7">
      <c r="A6" s="37" t="s">
        <v>143</v>
      </c>
      <c r="B6" s="32">
        <v>504.56</v>
      </c>
    </row>
    <row r="7" spans="1:7">
      <c r="A7" s="29" t="s">
        <v>72</v>
      </c>
      <c r="B7" s="24">
        <v>1018.72</v>
      </c>
    </row>
    <row r="8" spans="1:7">
      <c r="A8" s="29" t="s">
        <v>62</v>
      </c>
      <c r="B8" s="24">
        <v>853.6</v>
      </c>
    </row>
    <row r="9" spans="1:7">
      <c r="A9" s="37" t="s">
        <v>138</v>
      </c>
      <c r="B9" s="24">
        <v>529.75</v>
      </c>
    </row>
    <row r="10" spans="1:7">
      <c r="A10" s="29" t="s">
        <v>181</v>
      </c>
      <c r="B10" s="24">
        <f>891.58+253.88</f>
        <v>1145.46</v>
      </c>
    </row>
    <row r="11" spans="1:7">
      <c r="A11" s="37" t="s">
        <v>179</v>
      </c>
      <c r="B11" s="24">
        <f>447.39+267.87</f>
        <v>715.26</v>
      </c>
    </row>
    <row r="12" spans="1:7">
      <c r="A12" s="37" t="s">
        <v>155</v>
      </c>
      <c r="B12" s="32">
        <f>577.33+267.87</f>
        <v>845.2</v>
      </c>
    </row>
    <row r="13" spans="1:7">
      <c r="A13" s="42" t="s">
        <v>186</v>
      </c>
      <c r="B13" s="32">
        <v>488.57</v>
      </c>
    </row>
    <row r="14" spans="1:7">
      <c r="A14" s="29" t="s">
        <v>13</v>
      </c>
      <c r="B14" s="24">
        <v>1199.43</v>
      </c>
      <c r="G14" t="s">
        <v>14</v>
      </c>
    </row>
    <row r="15" spans="1:7">
      <c r="A15" s="31" t="s">
        <v>15</v>
      </c>
      <c r="B15" s="24">
        <v>1040.71</v>
      </c>
    </row>
    <row r="16" spans="1:7">
      <c r="A16" s="29" t="s">
        <v>156</v>
      </c>
      <c r="B16" s="24">
        <v>409.41</v>
      </c>
    </row>
    <row r="17" spans="1:2">
      <c r="A17" s="29" t="s">
        <v>18</v>
      </c>
      <c r="B17" s="24">
        <v>780.43</v>
      </c>
    </row>
    <row r="18" spans="1:2">
      <c r="A18" s="29" t="s">
        <v>86</v>
      </c>
      <c r="B18" s="24">
        <v>1123.47</v>
      </c>
    </row>
    <row r="19" spans="1:2">
      <c r="A19" s="29" t="s">
        <v>21</v>
      </c>
      <c r="B19" s="24">
        <v>891.58</v>
      </c>
    </row>
    <row r="20" spans="1:2">
      <c r="A20" s="37" t="s">
        <v>87</v>
      </c>
      <c r="B20" s="24">
        <v>1199.43</v>
      </c>
    </row>
    <row r="21" spans="1:2">
      <c r="A21" s="29" t="s">
        <v>23</v>
      </c>
      <c r="B21" s="24">
        <v>653.69000000000005</v>
      </c>
    </row>
    <row r="22" spans="1:2">
      <c r="A22" s="37" t="s">
        <v>63</v>
      </c>
      <c r="B22" s="24">
        <v>558.54</v>
      </c>
    </row>
    <row r="23" spans="1:2">
      <c r="A23" s="37" t="s">
        <v>168</v>
      </c>
      <c r="B23" s="24">
        <v>1040.71</v>
      </c>
    </row>
    <row r="24" spans="1:2">
      <c r="A24" s="37" t="s">
        <v>88</v>
      </c>
      <c r="B24" s="24">
        <v>974.34</v>
      </c>
    </row>
    <row r="25" spans="1:2">
      <c r="A25" s="29" t="s">
        <v>25</v>
      </c>
      <c r="B25" s="24">
        <v>558.54</v>
      </c>
    </row>
    <row r="26" spans="1:2">
      <c r="A26" s="34" t="s">
        <v>160</v>
      </c>
      <c r="B26" s="24">
        <v>653.69000000000005</v>
      </c>
    </row>
    <row r="27" spans="1:2">
      <c r="A27" s="42" t="s">
        <v>187</v>
      </c>
      <c r="B27" s="24">
        <f>624.91+267.87</f>
        <v>892.78</v>
      </c>
    </row>
    <row r="28" spans="1:2">
      <c r="A28" s="29" t="s">
        <v>148</v>
      </c>
      <c r="B28" s="24">
        <v>488.57</v>
      </c>
    </row>
    <row r="29" spans="1:2">
      <c r="A29" s="29" t="s">
        <v>183</v>
      </c>
      <c r="B29" s="24">
        <v>577.33000000000004</v>
      </c>
    </row>
    <row r="30" spans="1:2">
      <c r="A30" s="37" t="s">
        <v>133</v>
      </c>
      <c r="B30" s="32">
        <v>745.65</v>
      </c>
    </row>
    <row r="31" spans="1:2">
      <c r="A31" s="37" t="s">
        <v>149</v>
      </c>
      <c r="B31" s="32">
        <v>463.38</v>
      </c>
    </row>
    <row r="32" spans="1:2">
      <c r="A32" s="37" t="s">
        <v>151</v>
      </c>
      <c r="B32" s="32">
        <f>494.97+267.87</f>
        <v>762.84</v>
      </c>
    </row>
    <row r="33" spans="1:2">
      <c r="A33" s="37" t="s">
        <v>180</v>
      </c>
      <c r="B33" s="32">
        <f>491.77+267.87</f>
        <v>759.64</v>
      </c>
    </row>
    <row r="34" spans="1:2">
      <c r="A34" s="37" t="s">
        <v>170</v>
      </c>
      <c r="B34" s="32">
        <v>494.97</v>
      </c>
    </row>
    <row r="35" spans="1:2">
      <c r="A35" s="37" t="s">
        <v>27</v>
      </c>
      <c r="B35" s="24">
        <v>1199.43</v>
      </c>
    </row>
    <row r="36" spans="1:2">
      <c r="A36" s="29" t="s">
        <v>104</v>
      </c>
      <c r="B36" s="32">
        <v>1018.72</v>
      </c>
    </row>
    <row r="37" spans="1:2">
      <c r="A37" s="29" t="s">
        <v>175</v>
      </c>
      <c r="B37" s="32">
        <v>491.77</v>
      </c>
    </row>
    <row r="38" spans="1:2">
      <c r="A38" s="37" t="s">
        <v>90</v>
      </c>
      <c r="B38" s="24">
        <v>780.43</v>
      </c>
    </row>
    <row r="39" spans="1:2">
      <c r="A39" s="37" t="s">
        <v>134</v>
      </c>
      <c r="B39" s="32">
        <v>447.39</v>
      </c>
    </row>
    <row r="40" spans="1:2">
      <c r="A40" s="37" t="s">
        <v>184</v>
      </c>
      <c r="B40" s="32">
        <v>577.33000000000004</v>
      </c>
    </row>
    <row r="41" spans="1:2">
      <c r="A41" s="29" t="s">
        <v>41</v>
      </c>
      <c r="B41" s="24">
        <v>1199.43</v>
      </c>
    </row>
    <row r="42" spans="1:2">
      <c r="A42" s="29" t="s">
        <v>31</v>
      </c>
      <c r="B42" s="24">
        <v>1123.47</v>
      </c>
    </row>
    <row r="43" spans="1:2">
      <c r="A43" s="29" t="s">
        <v>157</v>
      </c>
      <c r="B43" s="24">
        <v>624.91</v>
      </c>
    </row>
    <row r="44" spans="1:2">
      <c r="A44" s="29" t="s">
        <v>80</v>
      </c>
      <c r="B44" s="24">
        <v>780.43</v>
      </c>
    </row>
    <row r="45" spans="1:2">
      <c r="A45" s="37" t="s">
        <v>150</v>
      </c>
      <c r="B45" s="24">
        <v>520.55999999999995</v>
      </c>
    </row>
    <row r="46" spans="1:2">
      <c r="A46" s="29" t="s">
        <v>33</v>
      </c>
      <c r="B46" s="24">
        <v>529.75</v>
      </c>
    </row>
    <row r="47" spans="1:2">
      <c r="A47" s="37" t="s">
        <v>34</v>
      </c>
      <c r="B47" s="24">
        <v>682.08</v>
      </c>
    </row>
    <row r="48" spans="1:2">
      <c r="A48" s="29" t="s">
        <v>91</v>
      </c>
      <c r="B48" s="24">
        <v>463.38</v>
      </c>
    </row>
    <row r="49" spans="1:4">
      <c r="A49" s="37"/>
      <c r="B49" s="33"/>
    </row>
    <row r="50" spans="1:4">
      <c r="A50" s="29" t="s">
        <v>36</v>
      </c>
      <c r="B50" s="24">
        <v>0</v>
      </c>
    </row>
    <row r="51" spans="1:4">
      <c r="A51" s="29"/>
      <c r="B51" s="24"/>
    </row>
    <row r="52" spans="1:4">
      <c r="A52" s="6" t="s">
        <v>37</v>
      </c>
      <c r="B52" s="41">
        <f>SUM(B5:B51)</f>
        <v>34202.280000000006</v>
      </c>
      <c r="D52" s="35"/>
    </row>
    <row r="54" spans="1:4">
      <c r="A54">
        <f>COUNTA(A5:A48)</f>
        <v>44</v>
      </c>
    </row>
    <row r="57" spans="1:4" ht="52" customHeight="1">
      <c r="A57" s="420" t="s">
        <v>188</v>
      </c>
      <c r="B57" s="420"/>
    </row>
    <row r="58" spans="1:4">
      <c r="A58" s="12"/>
    </row>
    <row r="59" spans="1:4">
      <c r="A59" s="12"/>
    </row>
  </sheetData>
  <mergeCells count="1">
    <mergeCell ref="A57:B57"/>
  </mergeCells>
  <pageMargins left="1" right="1" top="1" bottom="1" header="0.5" footer="0.5"/>
  <pageSetup scale="86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G59"/>
  <sheetViews>
    <sheetView topLeftCell="A41"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191</v>
      </c>
    </row>
    <row r="4" spans="1:7">
      <c r="B4" s="3" t="s">
        <v>178</v>
      </c>
    </row>
    <row r="5" spans="1:7">
      <c r="A5" s="37" t="s">
        <v>132</v>
      </c>
      <c r="B5" s="32">
        <f>577.33+815.62</f>
        <v>1392.95</v>
      </c>
    </row>
    <row r="6" spans="1:7">
      <c r="A6" s="37" t="s">
        <v>143</v>
      </c>
      <c r="B6" s="32">
        <v>504.56</v>
      </c>
    </row>
    <row r="7" spans="1:7">
      <c r="A7" s="29" t="s">
        <v>72</v>
      </c>
      <c r="B7" s="24">
        <v>1018.72</v>
      </c>
    </row>
    <row r="8" spans="1:7">
      <c r="A8" s="29" t="s">
        <v>62</v>
      </c>
      <c r="B8" s="24">
        <v>853.6</v>
      </c>
    </row>
    <row r="9" spans="1:7">
      <c r="A9" s="37" t="s">
        <v>138</v>
      </c>
      <c r="B9" s="24">
        <v>529.75</v>
      </c>
    </row>
    <row r="10" spans="1:7">
      <c r="A10" s="29" t="s">
        <v>181</v>
      </c>
      <c r="B10" s="24">
        <f>891.58+253.88</f>
        <v>1145.46</v>
      </c>
    </row>
    <row r="11" spans="1:7">
      <c r="A11" s="37" t="s">
        <v>179</v>
      </c>
      <c r="B11" s="24">
        <f>447.39+267.87</f>
        <v>715.26</v>
      </c>
    </row>
    <row r="12" spans="1:7">
      <c r="A12" s="37" t="s">
        <v>155</v>
      </c>
      <c r="B12" s="32">
        <f>577.33+267.87</f>
        <v>845.2</v>
      </c>
    </row>
    <row r="13" spans="1:7">
      <c r="A13" s="42" t="s">
        <v>186</v>
      </c>
      <c r="B13" s="32">
        <v>488.57</v>
      </c>
    </row>
    <row r="14" spans="1:7">
      <c r="A14" s="29" t="s">
        <v>13</v>
      </c>
      <c r="B14" s="24">
        <v>1199.43</v>
      </c>
      <c r="G14" t="s">
        <v>14</v>
      </c>
    </row>
    <row r="15" spans="1:7">
      <c r="A15" s="31" t="s">
        <v>15</v>
      </c>
      <c r="B15" s="24">
        <v>1040.71</v>
      </c>
    </row>
    <row r="16" spans="1:7">
      <c r="A16" s="29" t="s">
        <v>156</v>
      </c>
      <c r="B16" s="24">
        <v>409.41</v>
      </c>
    </row>
    <row r="17" spans="1:2">
      <c r="A17" s="29" t="s">
        <v>18</v>
      </c>
      <c r="B17" s="24">
        <v>780.43</v>
      </c>
    </row>
    <row r="18" spans="1:2">
      <c r="A18" s="29" t="s">
        <v>86</v>
      </c>
      <c r="B18" s="24">
        <v>1123.47</v>
      </c>
    </row>
    <row r="19" spans="1:2">
      <c r="A19" s="29" t="s">
        <v>21</v>
      </c>
      <c r="B19" s="24">
        <v>891.58</v>
      </c>
    </row>
    <row r="20" spans="1:2">
      <c r="A20" s="37" t="s">
        <v>87</v>
      </c>
      <c r="B20" s="24">
        <v>1199.43</v>
      </c>
    </row>
    <row r="21" spans="1:2">
      <c r="A21" s="29" t="s">
        <v>23</v>
      </c>
      <c r="B21" s="24">
        <v>653.69000000000005</v>
      </c>
    </row>
    <row r="22" spans="1:2">
      <c r="A22" s="37" t="s">
        <v>63</v>
      </c>
      <c r="B22" s="24">
        <v>558.54</v>
      </c>
    </row>
    <row r="23" spans="1:2">
      <c r="A23" s="37" t="s">
        <v>168</v>
      </c>
      <c r="B23" s="24">
        <v>1040.71</v>
      </c>
    </row>
    <row r="24" spans="1:2">
      <c r="A24" s="37" t="s">
        <v>88</v>
      </c>
      <c r="B24" s="24">
        <v>974.34</v>
      </c>
    </row>
    <row r="25" spans="1:2">
      <c r="A25" s="29" t="s">
        <v>25</v>
      </c>
      <c r="B25" s="24">
        <v>558.54</v>
      </c>
    </row>
    <row r="26" spans="1:2">
      <c r="A26" s="34" t="s">
        <v>160</v>
      </c>
      <c r="B26" s="33">
        <v>653.69000000000005</v>
      </c>
    </row>
    <row r="27" spans="1:2">
      <c r="A27" s="37" t="s">
        <v>187</v>
      </c>
      <c r="B27" s="24">
        <f>624.91+267.87</f>
        <v>892.78</v>
      </c>
    </row>
    <row r="28" spans="1:2">
      <c r="A28" s="29" t="s">
        <v>148</v>
      </c>
      <c r="B28" s="24">
        <v>488.57</v>
      </c>
    </row>
    <row r="29" spans="1:2">
      <c r="A29" s="29" t="s">
        <v>183</v>
      </c>
      <c r="B29" s="24">
        <v>577.33000000000004</v>
      </c>
    </row>
    <row r="30" spans="1:2">
      <c r="A30" s="37" t="s">
        <v>133</v>
      </c>
      <c r="B30" s="32">
        <v>745.65</v>
      </c>
    </row>
    <row r="31" spans="1:2">
      <c r="A31" s="37" t="s">
        <v>149</v>
      </c>
      <c r="B31" s="32">
        <v>463.38</v>
      </c>
    </row>
    <row r="32" spans="1:2">
      <c r="A32" s="37" t="s">
        <v>151</v>
      </c>
      <c r="B32" s="32">
        <f>494.97+267.87</f>
        <v>762.84</v>
      </c>
    </row>
    <row r="33" spans="1:2">
      <c r="A33" s="37" t="s">
        <v>180</v>
      </c>
      <c r="B33" s="32">
        <f>491.77+267.87</f>
        <v>759.64</v>
      </c>
    </row>
    <row r="34" spans="1:2">
      <c r="A34" s="37" t="s">
        <v>170</v>
      </c>
      <c r="B34" s="32">
        <v>494.97</v>
      </c>
    </row>
    <row r="35" spans="1:2">
      <c r="A35" s="37" t="s">
        <v>27</v>
      </c>
      <c r="B35" s="24">
        <v>1199.43</v>
      </c>
    </row>
    <row r="36" spans="1:2">
      <c r="A36" s="29" t="s">
        <v>104</v>
      </c>
      <c r="B36" s="32">
        <v>1018.72</v>
      </c>
    </row>
    <row r="37" spans="1:2">
      <c r="A37" s="29" t="s">
        <v>175</v>
      </c>
      <c r="B37" s="32">
        <v>491.77</v>
      </c>
    </row>
    <row r="38" spans="1:2">
      <c r="A38" s="37" t="s">
        <v>90</v>
      </c>
      <c r="B38" s="24">
        <v>780.43</v>
      </c>
    </row>
    <row r="39" spans="1:2">
      <c r="A39" s="37" t="s">
        <v>134</v>
      </c>
      <c r="B39" s="32">
        <v>447.39</v>
      </c>
    </row>
    <row r="40" spans="1:2">
      <c r="A40" s="37" t="s">
        <v>184</v>
      </c>
      <c r="B40" s="32">
        <v>577.33000000000004</v>
      </c>
    </row>
    <row r="41" spans="1:2">
      <c r="A41" s="29" t="s">
        <v>41</v>
      </c>
      <c r="B41" s="24">
        <v>1199.43</v>
      </c>
    </row>
    <row r="42" spans="1:2">
      <c r="A42" s="29" t="s">
        <v>31</v>
      </c>
      <c r="B42" s="24">
        <v>1123.47</v>
      </c>
    </row>
    <row r="43" spans="1:2">
      <c r="A43" s="29" t="s">
        <v>157</v>
      </c>
      <c r="B43" s="24">
        <v>624.91</v>
      </c>
    </row>
    <row r="44" spans="1:2">
      <c r="A44" s="29" t="s">
        <v>80</v>
      </c>
      <c r="B44" s="24">
        <v>780.43</v>
      </c>
    </row>
    <row r="45" spans="1:2">
      <c r="A45" s="37" t="s">
        <v>150</v>
      </c>
      <c r="B45" s="24">
        <v>520.55999999999995</v>
      </c>
    </row>
    <row r="46" spans="1:2">
      <c r="A46" s="29" t="s">
        <v>33</v>
      </c>
      <c r="B46" s="24">
        <v>529.75</v>
      </c>
    </row>
    <row r="47" spans="1:2">
      <c r="A47" s="37" t="s">
        <v>34</v>
      </c>
      <c r="B47" s="24">
        <v>682.08</v>
      </c>
    </row>
    <row r="48" spans="1:2">
      <c r="A48" s="29" t="s">
        <v>91</v>
      </c>
      <c r="B48" s="24">
        <v>463.38</v>
      </c>
    </row>
    <row r="49" spans="1:4">
      <c r="A49" s="37"/>
      <c r="B49" s="33"/>
    </row>
    <row r="50" spans="1:4">
      <c r="A50" s="29" t="s">
        <v>36</v>
      </c>
      <c r="B50" s="24"/>
    </row>
    <row r="51" spans="1:4">
      <c r="A51" s="29"/>
      <c r="B51" s="24"/>
    </row>
    <row r="52" spans="1:4">
      <c r="A52" s="6" t="s">
        <v>37</v>
      </c>
      <c r="B52" s="41">
        <f>SUM(B5:B51)</f>
        <v>34202.280000000006</v>
      </c>
      <c r="D52" s="35"/>
    </row>
    <row r="54" spans="1:4">
      <c r="A54">
        <f>COUNTA(A5:A48)</f>
        <v>44</v>
      </c>
    </row>
    <row r="56" spans="1:4">
      <c r="A56" t="s">
        <v>190</v>
      </c>
    </row>
    <row r="57" spans="1:4" ht="52" customHeight="1">
      <c r="A57" s="420"/>
      <c r="B57" s="420"/>
    </row>
    <row r="58" spans="1:4">
      <c r="A58" s="12"/>
    </row>
    <row r="59" spans="1:4">
      <c r="A59" s="12"/>
    </row>
  </sheetData>
  <mergeCells count="1">
    <mergeCell ref="A57:B57"/>
  </mergeCells>
  <phoneticPr fontId="6" type="noConversion"/>
  <pageMargins left="1" right="1" top="1" bottom="1" header="0.5" footer="0.5"/>
  <pageSetup scale="80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G58"/>
  <sheetViews>
    <sheetView topLeftCell="A22"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192</v>
      </c>
    </row>
    <row r="4" spans="1:7">
      <c r="B4" s="3" t="s">
        <v>178</v>
      </c>
    </row>
    <row r="5" spans="1:7">
      <c r="A5" s="37" t="s">
        <v>132</v>
      </c>
      <c r="B5" s="32">
        <f>577.33+815.62</f>
        <v>1392.95</v>
      </c>
    </row>
    <row r="6" spans="1:7">
      <c r="A6" s="37" t="s">
        <v>143</v>
      </c>
      <c r="B6" s="32">
        <v>504.56</v>
      </c>
    </row>
    <row r="7" spans="1:7">
      <c r="A7" s="29" t="s">
        <v>72</v>
      </c>
      <c r="B7" s="24">
        <v>1018.72</v>
      </c>
    </row>
    <row r="8" spans="1:7">
      <c r="A8" s="29" t="s">
        <v>62</v>
      </c>
      <c r="B8" s="24">
        <v>853.6</v>
      </c>
    </row>
    <row r="9" spans="1:7">
      <c r="A9" s="37" t="s">
        <v>138</v>
      </c>
      <c r="B9" s="24">
        <v>529.75</v>
      </c>
    </row>
    <row r="10" spans="1:7">
      <c r="A10" s="29" t="s">
        <v>181</v>
      </c>
      <c r="B10" s="24">
        <f>891.58+253.88</f>
        <v>1145.46</v>
      </c>
    </row>
    <row r="11" spans="1:7">
      <c r="A11" s="37" t="s">
        <v>179</v>
      </c>
      <c r="B11" s="24">
        <f>447.39+267.87</f>
        <v>715.26</v>
      </c>
    </row>
    <row r="12" spans="1:7">
      <c r="A12" s="37" t="s">
        <v>155</v>
      </c>
      <c r="B12" s="32">
        <f>577.33+267.87</f>
        <v>845.2</v>
      </c>
    </row>
    <row r="13" spans="1:7">
      <c r="A13" s="42" t="s">
        <v>186</v>
      </c>
      <c r="B13" s="32">
        <v>488.57</v>
      </c>
    </row>
    <row r="14" spans="1:7">
      <c r="A14" s="29" t="s">
        <v>13</v>
      </c>
      <c r="B14" s="24">
        <v>1199.43</v>
      </c>
      <c r="G14" t="s">
        <v>14</v>
      </c>
    </row>
    <row r="15" spans="1:7">
      <c r="A15" s="31" t="s">
        <v>15</v>
      </c>
      <c r="B15" s="24">
        <v>1040.71</v>
      </c>
    </row>
    <row r="16" spans="1:7">
      <c r="A16" s="29" t="s">
        <v>156</v>
      </c>
      <c r="B16" s="24">
        <v>409.41</v>
      </c>
    </row>
    <row r="17" spans="1:2">
      <c r="A17" s="29" t="s">
        <v>18</v>
      </c>
      <c r="B17" s="24">
        <v>780.43</v>
      </c>
    </row>
    <row r="18" spans="1:2">
      <c r="A18" s="29" t="s">
        <v>86</v>
      </c>
      <c r="B18" s="24">
        <v>1123.47</v>
      </c>
    </row>
    <row r="19" spans="1:2">
      <c r="A19" s="29" t="s">
        <v>21</v>
      </c>
      <c r="B19" s="24">
        <v>891.58</v>
      </c>
    </row>
    <row r="20" spans="1:2">
      <c r="A20" s="37" t="s">
        <v>87</v>
      </c>
      <c r="B20" s="24">
        <v>1199.43</v>
      </c>
    </row>
    <row r="21" spans="1:2">
      <c r="A21" s="29" t="s">
        <v>23</v>
      </c>
      <c r="B21" s="24">
        <v>653.69000000000005</v>
      </c>
    </row>
    <row r="22" spans="1:2">
      <c r="A22" s="37" t="s">
        <v>63</v>
      </c>
      <c r="B22" s="24">
        <v>558.54</v>
      </c>
    </row>
    <row r="23" spans="1:2">
      <c r="A23" s="37" t="s">
        <v>168</v>
      </c>
      <c r="B23" s="24">
        <v>1040.71</v>
      </c>
    </row>
    <row r="24" spans="1:2">
      <c r="A24" s="37" t="s">
        <v>88</v>
      </c>
      <c r="B24" s="24">
        <v>974.34</v>
      </c>
    </row>
    <row r="25" spans="1:2">
      <c r="A25" s="29" t="s">
        <v>25</v>
      </c>
      <c r="B25" s="24">
        <v>558.54</v>
      </c>
    </row>
    <row r="26" spans="1:2">
      <c r="A26" s="37" t="s">
        <v>187</v>
      </c>
      <c r="B26" s="24">
        <f>624.91+267.87</f>
        <v>892.78</v>
      </c>
    </row>
    <row r="27" spans="1:2">
      <c r="A27" s="29" t="s">
        <v>148</v>
      </c>
      <c r="B27" s="24">
        <v>488.57</v>
      </c>
    </row>
    <row r="28" spans="1:2">
      <c r="A28" s="29" t="s">
        <v>193</v>
      </c>
      <c r="B28" s="24">
        <v>1012.33</v>
      </c>
    </row>
    <row r="29" spans="1:2">
      <c r="A29" s="29" t="s">
        <v>183</v>
      </c>
      <c r="B29" s="24">
        <v>577.33000000000004</v>
      </c>
    </row>
    <row r="30" spans="1:2">
      <c r="A30" s="37" t="s">
        <v>133</v>
      </c>
      <c r="B30" s="32">
        <v>745.65</v>
      </c>
    </row>
    <row r="31" spans="1:2">
      <c r="A31" s="37" t="s">
        <v>149</v>
      </c>
      <c r="B31" s="32">
        <v>463.38</v>
      </c>
    </row>
    <row r="32" spans="1:2">
      <c r="A32" s="37" t="s">
        <v>151</v>
      </c>
      <c r="B32" s="32">
        <f>494.97+267.87</f>
        <v>762.84</v>
      </c>
    </row>
    <row r="33" spans="1:2">
      <c r="A33" s="37" t="s">
        <v>180</v>
      </c>
      <c r="B33" s="32">
        <f>491.77+267.87</f>
        <v>759.64</v>
      </c>
    </row>
    <row r="34" spans="1:2">
      <c r="A34" s="37" t="s">
        <v>170</v>
      </c>
      <c r="B34" s="32">
        <v>494.97</v>
      </c>
    </row>
    <row r="35" spans="1:2">
      <c r="A35" s="37" t="s">
        <v>27</v>
      </c>
      <c r="B35" s="24">
        <v>1199.43</v>
      </c>
    </row>
    <row r="36" spans="1:2">
      <c r="A36" s="29" t="s">
        <v>104</v>
      </c>
      <c r="B36" s="32">
        <v>1018.72</v>
      </c>
    </row>
    <row r="37" spans="1:2" s="12" customFormat="1">
      <c r="A37" s="34" t="s">
        <v>175</v>
      </c>
      <c r="B37" s="33">
        <v>491.77</v>
      </c>
    </row>
    <row r="38" spans="1:2">
      <c r="A38" s="37" t="s">
        <v>90</v>
      </c>
      <c r="B38" s="24">
        <v>780.43</v>
      </c>
    </row>
    <row r="39" spans="1:2">
      <c r="A39" s="37" t="s">
        <v>184</v>
      </c>
      <c r="B39" s="32">
        <v>577.33000000000004</v>
      </c>
    </row>
    <row r="40" spans="1:2">
      <c r="A40" s="29" t="s">
        <v>41</v>
      </c>
      <c r="B40" s="24">
        <v>1199.43</v>
      </c>
    </row>
    <row r="41" spans="1:2">
      <c r="A41" s="29" t="s">
        <v>31</v>
      </c>
      <c r="B41" s="24">
        <v>1123.47</v>
      </c>
    </row>
    <row r="42" spans="1:2">
      <c r="A42" s="29" t="s">
        <v>157</v>
      </c>
      <c r="B42" s="24">
        <v>624.91</v>
      </c>
    </row>
    <row r="43" spans="1:2">
      <c r="A43" s="29" t="s">
        <v>80</v>
      </c>
      <c r="B43" s="24">
        <v>780.43</v>
      </c>
    </row>
    <row r="44" spans="1:2">
      <c r="A44" s="37" t="s">
        <v>150</v>
      </c>
      <c r="B44" s="24">
        <v>520.55999999999995</v>
      </c>
    </row>
    <row r="45" spans="1:2">
      <c r="A45" s="29" t="s">
        <v>33</v>
      </c>
      <c r="B45" s="24">
        <v>529.75</v>
      </c>
    </row>
    <row r="46" spans="1:2">
      <c r="A46" s="37" t="s">
        <v>34</v>
      </c>
      <c r="B46" s="24">
        <v>682.08</v>
      </c>
    </row>
    <row r="47" spans="1:2">
      <c r="A47" s="29" t="s">
        <v>91</v>
      </c>
      <c r="B47" s="24">
        <v>463.38</v>
      </c>
    </row>
    <row r="48" spans="1:2">
      <c r="A48" s="37"/>
      <c r="B48" s="33"/>
    </row>
    <row r="49" spans="1:4">
      <c r="A49" s="29" t="s">
        <v>36</v>
      </c>
      <c r="B49" s="24">
        <v>-1484.88</v>
      </c>
    </row>
    <row r="50" spans="1:4">
      <c r="A50" s="29"/>
      <c r="B50" s="24"/>
    </row>
    <row r="51" spans="1:4">
      <c r="A51" s="6" t="s">
        <v>37</v>
      </c>
      <c r="B51" s="41">
        <f>SUM(B5:B50)</f>
        <v>32628.650000000005</v>
      </c>
      <c r="D51" s="35"/>
    </row>
    <row r="53" spans="1:4">
      <c r="A53">
        <f>COUNTA(A5:A47)</f>
        <v>43</v>
      </c>
    </row>
    <row r="55" spans="1:4">
      <c r="A55" t="s">
        <v>190</v>
      </c>
    </row>
    <row r="56" spans="1:4" ht="52" customHeight="1">
      <c r="A56" s="420"/>
      <c r="B56" s="420"/>
    </row>
    <row r="57" spans="1:4">
      <c r="A57" s="12"/>
    </row>
    <row r="58" spans="1:4">
      <c r="A58" s="12"/>
    </row>
  </sheetData>
  <mergeCells count="1">
    <mergeCell ref="A56:B56"/>
  </mergeCells>
  <pageMargins left="1" right="1" top="1" bottom="1" header="0.5" footer="0.5"/>
  <pageSetup scale="87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G59"/>
  <sheetViews>
    <sheetView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195</v>
      </c>
    </row>
    <row r="4" spans="1:7">
      <c r="B4" s="3" t="s">
        <v>178</v>
      </c>
    </row>
    <row r="5" spans="1:7">
      <c r="A5" s="37" t="s">
        <v>132</v>
      </c>
      <c r="B5" s="32">
        <f>577.33+815.62</f>
        <v>1392.95</v>
      </c>
    </row>
    <row r="6" spans="1:7">
      <c r="A6" s="37" t="s">
        <v>143</v>
      </c>
      <c r="B6" s="32">
        <v>504.56</v>
      </c>
    </row>
    <row r="7" spans="1:7">
      <c r="A7" s="29" t="s">
        <v>72</v>
      </c>
      <c r="B7" s="24">
        <v>1018.72</v>
      </c>
    </row>
    <row r="8" spans="1:7">
      <c r="A8" s="29" t="s">
        <v>62</v>
      </c>
      <c r="B8" s="24">
        <v>853.6</v>
      </c>
    </row>
    <row r="9" spans="1:7">
      <c r="A9" s="37" t="s">
        <v>138</v>
      </c>
      <c r="B9" s="24">
        <v>529.75</v>
      </c>
    </row>
    <row r="10" spans="1:7">
      <c r="A10" s="29" t="s">
        <v>181</v>
      </c>
      <c r="B10" s="24">
        <f>891.58+253.88</f>
        <v>1145.46</v>
      </c>
    </row>
    <row r="11" spans="1:7">
      <c r="A11" s="37" t="s">
        <v>179</v>
      </c>
      <c r="B11" s="24">
        <f>447.39+267.87</f>
        <v>715.26</v>
      </c>
    </row>
    <row r="12" spans="1:7">
      <c r="A12" s="37" t="s">
        <v>155</v>
      </c>
      <c r="B12" s="32">
        <v>1498.89</v>
      </c>
    </row>
    <row r="13" spans="1:7">
      <c r="A13" s="42" t="s">
        <v>186</v>
      </c>
      <c r="B13" s="32">
        <v>488.57</v>
      </c>
    </row>
    <row r="14" spans="1:7">
      <c r="A14" s="29" t="s">
        <v>13</v>
      </c>
      <c r="B14" s="24">
        <v>1199.43</v>
      </c>
      <c r="G14" t="s">
        <v>14</v>
      </c>
    </row>
    <row r="15" spans="1:7">
      <c r="A15" s="31" t="s">
        <v>15</v>
      </c>
      <c r="B15" s="24">
        <v>1040.71</v>
      </c>
    </row>
    <row r="16" spans="1:7">
      <c r="A16" s="29" t="s">
        <v>194</v>
      </c>
      <c r="B16" s="24">
        <v>478.97</v>
      </c>
    </row>
    <row r="17" spans="1:2">
      <c r="A17" s="29" t="s">
        <v>156</v>
      </c>
      <c r="B17" s="24">
        <v>409.41</v>
      </c>
    </row>
    <row r="18" spans="1:2">
      <c r="A18" s="29" t="s">
        <v>18</v>
      </c>
      <c r="B18" s="24">
        <v>780.43</v>
      </c>
    </row>
    <row r="19" spans="1:2">
      <c r="A19" s="29" t="s">
        <v>86</v>
      </c>
      <c r="B19" s="24">
        <v>1123.47</v>
      </c>
    </row>
    <row r="20" spans="1:2">
      <c r="A20" s="29" t="s">
        <v>21</v>
      </c>
      <c r="B20" s="24">
        <v>891.58</v>
      </c>
    </row>
    <row r="21" spans="1:2">
      <c r="A21" s="37" t="s">
        <v>87</v>
      </c>
      <c r="B21" s="24">
        <v>1199.43</v>
      </c>
    </row>
    <row r="22" spans="1:2">
      <c r="A22" s="29" t="s">
        <v>23</v>
      </c>
      <c r="B22" s="24">
        <v>653.69000000000005</v>
      </c>
    </row>
    <row r="23" spans="1:2">
      <c r="A23" s="37" t="s">
        <v>63</v>
      </c>
      <c r="B23" s="24">
        <v>558.54</v>
      </c>
    </row>
    <row r="24" spans="1:2">
      <c r="A24" s="37" t="s">
        <v>168</v>
      </c>
      <c r="B24" s="24">
        <v>1040.71</v>
      </c>
    </row>
    <row r="25" spans="1:2">
      <c r="A25" s="37" t="s">
        <v>88</v>
      </c>
      <c r="B25" s="24">
        <v>974.34</v>
      </c>
    </row>
    <row r="26" spans="1:2">
      <c r="A26" s="29" t="s">
        <v>25</v>
      </c>
      <c r="B26" s="24">
        <v>558.54</v>
      </c>
    </row>
    <row r="27" spans="1:2">
      <c r="A27" s="37" t="s">
        <v>187</v>
      </c>
      <c r="B27" s="24">
        <f>624.91+267.87</f>
        <v>892.78</v>
      </c>
    </row>
    <row r="28" spans="1:2">
      <c r="A28" s="29" t="s">
        <v>148</v>
      </c>
      <c r="B28" s="24">
        <v>488.57</v>
      </c>
    </row>
    <row r="29" spans="1:2">
      <c r="A29" s="29" t="s">
        <v>193</v>
      </c>
      <c r="B29" s="24">
        <v>1012.33</v>
      </c>
    </row>
    <row r="30" spans="1:2">
      <c r="A30" s="29" t="s">
        <v>183</v>
      </c>
      <c r="B30" s="24">
        <v>577.33000000000004</v>
      </c>
    </row>
    <row r="31" spans="1:2">
      <c r="A31" s="37" t="s">
        <v>133</v>
      </c>
      <c r="B31" s="32">
        <v>745.65</v>
      </c>
    </row>
    <row r="32" spans="1:2">
      <c r="A32" s="37" t="s">
        <v>149</v>
      </c>
      <c r="B32" s="32">
        <v>463.38</v>
      </c>
    </row>
    <row r="33" spans="1:2">
      <c r="A33" s="37" t="s">
        <v>151</v>
      </c>
      <c r="B33" s="32">
        <f>494.97+267.87</f>
        <v>762.84</v>
      </c>
    </row>
    <row r="34" spans="1:2">
      <c r="A34" s="37" t="s">
        <v>180</v>
      </c>
      <c r="B34" s="32">
        <f>491.77+267.87</f>
        <v>759.64</v>
      </c>
    </row>
    <row r="35" spans="1:2">
      <c r="A35" s="37" t="s">
        <v>170</v>
      </c>
      <c r="B35" s="32">
        <v>494.97</v>
      </c>
    </row>
    <row r="36" spans="1:2">
      <c r="A36" s="37" t="s">
        <v>27</v>
      </c>
      <c r="B36" s="24">
        <v>1199.43</v>
      </c>
    </row>
    <row r="37" spans="1:2">
      <c r="A37" s="29" t="s">
        <v>104</v>
      </c>
      <c r="B37" s="32">
        <v>1018.72</v>
      </c>
    </row>
    <row r="38" spans="1:2" s="12" customFormat="1">
      <c r="A38" s="34" t="s">
        <v>175</v>
      </c>
      <c r="B38" s="33">
        <v>0</v>
      </c>
    </row>
    <row r="39" spans="1:2">
      <c r="A39" s="37" t="s">
        <v>90</v>
      </c>
      <c r="B39" s="24">
        <v>780.43</v>
      </c>
    </row>
    <row r="40" spans="1:2">
      <c r="A40" s="37" t="s">
        <v>184</v>
      </c>
      <c r="B40" s="32">
        <v>577.33000000000004</v>
      </c>
    </row>
    <row r="41" spans="1:2">
      <c r="A41" s="29" t="s">
        <v>41</v>
      </c>
      <c r="B41" s="24">
        <v>1199.43</v>
      </c>
    </row>
    <row r="42" spans="1:2">
      <c r="A42" s="29" t="s">
        <v>31</v>
      </c>
      <c r="B42" s="24">
        <v>1123.47</v>
      </c>
    </row>
    <row r="43" spans="1:2">
      <c r="A43" s="29" t="s">
        <v>157</v>
      </c>
      <c r="B43" s="24">
        <v>624.91</v>
      </c>
    </row>
    <row r="44" spans="1:2">
      <c r="A44" s="29" t="s">
        <v>80</v>
      </c>
      <c r="B44" s="24">
        <v>780.43</v>
      </c>
    </row>
    <row r="45" spans="1:2">
      <c r="A45" s="37" t="s">
        <v>150</v>
      </c>
      <c r="B45" s="24">
        <v>520.55999999999995</v>
      </c>
    </row>
    <row r="46" spans="1:2">
      <c r="A46" s="29" t="s">
        <v>33</v>
      </c>
      <c r="B46" s="24">
        <v>529.75</v>
      </c>
    </row>
    <row r="47" spans="1:2">
      <c r="A47" s="37" t="s">
        <v>34</v>
      </c>
      <c r="B47" s="24">
        <v>682.08</v>
      </c>
    </row>
    <row r="48" spans="1:2">
      <c r="A48" s="29" t="s">
        <v>91</v>
      </c>
      <c r="B48" s="24">
        <v>463.38</v>
      </c>
    </row>
    <row r="49" spans="1:4">
      <c r="A49" s="37"/>
      <c r="B49" s="33"/>
    </row>
    <row r="50" spans="1:4">
      <c r="A50" s="29" t="s">
        <v>36</v>
      </c>
      <c r="B50" s="24">
        <v>1281.78</v>
      </c>
    </row>
    <row r="51" spans="1:4">
      <c r="A51" s="29"/>
      <c r="B51" s="24"/>
    </row>
    <row r="52" spans="1:4">
      <c r="A52" s="6" t="s">
        <v>37</v>
      </c>
      <c r="B52" s="41">
        <f>SUM(B5:B51)</f>
        <v>36036.200000000012</v>
      </c>
      <c r="D52" s="35"/>
    </row>
    <row r="54" spans="1:4">
      <c r="A54">
        <f>COUNTA(A5:A48)</f>
        <v>44</v>
      </c>
    </row>
    <row r="56" spans="1:4">
      <c r="A56" t="s">
        <v>190</v>
      </c>
    </row>
    <row r="57" spans="1:4" ht="52" customHeight="1">
      <c r="A57" s="420"/>
      <c r="B57" s="420"/>
    </row>
    <row r="58" spans="1:4">
      <c r="A58" s="12"/>
    </row>
    <row r="59" spans="1:4">
      <c r="A59" s="12"/>
    </row>
  </sheetData>
  <mergeCells count="1">
    <mergeCell ref="A57:B57"/>
  </mergeCells>
  <pageMargins left="1" right="1" top="1" bottom="1" header="0.5" footer="0.5"/>
  <pageSetup scale="86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G59"/>
  <sheetViews>
    <sheetView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196</v>
      </c>
    </row>
    <row r="4" spans="1:7">
      <c r="B4" s="3" t="s">
        <v>178</v>
      </c>
    </row>
    <row r="5" spans="1:7">
      <c r="A5" s="37" t="s">
        <v>132</v>
      </c>
      <c r="B5" s="32">
        <f>577.33+815.62</f>
        <v>1392.95</v>
      </c>
    </row>
    <row r="6" spans="1:7">
      <c r="A6" s="37" t="s">
        <v>143</v>
      </c>
      <c r="B6" s="32">
        <v>504.56</v>
      </c>
    </row>
    <row r="7" spans="1:7">
      <c r="A7" s="29" t="s">
        <v>72</v>
      </c>
      <c r="B7" s="24">
        <v>1018.72</v>
      </c>
    </row>
    <row r="8" spans="1:7">
      <c r="A8" s="29" t="s">
        <v>62</v>
      </c>
      <c r="B8" s="24">
        <v>853.6</v>
      </c>
    </row>
    <row r="9" spans="1:7">
      <c r="A9" s="37" t="s">
        <v>138</v>
      </c>
      <c r="B9" s="24">
        <v>529.75</v>
      </c>
    </row>
    <row r="10" spans="1:7">
      <c r="A10" s="29" t="s">
        <v>181</v>
      </c>
      <c r="B10" s="24">
        <f>891.58+253.88</f>
        <v>1145.46</v>
      </c>
    </row>
    <row r="11" spans="1:7">
      <c r="A11" s="37" t="s">
        <v>179</v>
      </c>
      <c r="B11" s="24">
        <f>447.39+267.87</f>
        <v>715.26</v>
      </c>
    </row>
    <row r="12" spans="1:7">
      <c r="A12" s="37" t="s">
        <v>155</v>
      </c>
      <c r="B12" s="32">
        <v>1498.89</v>
      </c>
    </row>
    <row r="13" spans="1:7">
      <c r="A13" s="37" t="s">
        <v>186</v>
      </c>
      <c r="B13" s="32">
        <v>488.57</v>
      </c>
    </row>
    <row r="14" spans="1:7">
      <c r="A14" s="29" t="s">
        <v>13</v>
      </c>
      <c r="B14" s="24">
        <v>1199.43</v>
      </c>
      <c r="G14" t="s">
        <v>14</v>
      </c>
    </row>
    <row r="15" spans="1:7">
      <c r="A15" s="31" t="s">
        <v>15</v>
      </c>
      <c r="B15" s="24">
        <v>1040.71</v>
      </c>
    </row>
    <row r="16" spans="1:7">
      <c r="A16" s="29" t="s">
        <v>194</v>
      </c>
      <c r="B16" s="24">
        <v>478.97</v>
      </c>
    </row>
    <row r="17" spans="1:2">
      <c r="A17" s="29" t="s">
        <v>156</v>
      </c>
      <c r="B17" s="24">
        <v>409.41</v>
      </c>
    </row>
    <row r="18" spans="1:2">
      <c r="A18" s="29" t="s">
        <v>18</v>
      </c>
      <c r="B18" s="24">
        <v>780.43</v>
      </c>
    </row>
    <row r="19" spans="1:2">
      <c r="A19" s="29" t="s">
        <v>86</v>
      </c>
      <c r="B19" s="24">
        <v>1123.47</v>
      </c>
    </row>
    <row r="20" spans="1:2">
      <c r="A20" s="29" t="s">
        <v>21</v>
      </c>
      <c r="B20" s="24">
        <v>891.58</v>
      </c>
    </row>
    <row r="21" spans="1:2">
      <c r="A21" s="37" t="s">
        <v>87</v>
      </c>
      <c r="B21" s="24">
        <v>1199.43</v>
      </c>
    </row>
    <row r="22" spans="1:2">
      <c r="A22" s="29" t="s">
        <v>23</v>
      </c>
      <c r="B22" s="24">
        <v>653.69000000000005</v>
      </c>
    </row>
    <row r="23" spans="1:2">
      <c r="A23" s="37" t="s">
        <v>63</v>
      </c>
      <c r="B23" s="24">
        <v>558.54</v>
      </c>
    </row>
    <row r="24" spans="1:2">
      <c r="A24" s="37" t="s">
        <v>168</v>
      </c>
      <c r="B24" s="24">
        <v>1040.71</v>
      </c>
    </row>
    <row r="25" spans="1:2">
      <c r="A25" s="37" t="s">
        <v>88</v>
      </c>
      <c r="B25" s="24">
        <v>974.34</v>
      </c>
    </row>
    <row r="26" spans="1:2">
      <c r="A26" s="29" t="s">
        <v>25</v>
      </c>
      <c r="B26" s="24">
        <v>558.54</v>
      </c>
    </row>
    <row r="27" spans="1:2">
      <c r="A27" s="37" t="s">
        <v>187</v>
      </c>
      <c r="B27" s="24">
        <f>624.91+267.87</f>
        <v>892.78</v>
      </c>
    </row>
    <row r="28" spans="1:2">
      <c r="A28" s="29" t="s">
        <v>148</v>
      </c>
      <c r="B28" s="24">
        <v>488.57</v>
      </c>
    </row>
    <row r="29" spans="1:2">
      <c r="A29" s="29" t="s">
        <v>193</v>
      </c>
      <c r="B29" s="24">
        <v>1012.33</v>
      </c>
    </row>
    <row r="30" spans="1:2">
      <c r="A30" s="29" t="s">
        <v>183</v>
      </c>
      <c r="B30" s="24">
        <v>577.33000000000004</v>
      </c>
    </row>
    <row r="31" spans="1:2">
      <c r="A31" s="37" t="s">
        <v>133</v>
      </c>
      <c r="B31" s="32">
        <v>745.65</v>
      </c>
    </row>
    <row r="32" spans="1:2">
      <c r="A32" s="37" t="s">
        <v>149</v>
      </c>
      <c r="B32" s="32">
        <v>463.38</v>
      </c>
    </row>
    <row r="33" spans="1:2">
      <c r="A33" s="37" t="s">
        <v>151</v>
      </c>
      <c r="B33" s="32">
        <f>494.97+267.87</f>
        <v>762.84</v>
      </c>
    </row>
    <row r="34" spans="1:2">
      <c r="A34" s="37" t="s">
        <v>180</v>
      </c>
      <c r="B34" s="32">
        <f>491.77+267.87</f>
        <v>759.64</v>
      </c>
    </row>
    <row r="35" spans="1:2">
      <c r="A35" s="37" t="s">
        <v>170</v>
      </c>
      <c r="B35" s="32">
        <v>494.97</v>
      </c>
    </row>
    <row r="36" spans="1:2">
      <c r="A36" s="37" t="s">
        <v>27</v>
      </c>
      <c r="B36" s="24">
        <v>1199.43</v>
      </c>
    </row>
    <row r="37" spans="1:2">
      <c r="A37" s="29" t="s">
        <v>104</v>
      </c>
      <c r="B37" s="32">
        <v>1018.72</v>
      </c>
    </row>
    <row r="38" spans="1:2">
      <c r="A38" s="29" t="s">
        <v>197</v>
      </c>
      <c r="B38" s="32">
        <v>485.37</v>
      </c>
    </row>
    <row r="39" spans="1:2">
      <c r="A39" s="37" t="s">
        <v>90</v>
      </c>
      <c r="B39" s="24">
        <v>780.43</v>
      </c>
    </row>
    <row r="40" spans="1:2">
      <c r="A40" s="37" t="s">
        <v>184</v>
      </c>
      <c r="B40" s="32">
        <v>577.33000000000004</v>
      </c>
    </row>
    <row r="41" spans="1:2">
      <c r="A41" s="29" t="s">
        <v>41</v>
      </c>
      <c r="B41" s="24">
        <v>1199.43</v>
      </c>
    </row>
    <row r="42" spans="1:2">
      <c r="A42" s="29" t="s">
        <v>31</v>
      </c>
      <c r="B42" s="24">
        <v>1123.47</v>
      </c>
    </row>
    <row r="43" spans="1:2">
      <c r="A43" s="29" t="s">
        <v>157</v>
      </c>
      <c r="B43" s="24">
        <v>624.91</v>
      </c>
    </row>
    <row r="44" spans="1:2">
      <c r="A44" s="29" t="s">
        <v>80</v>
      </c>
      <c r="B44" s="24">
        <v>780.43</v>
      </c>
    </row>
    <row r="45" spans="1:2">
      <c r="A45" s="37" t="s">
        <v>150</v>
      </c>
      <c r="B45" s="24">
        <v>520.55999999999995</v>
      </c>
    </row>
    <row r="46" spans="1:2">
      <c r="A46" s="29" t="s">
        <v>33</v>
      </c>
      <c r="B46" s="24">
        <v>529.75</v>
      </c>
    </row>
    <row r="47" spans="1:2">
      <c r="A47" s="37" t="s">
        <v>34</v>
      </c>
      <c r="B47" s="24">
        <v>682.08</v>
      </c>
    </row>
    <row r="48" spans="1:2">
      <c r="A48" s="29" t="s">
        <v>91</v>
      </c>
      <c r="B48" s="24">
        <v>463.38</v>
      </c>
    </row>
    <row r="49" spans="1:4">
      <c r="A49" s="37"/>
      <c r="B49" s="33"/>
    </row>
    <row r="50" spans="1:4">
      <c r="A50" s="29" t="s">
        <v>36</v>
      </c>
      <c r="B50" s="24">
        <v>970.74</v>
      </c>
    </row>
    <row r="51" spans="1:4">
      <c r="A51" s="29"/>
      <c r="B51" s="24"/>
    </row>
    <row r="52" spans="1:4">
      <c r="A52" s="6" t="s">
        <v>37</v>
      </c>
      <c r="B52" s="41">
        <f>SUM(B5:B51)</f>
        <v>36210.530000000006</v>
      </c>
      <c r="D52" s="35"/>
    </row>
    <row r="54" spans="1:4">
      <c r="A54">
        <f>COUNTA(A5:A48)</f>
        <v>44</v>
      </c>
    </row>
    <row r="56" spans="1:4">
      <c r="A56" t="s">
        <v>198</v>
      </c>
    </row>
    <row r="57" spans="1:4" ht="52" customHeight="1">
      <c r="A57" s="420"/>
      <c r="B57" s="420"/>
    </row>
    <row r="58" spans="1:4">
      <c r="A58" s="12"/>
    </row>
    <row r="59" spans="1:4">
      <c r="A59" s="12"/>
    </row>
  </sheetData>
  <mergeCells count="1">
    <mergeCell ref="A57:B57"/>
  </mergeCells>
  <pageMargins left="1" right="1" top="1" bottom="1" header="0.5" footer="0.5"/>
  <pageSetup scale="80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G59"/>
  <sheetViews>
    <sheetView topLeftCell="A13"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199</v>
      </c>
    </row>
    <row r="4" spans="1:7">
      <c r="B4" s="3" t="s">
        <v>178</v>
      </c>
    </row>
    <row r="5" spans="1:7">
      <c r="A5" s="37" t="s">
        <v>132</v>
      </c>
      <c r="B5" s="32">
        <f>577.33+815.62</f>
        <v>1392.95</v>
      </c>
    </row>
    <row r="6" spans="1:7">
      <c r="A6" s="37" t="s">
        <v>143</v>
      </c>
      <c r="B6" s="29"/>
    </row>
    <row r="7" spans="1:7">
      <c r="A7" s="29" t="s">
        <v>72</v>
      </c>
      <c r="B7" s="24">
        <v>1018.72</v>
      </c>
    </row>
    <row r="8" spans="1:7">
      <c r="A8" s="29" t="s">
        <v>62</v>
      </c>
      <c r="B8" s="24">
        <v>853.6</v>
      </c>
    </row>
    <row r="9" spans="1:7">
      <c r="A9" s="37" t="s">
        <v>138</v>
      </c>
      <c r="B9" s="24">
        <v>529.75</v>
      </c>
    </row>
    <row r="10" spans="1:7">
      <c r="A10" s="29" t="s">
        <v>181</v>
      </c>
      <c r="B10" s="24">
        <f>891.58+253.88</f>
        <v>1145.46</v>
      </c>
    </row>
    <row r="11" spans="1:7">
      <c r="A11" s="37" t="s">
        <v>179</v>
      </c>
      <c r="B11" s="24">
        <f>447.39+267.87</f>
        <v>715.26</v>
      </c>
    </row>
    <row r="12" spans="1:7">
      <c r="A12" s="37" t="s">
        <v>155</v>
      </c>
      <c r="B12" s="32">
        <v>1498.89</v>
      </c>
    </row>
    <row r="13" spans="1:7">
      <c r="A13" s="37" t="s">
        <v>186</v>
      </c>
      <c r="B13" s="32">
        <v>488.57</v>
      </c>
    </row>
    <row r="14" spans="1:7">
      <c r="A14" s="29" t="s">
        <v>13</v>
      </c>
      <c r="B14" s="24">
        <v>1199.43</v>
      </c>
      <c r="G14" t="s">
        <v>14</v>
      </c>
    </row>
    <row r="15" spans="1:7">
      <c r="A15" s="31" t="s">
        <v>15</v>
      </c>
      <c r="B15" s="24">
        <v>1040.71</v>
      </c>
    </row>
    <row r="16" spans="1:7">
      <c r="A16" s="29" t="s">
        <v>194</v>
      </c>
      <c r="B16" s="24">
        <v>478.97</v>
      </c>
    </row>
    <row r="17" spans="1:2">
      <c r="A17" s="29" t="s">
        <v>156</v>
      </c>
      <c r="B17" s="24">
        <v>409.41</v>
      </c>
    </row>
    <row r="18" spans="1:2">
      <c r="A18" s="29" t="s">
        <v>18</v>
      </c>
      <c r="B18" s="24">
        <v>780.43</v>
      </c>
    </row>
    <row r="19" spans="1:2">
      <c r="A19" s="29" t="s">
        <v>86</v>
      </c>
      <c r="B19" s="24">
        <v>1123.47</v>
      </c>
    </row>
    <row r="20" spans="1:2">
      <c r="A20" s="29" t="s">
        <v>21</v>
      </c>
      <c r="B20" s="24">
        <v>891.58</v>
      </c>
    </row>
    <row r="21" spans="1:2">
      <c r="A21" s="37" t="s">
        <v>87</v>
      </c>
      <c r="B21" s="24">
        <v>1199.43</v>
      </c>
    </row>
    <row r="22" spans="1:2">
      <c r="A22" s="29" t="s">
        <v>23</v>
      </c>
      <c r="B22" s="24">
        <v>653.69000000000005</v>
      </c>
    </row>
    <row r="23" spans="1:2">
      <c r="A23" s="37" t="s">
        <v>63</v>
      </c>
      <c r="B23" s="24">
        <v>558.54</v>
      </c>
    </row>
    <row r="24" spans="1:2">
      <c r="A24" s="37" t="s">
        <v>168</v>
      </c>
      <c r="B24" s="24">
        <v>1040.71</v>
      </c>
    </row>
    <row r="25" spans="1:2">
      <c r="A25" s="37" t="s">
        <v>88</v>
      </c>
      <c r="B25" s="24">
        <v>974.34</v>
      </c>
    </row>
    <row r="26" spans="1:2">
      <c r="A26" s="29" t="s">
        <v>25</v>
      </c>
      <c r="B26" s="24">
        <v>558.54</v>
      </c>
    </row>
    <row r="27" spans="1:2">
      <c r="A27" s="37" t="s">
        <v>187</v>
      </c>
      <c r="B27" s="24">
        <f>624.91+267.87</f>
        <v>892.78</v>
      </c>
    </row>
    <row r="28" spans="1:2">
      <c r="A28" s="29" t="s">
        <v>148</v>
      </c>
      <c r="B28" s="24">
        <v>488.57</v>
      </c>
    </row>
    <row r="29" spans="1:2">
      <c r="A29" s="29" t="s">
        <v>193</v>
      </c>
      <c r="B29" s="24">
        <v>1012.33</v>
      </c>
    </row>
    <row r="30" spans="1:2">
      <c r="A30" s="29" t="s">
        <v>183</v>
      </c>
      <c r="B30" s="24">
        <v>577.33000000000004</v>
      </c>
    </row>
    <row r="31" spans="1:2">
      <c r="A31" s="37" t="s">
        <v>133</v>
      </c>
      <c r="B31" s="32">
        <v>745.65</v>
      </c>
    </row>
    <row r="32" spans="1:2">
      <c r="A32" s="37" t="s">
        <v>149</v>
      </c>
      <c r="B32" s="32">
        <v>463.38</v>
      </c>
    </row>
    <row r="33" spans="1:2">
      <c r="A33" s="37" t="s">
        <v>151</v>
      </c>
      <c r="B33" s="32">
        <f>494.97+267.87</f>
        <v>762.84</v>
      </c>
    </row>
    <row r="34" spans="1:2">
      <c r="A34" s="37" t="s">
        <v>180</v>
      </c>
      <c r="B34" s="32">
        <f>491.77+267.87</f>
        <v>759.64</v>
      </c>
    </row>
    <row r="35" spans="1:2">
      <c r="A35" s="37" t="s">
        <v>170</v>
      </c>
      <c r="B35" s="32">
        <v>494.97</v>
      </c>
    </row>
    <row r="36" spans="1:2">
      <c r="A36" s="37" t="s">
        <v>27</v>
      </c>
      <c r="B36" s="24">
        <v>1199.43</v>
      </c>
    </row>
    <row r="37" spans="1:2">
      <c r="A37" s="29" t="s">
        <v>104</v>
      </c>
      <c r="B37" s="32">
        <v>1018.72</v>
      </c>
    </row>
    <row r="38" spans="1:2">
      <c r="A38" s="29" t="s">
        <v>197</v>
      </c>
      <c r="B38" s="32">
        <v>485.37</v>
      </c>
    </row>
    <row r="39" spans="1:2">
      <c r="A39" s="37" t="s">
        <v>90</v>
      </c>
      <c r="B39" s="24">
        <v>780.43</v>
      </c>
    </row>
    <row r="40" spans="1:2">
      <c r="A40" s="37" t="s">
        <v>184</v>
      </c>
      <c r="B40" s="32">
        <v>577.33000000000004</v>
      </c>
    </row>
    <row r="41" spans="1:2">
      <c r="A41" s="29" t="s">
        <v>41</v>
      </c>
      <c r="B41" s="24">
        <v>1199.43</v>
      </c>
    </row>
    <row r="42" spans="1:2">
      <c r="A42" s="29" t="s">
        <v>31</v>
      </c>
      <c r="B42" s="24">
        <v>1123.47</v>
      </c>
    </row>
    <row r="43" spans="1:2">
      <c r="A43" s="29" t="s">
        <v>157</v>
      </c>
      <c r="B43" s="24">
        <v>624.91</v>
      </c>
    </row>
    <row r="44" spans="1:2">
      <c r="A44" s="29" t="s">
        <v>80</v>
      </c>
      <c r="B44" s="24">
        <v>780.43</v>
      </c>
    </row>
    <row r="45" spans="1:2">
      <c r="A45" s="37" t="s">
        <v>150</v>
      </c>
      <c r="B45" s="24">
        <v>520.55999999999995</v>
      </c>
    </row>
    <row r="46" spans="1:2">
      <c r="A46" s="29" t="s">
        <v>33</v>
      </c>
      <c r="B46" s="24">
        <v>529.75</v>
      </c>
    </row>
    <row r="47" spans="1:2">
      <c r="A47" s="37" t="s">
        <v>34</v>
      </c>
      <c r="B47" s="24">
        <v>682.08</v>
      </c>
    </row>
    <row r="48" spans="1:2">
      <c r="A48" s="29" t="s">
        <v>91</v>
      </c>
      <c r="B48" s="24">
        <v>463.38</v>
      </c>
    </row>
    <row r="49" spans="1:4">
      <c r="A49" s="37"/>
      <c r="B49" s="33"/>
    </row>
    <row r="50" spans="1:4">
      <c r="A50" s="29" t="s">
        <v>36</v>
      </c>
      <c r="B50" s="33">
        <v>-1009.12</v>
      </c>
    </row>
    <row r="51" spans="1:4">
      <c r="A51" s="29"/>
      <c r="B51" s="24"/>
    </row>
    <row r="52" spans="1:4">
      <c r="A52" s="6" t="s">
        <v>37</v>
      </c>
      <c r="B52" s="41">
        <f>SUM(B5:B51)</f>
        <v>33726.110000000008</v>
      </c>
      <c r="D52" s="35"/>
    </row>
    <row r="54" spans="1:4">
      <c r="A54">
        <f>COUNTA(A5:A48)</f>
        <v>44</v>
      </c>
    </row>
    <row r="56" spans="1:4">
      <c r="A56" t="s">
        <v>200</v>
      </c>
    </row>
    <row r="57" spans="1:4" ht="52" customHeight="1">
      <c r="A57" s="420"/>
      <c r="B57" s="420"/>
    </row>
    <row r="58" spans="1:4">
      <c r="A58" s="12"/>
    </row>
    <row r="59" spans="1:4">
      <c r="A59" s="12"/>
    </row>
  </sheetData>
  <mergeCells count="1">
    <mergeCell ref="A57:B57"/>
  </mergeCells>
  <pageMargins left="1" right="1" top="1" bottom="1" header="0.5" footer="0.5"/>
  <pageSetup scale="80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G58"/>
  <sheetViews>
    <sheetView topLeftCell="A16" zoomScale="140" zoomScaleNormal="140" zoomScalePageLayoutView="140" workbookViewId="0">
      <selection activeCell="C48" sqref="C48"/>
    </sheetView>
  </sheetViews>
  <sheetFormatPr baseColWidth="10" defaultColWidth="8.83203125" defaultRowHeight="13"/>
  <cols>
    <col min="1" max="1" width="29.33203125" customWidth="1"/>
    <col min="2" max="2" width="23.1640625" customWidth="1"/>
    <col min="5" max="5" width="9.33203125" bestFit="1" customWidth="1"/>
    <col min="6" max="6" width="10" bestFit="1" customWidth="1"/>
  </cols>
  <sheetData>
    <row r="1" spans="1:7">
      <c r="A1" s="1" t="s">
        <v>0</v>
      </c>
    </row>
    <row r="2" spans="1:7" ht="13.5" customHeight="1">
      <c r="A2" s="1"/>
    </row>
    <row r="3" spans="1:7">
      <c r="A3" s="1" t="s">
        <v>208</v>
      </c>
    </row>
    <row r="4" spans="1:7">
      <c r="B4" s="3" t="s">
        <v>178</v>
      </c>
    </row>
    <row r="5" spans="1:7">
      <c r="A5" s="37" t="s">
        <v>201</v>
      </c>
      <c r="B5" s="32">
        <v>539.76</v>
      </c>
    </row>
    <row r="6" spans="1:7">
      <c r="A6" s="29" t="s">
        <v>72</v>
      </c>
      <c r="B6" s="24">
        <v>1079.0999999999999</v>
      </c>
    </row>
    <row r="7" spans="1:7">
      <c r="A7" s="29" t="s">
        <v>62</v>
      </c>
      <c r="B7" s="24">
        <v>924.47</v>
      </c>
    </row>
    <row r="8" spans="1:7">
      <c r="A8" s="37" t="s">
        <v>202</v>
      </c>
      <c r="B8" s="24">
        <v>503.28</v>
      </c>
    </row>
    <row r="9" spans="1:7">
      <c r="A9" s="37" t="s">
        <v>203</v>
      </c>
      <c r="B9" s="24">
        <v>470.53</v>
      </c>
    </row>
    <row r="10" spans="1:7">
      <c r="A10" s="37" t="s">
        <v>204</v>
      </c>
      <c r="B10" s="24">
        <v>414.56</v>
      </c>
    </row>
    <row r="11" spans="1:7">
      <c r="A11" s="29" t="s">
        <v>181</v>
      </c>
      <c r="B11" s="24">
        <v>1369.29</v>
      </c>
    </row>
    <row r="12" spans="1:7">
      <c r="A12" s="37" t="s">
        <v>179</v>
      </c>
      <c r="B12" s="24">
        <v>801.66</v>
      </c>
    </row>
    <row r="13" spans="1:7">
      <c r="A13" s="37" t="s">
        <v>205</v>
      </c>
      <c r="B13" s="24">
        <v>434.46</v>
      </c>
    </row>
    <row r="14" spans="1:7">
      <c r="A14" s="37" t="s">
        <v>155</v>
      </c>
      <c r="B14" s="32">
        <v>1841.06</v>
      </c>
    </row>
    <row r="15" spans="1:7">
      <c r="A15" s="37" t="s">
        <v>186</v>
      </c>
      <c r="B15" s="32">
        <v>509.91</v>
      </c>
    </row>
    <row r="16" spans="1:7">
      <c r="A16" s="29" t="s">
        <v>13</v>
      </c>
      <c r="B16" s="24">
        <v>1243.68</v>
      </c>
      <c r="G16" t="s">
        <v>14</v>
      </c>
    </row>
    <row r="17" spans="1:2">
      <c r="A17" s="31" t="s">
        <v>15</v>
      </c>
      <c r="B17" s="24">
        <v>1125.1199999999999</v>
      </c>
    </row>
    <row r="18" spans="1:2">
      <c r="A18" s="29" t="s">
        <v>156</v>
      </c>
      <c r="B18" s="24">
        <v>434.46</v>
      </c>
    </row>
    <row r="19" spans="1:2">
      <c r="A19" s="29" t="s">
        <v>206</v>
      </c>
      <c r="B19" s="24">
        <v>1056.3</v>
      </c>
    </row>
    <row r="20" spans="1:2">
      <c r="A20" s="29" t="s">
        <v>18</v>
      </c>
      <c r="B20" s="24">
        <v>845.7</v>
      </c>
    </row>
    <row r="21" spans="1:2">
      <c r="A21" s="29" t="s">
        <v>86</v>
      </c>
      <c r="B21" s="24">
        <v>1191.03</v>
      </c>
    </row>
    <row r="22" spans="1:2">
      <c r="A22" s="29" t="s">
        <v>21</v>
      </c>
      <c r="B22" s="24">
        <v>967.17</v>
      </c>
    </row>
    <row r="23" spans="1:2">
      <c r="A23" s="37" t="s">
        <v>87</v>
      </c>
      <c r="B23" s="24">
        <v>1243.68</v>
      </c>
    </row>
    <row r="24" spans="1:2">
      <c r="A24" s="29" t="s">
        <v>23</v>
      </c>
      <c r="B24" s="24">
        <v>707.24</v>
      </c>
    </row>
    <row r="25" spans="1:2">
      <c r="A25" s="37" t="s">
        <v>63</v>
      </c>
      <c r="B25" s="24">
        <v>598.63</v>
      </c>
    </row>
    <row r="26" spans="1:2">
      <c r="A26" s="37" t="s">
        <v>168</v>
      </c>
      <c r="B26" s="24">
        <v>1125.1199999999999</v>
      </c>
    </row>
    <row r="27" spans="1:2">
      <c r="A27" s="37" t="s">
        <v>88</v>
      </c>
      <c r="B27" s="24">
        <v>1056.3</v>
      </c>
    </row>
    <row r="28" spans="1:2">
      <c r="A28" s="29" t="s">
        <v>25</v>
      </c>
      <c r="B28" s="24">
        <v>598.63</v>
      </c>
    </row>
    <row r="29" spans="1:2">
      <c r="A29" s="37" t="s">
        <v>187</v>
      </c>
      <c r="B29" s="24">
        <v>1008.94</v>
      </c>
    </row>
    <row r="30" spans="1:2">
      <c r="A30" s="29" t="s">
        <v>148</v>
      </c>
      <c r="B30" s="24">
        <v>509.91</v>
      </c>
    </row>
    <row r="31" spans="1:2">
      <c r="A31" s="29" t="s">
        <v>193</v>
      </c>
      <c r="B31" s="24">
        <v>1410.24</v>
      </c>
    </row>
    <row r="32" spans="1:2">
      <c r="A32" s="37" t="s">
        <v>133</v>
      </c>
      <c r="B32" s="32">
        <v>809.22</v>
      </c>
    </row>
    <row r="33" spans="1:2">
      <c r="A33" s="37" t="s">
        <v>149</v>
      </c>
      <c r="B33" s="32">
        <v>490.43</v>
      </c>
    </row>
    <row r="34" spans="1:2">
      <c r="A34" s="37" t="s">
        <v>151</v>
      </c>
      <c r="B34" s="32">
        <v>847.67</v>
      </c>
    </row>
    <row r="35" spans="1:2">
      <c r="A35" s="37" t="s">
        <v>27</v>
      </c>
      <c r="B35" s="24">
        <v>1243.68</v>
      </c>
    </row>
    <row r="36" spans="1:2">
      <c r="A36" s="29" t="s">
        <v>104</v>
      </c>
      <c r="B36" s="32">
        <v>1079.0999999999999</v>
      </c>
    </row>
    <row r="37" spans="1:2">
      <c r="A37" s="29" t="s">
        <v>197</v>
      </c>
      <c r="B37" s="32">
        <v>506.59</v>
      </c>
    </row>
    <row r="38" spans="1:2">
      <c r="A38" s="29" t="s">
        <v>207</v>
      </c>
      <c r="B38" s="32">
        <v>416.22</v>
      </c>
    </row>
    <row r="39" spans="1:2">
      <c r="A39" s="37" t="s">
        <v>90</v>
      </c>
      <c r="B39" s="24">
        <v>845.7</v>
      </c>
    </row>
    <row r="40" spans="1:2">
      <c r="A40" s="37" t="s">
        <v>184</v>
      </c>
      <c r="B40" s="32">
        <v>621.84</v>
      </c>
    </row>
    <row r="41" spans="1:2">
      <c r="A41" s="29" t="s">
        <v>41</v>
      </c>
      <c r="B41" s="24">
        <v>1243.68</v>
      </c>
    </row>
    <row r="42" spans="1:2">
      <c r="A42" s="29" t="s">
        <v>31</v>
      </c>
      <c r="B42" s="24">
        <v>1191.03</v>
      </c>
    </row>
    <row r="43" spans="1:2">
      <c r="A43" s="29" t="s">
        <v>157</v>
      </c>
      <c r="B43" s="24">
        <v>677.81</v>
      </c>
    </row>
    <row r="44" spans="1:2">
      <c r="A44" s="37" t="s">
        <v>150</v>
      </c>
      <c r="B44" s="24">
        <v>549.29</v>
      </c>
    </row>
    <row r="45" spans="1:2">
      <c r="A45" s="29" t="s">
        <v>33</v>
      </c>
      <c r="B45" s="24">
        <v>562.55999999999995</v>
      </c>
    </row>
    <row r="46" spans="1:2">
      <c r="A46" s="37" t="s">
        <v>34</v>
      </c>
      <c r="B46" s="24">
        <v>740.41</v>
      </c>
    </row>
    <row r="47" spans="1:2">
      <c r="A47" s="29" t="s">
        <v>91</v>
      </c>
      <c r="B47" s="24">
        <v>490.43</v>
      </c>
    </row>
    <row r="48" spans="1:2">
      <c r="A48" s="37"/>
      <c r="B48" s="33"/>
    </row>
    <row r="49" spans="1:7">
      <c r="A49" s="29" t="s">
        <v>36</v>
      </c>
      <c r="B49" s="33"/>
    </row>
    <row r="50" spans="1:7">
      <c r="A50" s="29"/>
      <c r="B50" s="24"/>
    </row>
    <row r="51" spans="1:7">
      <c r="A51" s="6" t="s">
        <v>37</v>
      </c>
      <c r="B51" s="41">
        <f>SUM(B5:B50)</f>
        <v>36325.890000000007</v>
      </c>
      <c r="D51" s="35"/>
      <c r="E51" s="35"/>
      <c r="G51" s="35"/>
    </row>
    <row r="52" spans="1:7">
      <c r="B52" s="35"/>
    </row>
    <row r="53" spans="1:7">
      <c r="A53">
        <f>COUNTA(A5:A47)</f>
        <v>43</v>
      </c>
    </row>
    <row r="55" spans="1:7">
      <c r="A55" t="s">
        <v>200</v>
      </c>
    </row>
    <row r="56" spans="1:7" ht="52" customHeight="1">
      <c r="A56" s="420"/>
      <c r="B56" s="420"/>
    </row>
    <row r="57" spans="1:7">
      <c r="A57" s="12"/>
    </row>
    <row r="58" spans="1:7">
      <c r="A58" s="12"/>
    </row>
  </sheetData>
  <mergeCells count="1">
    <mergeCell ref="A56:B56"/>
  </mergeCells>
  <pageMargins left="1" right="1" top="1" bottom="1" header="0.5" footer="0.5"/>
  <pageSetup scale="87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G59"/>
  <sheetViews>
    <sheetView zoomScale="140" zoomScaleNormal="140" zoomScalePageLayoutView="140" workbookViewId="0">
      <selection activeCell="A34" sqref="A34"/>
    </sheetView>
  </sheetViews>
  <sheetFormatPr baseColWidth="10" defaultColWidth="8.83203125" defaultRowHeight="13"/>
  <cols>
    <col min="1" max="1" width="29.33203125" customWidth="1"/>
    <col min="2" max="2" width="23.1640625" customWidth="1"/>
    <col min="4" max="4" width="13.6640625" customWidth="1"/>
  </cols>
  <sheetData>
    <row r="1" spans="1:2">
      <c r="A1" s="1" t="s">
        <v>0</v>
      </c>
    </row>
    <row r="2" spans="1:2" ht="13.5" customHeight="1">
      <c r="A2" s="1"/>
    </row>
    <row r="3" spans="1:2">
      <c r="A3" s="1" t="s">
        <v>210</v>
      </c>
    </row>
    <row r="4" spans="1:2">
      <c r="B4" s="3" t="s">
        <v>178</v>
      </c>
    </row>
    <row r="5" spans="1:2">
      <c r="A5" s="37" t="s">
        <v>201</v>
      </c>
      <c r="B5" s="32">
        <v>539.76</v>
      </c>
    </row>
    <row r="6" spans="1:2">
      <c r="A6" s="29" t="s">
        <v>72</v>
      </c>
      <c r="B6" s="24">
        <v>1079.0999999999999</v>
      </c>
    </row>
    <row r="7" spans="1:2">
      <c r="A7" s="29" t="s">
        <v>62</v>
      </c>
      <c r="B7" s="24">
        <v>924.47</v>
      </c>
    </row>
    <row r="8" spans="1:2">
      <c r="A8" s="37" t="s">
        <v>202</v>
      </c>
      <c r="B8" s="24">
        <v>503.28</v>
      </c>
    </row>
    <row r="9" spans="1:2">
      <c r="A9" s="37" t="s">
        <v>203</v>
      </c>
      <c r="B9" s="24">
        <v>470.53</v>
      </c>
    </row>
    <row r="10" spans="1:2">
      <c r="A10" s="37" t="s">
        <v>204</v>
      </c>
      <c r="B10" s="24">
        <v>414.56</v>
      </c>
    </row>
    <row r="11" spans="1:2">
      <c r="A11" s="42" t="s">
        <v>209</v>
      </c>
      <c r="B11" s="33">
        <f>434.46</f>
        <v>434.46</v>
      </c>
    </row>
    <row r="12" spans="1:2">
      <c r="A12" s="29" t="s">
        <v>181</v>
      </c>
      <c r="B12" s="24">
        <v>1369.29</v>
      </c>
    </row>
    <row r="13" spans="1:2">
      <c r="A13" s="37" t="s">
        <v>179</v>
      </c>
      <c r="B13" s="24">
        <v>801.66</v>
      </c>
    </row>
    <row r="14" spans="1:2">
      <c r="A14" s="37" t="s">
        <v>205</v>
      </c>
      <c r="B14" s="24">
        <v>434.46</v>
      </c>
    </row>
    <row r="15" spans="1:2">
      <c r="A15" s="37" t="s">
        <v>155</v>
      </c>
      <c r="B15" s="32">
        <v>1841.06</v>
      </c>
    </row>
    <row r="16" spans="1:2">
      <c r="A16" s="37" t="s">
        <v>186</v>
      </c>
      <c r="B16" s="32">
        <v>509.91</v>
      </c>
    </row>
    <row r="17" spans="1:7">
      <c r="A17" s="29" t="s">
        <v>13</v>
      </c>
      <c r="B17" s="24">
        <v>1243.68</v>
      </c>
      <c r="G17" t="s">
        <v>14</v>
      </c>
    </row>
    <row r="18" spans="1:7">
      <c r="A18" s="31" t="s">
        <v>15</v>
      </c>
      <c r="B18" s="24">
        <v>1125.1199999999999</v>
      </c>
    </row>
    <row r="19" spans="1:7">
      <c r="A19" s="29" t="s">
        <v>156</v>
      </c>
      <c r="B19" s="24">
        <v>434.46</v>
      </c>
    </row>
    <row r="20" spans="1:7">
      <c r="A20" s="29" t="s">
        <v>206</v>
      </c>
      <c r="B20" s="24">
        <v>1056.3</v>
      </c>
    </row>
    <row r="21" spans="1:7">
      <c r="A21" s="29" t="s">
        <v>18</v>
      </c>
      <c r="B21" s="24">
        <v>845.7</v>
      </c>
    </row>
    <row r="22" spans="1:7">
      <c r="A22" s="29" t="s">
        <v>86</v>
      </c>
      <c r="B22" s="24">
        <v>1191.03</v>
      </c>
    </row>
    <row r="23" spans="1:7">
      <c r="A23" s="29" t="s">
        <v>21</v>
      </c>
      <c r="B23" s="24">
        <v>967.17</v>
      </c>
    </row>
    <row r="24" spans="1:7">
      <c r="A24" s="37" t="s">
        <v>87</v>
      </c>
      <c r="B24" s="24">
        <v>1243.68</v>
      </c>
    </row>
    <row r="25" spans="1:7">
      <c r="A25" s="29" t="s">
        <v>23</v>
      </c>
      <c r="B25" s="24">
        <v>707.24</v>
      </c>
    </row>
    <row r="26" spans="1:7">
      <c r="A26" s="37" t="s">
        <v>63</v>
      </c>
      <c r="B26" s="24">
        <v>598.63</v>
      </c>
    </row>
    <row r="27" spans="1:7">
      <c r="A27" s="37" t="s">
        <v>168</v>
      </c>
      <c r="B27" s="24">
        <v>1125.1199999999999</v>
      </c>
    </row>
    <row r="28" spans="1:7">
      <c r="A28" s="37" t="s">
        <v>88</v>
      </c>
      <c r="B28" s="24">
        <v>1056.3</v>
      </c>
    </row>
    <row r="29" spans="1:7">
      <c r="A29" s="29" t="s">
        <v>25</v>
      </c>
      <c r="B29" s="24">
        <v>598.63</v>
      </c>
    </row>
    <row r="30" spans="1:7">
      <c r="A30" s="37" t="s">
        <v>187</v>
      </c>
      <c r="B30" s="24">
        <v>1008.94</v>
      </c>
    </row>
    <row r="31" spans="1:7">
      <c r="A31" s="29" t="s">
        <v>148</v>
      </c>
      <c r="B31" s="24">
        <v>509.91</v>
      </c>
    </row>
    <row r="32" spans="1:7">
      <c r="A32" s="29" t="s">
        <v>193</v>
      </c>
      <c r="B32" s="24">
        <v>1410.24</v>
      </c>
    </row>
    <row r="33" spans="1:2">
      <c r="A33" s="37" t="s">
        <v>133</v>
      </c>
      <c r="B33" s="32">
        <v>809.22</v>
      </c>
    </row>
    <row r="34" spans="1:2">
      <c r="A34" s="37" t="s">
        <v>149</v>
      </c>
      <c r="B34" s="33">
        <v>0</v>
      </c>
    </row>
    <row r="35" spans="1:2">
      <c r="A35" s="37" t="s">
        <v>151</v>
      </c>
      <c r="B35" s="32">
        <v>847.67</v>
      </c>
    </row>
    <row r="36" spans="1:2">
      <c r="A36" s="37" t="s">
        <v>27</v>
      </c>
      <c r="B36" s="24">
        <v>1243.68</v>
      </c>
    </row>
    <row r="37" spans="1:2">
      <c r="A37" s="29" t="s">
        <v>104</v>
      </c>
      <c r="B37" s="32">
        <v>1079.0999999999999</v>
      </c>
    </row>
    <row r="38" spans="1:2">
      <c r="A38" s="29" t="s">
        <v>197</v>
      </c>
      <c r="B38" s="32">
        <v>506.59</v>
      </c>
    </row>
    <row r="39" spans="1:2">
      <c r="A39" s="29" t="s">
        <v>207</v>
      </c>
      <c r="B39" s="32">
        <v>416.22</v>
      </c>
    </row>
    <row r="40" spans="1:2">
      <c r="A40" s="37" t="s">
        <v>90</v>
      </c>
      <c r="B40" s="24">
        <v>845.7</v>
      </c>
    </row>
    <row r="41" spans="1:2">
      <c r="A41" s="37" t="s">
        <v>184</v>
      </c>
      <c r="B41" s="32">
        <v>621.84</v>
      </c>
    </row>
    <row r="42" spans="1:2">
      <c r="A42" s="29" t="s">
        <v>41</v>
      </c>
      <c r="B42" s="24">
        <v>1243.68</v>
      </c>
    </row>
    <row r="43" spans="1:2">
      <c r="A43" s="29" t="s">
        <v>31</v>
      </c>
      <c r="B43" s="24">
        <v>1191.03</v>
      </c>
    </row>
    <row r="44" spans="1:2">
      <c r="A44" s="29" t="s">
        <v>157</v>
      </c>
      <c r="B44" s="24">
        <v>677.81</v>
      </c>
    </row>
    <row r="45" spans="1:2">
      <c r="A45" s="37" t="s">
        <v>150</v>
      </c>
      <c r="B45" s="24">
        <v>549.29</v>
      </c>
    </row>
    <row r="46" spans="1:2">
      <c r="A46" s="29" t="s">
        <v>33</v>
      </c>
      <c r="B46" s="24">
        <v>562.55999999999995</v>
      </c>
    </row>
    <row r="47" spans="1:2">
      <c r="A47" s="37" t="s">
        <v>34</v>
      </c>
      <c r="B47" s="24">
        <v>740.41</v>
      </c>
    </row>
    <row r="48" spans="1:2">
      <c r="A48" s="29" t="s">
        <v>91</v>
      </c>
      <c r="B48" s="24">
        <v>490.43</v>
      </c>
    </row>
    <row r="49" spans="1:7">
      <c r="A49" s="37"/>
      <c r="B49" s="33"/>
    </row>
    <row r="50" spans="1:7">
      <c r="A50" s="29" t="s">
        <v>36</v>
      </c>
      <c r="B50" s="32">
        <f>353.44+1997.64</f>
        <v>2351.08</v>
      </c>
    </row>
    <row r="51" spans="1:7">
      <c r="A51" s="29"/>
      <c r="B51" s="24"/>
    </row>
    <row r="52" spans="1:7">
      <c r="A52" s="6" t="s">
        <v>37</v>
      </c>
      <c r="B52" s="41">
        <f>SUM(B5:B50)</f>
        <v>38621.000000000007</v>
      </c>
      <c r="D52" s="35"/>
      <c r="E52" s="35"/>
      <c r="G52" s="35"/>
    </row>
    <row r="53" spans="1:7">
      <c r="B53" s="35"/>
    </row>
    <row r="54" spans="1:7">
      <c r="A54">
        <f>COUNTA(A5:A48)</f>
        <v>44</v>
      </c>
    </row>
    <row r="56" spans="1:7">
      <c r="A56" t="s">
        <v>211</v>
      </c>
    </row>
    <row r="57" spans="1:7" ht="52" customHeight="1">
      <c r="A57" s="420"/>
      <c r="B57" s="420"/>
    </row>
    <row r="58" spans="1:7">
      <c r="A58" s="12"/>
    </row>
    <row r="59" spans="1:7">
      <c r="A59" s="12"/>
    </row>
  </sheetData>
  <mergeCells count="1">
    <mergeCell ref="A57:B57"/>
  </mergeCells>
  <pageMargins left="1" right="1" top="1" bottom="1" header="0.5" footer="0.5"/>
  <pageSetup scale="86" fitToWidth="0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E2D0-EEA0-6A4C-BF0F-C8940A83EAC5}">
  <sheetPr>
    <pageSetUpPr fitToPage="1"/>
  </sheetPr>
  <dimension ref="A1:G63"/>
  <sheetViews>
    <sheetView topLeftCell="A27" zoomScale="140" zoomScaleNormal="140" zoomScalePageLayoutView="140" workbookViewId="0">
      <selection activeCell="A34" sqref="A34"/>
    </sheetView>
  </sheetViews>
  <sheetFormatPr baseColWidth="10" defaultColWidth="8.83203125" defaultRowHeight="13"/>
  <cols>
    <col min="1" max="1" width="29.33203125" customWidth="1"/>
    <col min="2" max="2" width="23.1640625" customWidth="1"/>
    <col min="4" max="4" width="13.6640625" customWidth="1"/>
  </cols>
  <sheetData>
    <row r="1" spans="1:2">
      <c r="A1" s="1" t="s">
        <v>0</v>
      </c>
    </row>
    <row r="2" spans="1:2" ht="13.5" customHeight="1">
      <c r="A2" s="1"/>
    </row>
    <row r="3" spans="1:2">
      <c r="A3" s="1" t="s">
        <v>212</v>
      </c>
    </row>
    <row r="4" spans="1:2">
      <c r="B4" s="3" t="s">
        <v>178</v>
      </c>
    </row>
    <row r="5" spans="1:2">
      <c r="A5" s="37" t="s">
        <v>201</v>
      </c>
      <c r="B5" s="32">
        <v>539.76</v>
      </c>
    </row>
    <row r="6" spans="1:2">
      <c r="A6" s="29" t="s">
        <v>72</v>
      </c>
      <c r="B6" s="24">
        <v>1079.0999999999999</v>
      </c>
    </row>
    <row r="7" spans="1:2">
      <c r="A7" s="29" t="s">
        <v>62</v>
      </c>
      <c r="B7" s="24">
        <v>924.47</v>
      </c>
    </row>
    <row r="8" spans="1:2">
      <c r="A8" s="37" t="s">
        <v>202</v>
      </c>
      <c r="B8" s="24">
        <v>503.28</v>
      </c>
    </row>
    <row r="9" spans="1:2">
      <c r="A9" s="37" t="s">
        <v>203</v>
      </c>
      <c r="B9" s="24">
        <v>470.53</v>
      </c>
    </row>
    <row r="10" spans="1:2">
      <c r="A10" s="37" t="s">
        <v>204</v>
      </c>
      <c r="B10" s="24">
        <v>414.56</v>
      </c>
    </row>
    <row r="11" spans="1:2">
      <c r="A11" s="37" t="s">
        <v>209</v>
      </c>
      <c r="B11" s="32">
        <f>434.46</f>
        <v>434.46</v>
      </c>
    </row>
    <row r="12" spans="1:2">
      <c r="A12" s="29" t="s">
        <v>181</v>
      </c>
      <c r="B12" s="24">
        <v>1369.29</v>
      </c>
    </row>
    <row r="13" spans="1:2">
      <c r="A13" s="37" t="s">
        <v>179</v>
      </c>
      <c r="B13" s="24">
        <v>801.66</v>
      </c>
    </row>
    <row r="14" spans="1:2">
      <c r="A14" s="37" t="s">
        <v>205</v>
      </c>
      <c r="B14" s="24">
        <v>434.46</v>
      </c>
    </row>
    <row r="15" spans="1:2">
      <c r="A15" s="37" t="s">
        <v>155</v>
      </c>
      <c r="B15" s="32">
        <v>1841.06</v>
      </c>
    </row>
    <row r="16" spans="1:2">
      <c r="A16" s="37" t="s">
        <v>186</v>
      </c>
      <c r="B16" s="32">
        <v>509.91</v>
      </c>
    </row>
    <row r="17" spans="1:7">
      <c r="A17" s="29" t="s">
        <v>13</v>
      </c>
      <c r="B17" s="24">
        <v>1243.68</v>
      </c>
      <c r="G17" t="s">
        <v>14</v>
      </c>
    </row>
    <row r="18" spans="1:7">
      <c r="A18" s="6" t="s">
        <v>213</v>
      </c>
      <c r="B18" s="33">
        <v>539.76</v>
      </c>
    </row>
    <row r="19" spans="1:7">
      <c r="A19" s="36" t="s">
        <v>15</v>
      </c>
      <c r="B19" s="46">
        <v>1125.1199999999999</v>
      </c>
    </row>
    <row r="20" spans="1:7">
      <c r="A20" s="29" t="s">
        <v>156</v>
      </c>
      <c r="B20" s="24">
        <v>434.46</v>
      </c>
    </row>
    <row r="21" spans="1:7">
      <c r="A21" s="29" t="s">
        <v>206</v>
      </c>
      <c r="B21" s="24">
        <v>1056.3</v>
      </c>
    </row>
    <row r="22" spans="1:7">
      <c r="A22" s="29" t="s">
        <v>18</v>
      </c>
      <c r="B22" s="24">
        <v>845.7</v>
      </c>
    </row>
    <row r="23" spans="1:7">
      <c r="A23" s="29" t="s">
        <v>86</v>
      </c>
      <c r="B23" s="24">
        <v>1191.03</v>
      </c>
    </row>
    <row r="24" spans="1:7">
      <c r="A24" s="29" t="s">
        <v>21</v>
      </c>
      <c r="B24" s="24">
        <v>967.17</v>
      </c>
    </row>
    <row r="25" spans="1:7">
      <c r="A25" s="37" t="s">
        <v>87</v>
      </c>
      <c r="B25" s="24">
        <v>1243.68</v>
      </c>
    </row>
    <row r="26" spans="1:7">
      <c r="A26" s="29" t="s">
        <v>23</v>
      </c>
      <c r="B26" s="24">
        <v>707.24</v>
      </c>
    </row>
    <row r="27" spans="1:7">
      <c r="A27" s="37" t="s">
        <v>63</v>
      </c>
      <c r="B27" s="33">
        <v>1260.8900000000001</v>
      </c>
    </row>
    <row r="28" spans="1:7">
      <c r="A28" s="37" t="s">
        <v>168</v>
      </c>
      <c r="B28" s="24">
        <v>1125.1199999999999</v>
      </c>
    </row>
    <row r="29" spans="1:7">
      <c r="A29" s="37" t="s">
        <v>88</v>
      </c>
      <c r="B29" s="24">
        <v>1056.3</v>
      </c>
    </row>
    <row r="30" spans="1:7">
      <c r="A30" s="29" t="s">
        <v>25</v>
      </c>
      <c r="B30" s="24">
        <v>598.63</v>
      </c>
    </row>
    <row r="31" spans="1:7">
      <c r="A31" s="37" t="s">
        <v>187</v>
      </c>
      <c r="B31" s="24">
        <v>1008.94</v>
      </c>
    </row>
    <row r="32" spans="1:7">
      <c r="A32" s="29" t="s">
        <v>148</v>
      </c>
      <c r="B32" s="24">
        <v>509.91</v>
      </c>
    </row>
    <row r="33" spans="1:2">
      <c r="A33" s="29" t="s">
        <v>193</v>
      </c>
      <c r="B33" s="33">
        <v>811.61</v>
      </c>
    </row>
    <row r="34" spans="1:2">
      <c r="A34" s="37" t="s">
        <v>133</v>
      </c>
      <c r="B34" s="32">
        <v>809.22</v>
      </c>
    </row>
    <row r="35" spans="1:2">
      <c r="A35" s="37" t="s">
        <v>149</v>
      </c>
      <c r="B35" s="33">
        <v>0</v>
      </c>
    </row>
    <row r="36" spans="1:2">
      <c r="A36" s="37" t="s">
        <v>151</v>
      </c>
      <c r="B36" s="32">
        <v>847.67</v>
      </c>
    </row>
    <row r="37" spans="1:2">
      <c r="A37" s="37" t="s">
        <v>27</v>
      </c>
      <c r="B37" s="24">
        <v>1243.68</v>
      </c>
    </row>
    <row r="38" spans="1:2">
      <c r="A38" s="42" t="s">
        <v>214</v>
      </c>
      <c r="B38" s="33">
        <v>1326.49</v>
      </c>
    </row>
    <row r="39" spans="1:2">
      <c r="A39" s="29" t="s">
        <v>104</v>
      </c>
      <c r="B39" s="32">
        <v>1079.0999999999999</v>
      </c>
    </row>
    <row r="40" spans="1:2">
      <c r="A40" s="29" t="s">
        <v>197</v>
      </c>
      <c r="B40" s="32">
        <v>506.59</v>
      </c>
    </row>
    <row r="41" spans="1:2">
      <c r="A41" s="29" t="s">
        <v>207</v>
      </c>
      <c r="B41" s="32">
        <v>416.22</v>
      </c>
    </row>
    <row r="42" spans="1:2">
      <c r="A42" s="37" t="s">
        <v>90</v>
      </c>
      <c r="B42" s="24">
        <v>845.7</v>
      </c>
    </row>
    <row r="43" spans="1:2">
      <c r="A43" s="42" t="s">
        <v>134</v>
      </c>
      <c r="B43" s="33">
        <v>470.53</v>
      </c>
    </row>
    <row r="44" spans="1:2">
      <c r="A44" s="37" t="s">
        <v>184</v>
      </c>
      <c r="B44" s="32">
        <v>621.84</v>
      </c>
    </row>
    <row r="45" spans="1:2">
      <c r="A45" s="29" t="s">
        <v>41</v>
      </c>
      <c r="B45" s="24">
        <v>1243.68</v>
      </c>
    </row>
    <row r="46" spans="1:2">
      <c r="A46" s="29" t="s">
        <v>31</v>
      </c>
      <c r="B46" s="24">
        <v>1191.03</v>
      </c>
    </row>
    <row r="47" spans="1:2">
      <c r="A47" s="29" t="s">
        <v>157</v>
      </c>
      <c r="B47" s="24">
        <v>677.81</v>
      </c>
    </row>
    <row r="48" spans="1:2">
      <c r="A48" s="37" t="s">
        <v>150</v>
      </c>
      <c r="B48" s="24">
        <v>549.29</v>
      </c>
    </row>
    <row r="49" spans="1:7">
      <c r="A49" s="29" t="s">
        <v>33</v>
      </c>
      <c r="B49" s="24">
        <v>562.55999999999995</v>
      </c>
    </row>
    <row r="50" spans="1:7">
      <c r="A50" s="37" t="s">
        <v>34</v>
      </c>
      <c r="B50" s="24">
        <v>740.41</v>
      </c>
    </row>
    <row r="51" spans="1:7">
      <c r="A51" s="29" t="s">
        <v>91</v>
      </c>
      <c r="B51" s="24">
        <v>490.43</v>
      </c>
    </row>
    <row r="52" spans="1:7">
      <c r="A52" s="6" t="s">
        <v>215</v>
      </c>
      <c r="B52" s="33">
        <v>562.55999999999995</v>
      </c>
    </row>
    <row r="53" spans="1:7">
      <c r="A53" s="37"/>
      <c r="B53" s="33"/>
    </row>
    <row r="54" spans="1:7">
      <c r="A54" s="29" t="s">
        <v>36</v>
      </c>
      <c r="B54" s="32">
        <v>5925.94</v>
      </c>
    </row>
    <row r="55" spans="1:7">
      <c r="A55" s="29"/>
      <c r="B55" s="24" t="s">
        <v>216</v>
      </c>
    </row>
    <row r="56" spans="1:7">
      <c r="A56" s="6" t="s">
        <v>37</v>
      </c>
      <c r="B56" s="47">
        <f>SUM(B5:B54)</f>
        <v>45158.829999999994</v>
      </c>
      <c r="D56" s="35"/>
      <c r="E56" s="35"/>
      <c r="G56" s="35"/>
    </row>
    <row r="57" spans="1:7">
      <c r="B57" s="35"/>
    </row>
    <row r="58" spans="1:7">
      <c r="A58">
        <f>COUNTA(A5:A51)</f>
        <v>47</v>
      </c>
    </row>
    <row r="61" spans="1:7" ht="52" customHeight="1">
      <c r="A61" s="420"/>
      <c r="B61" s="420"/>
    </row>
    <row r="62" spans="1:7">
      <c r="A62" s="12"/>
    </row>
    <row r="63" spans="1:7">
      <c r="A63" s="12"/>
    </row>
  </sheetData>
  <mergeCells count="1">
    <mergeCell ref="A61:B61"/>
  </mergeCells>
  <pageMargins left="1" right="1" top="1" bottom="1" header="0.5" footer="0.5"/>
  <pageSetup scale="81" fitToWidth="0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FE6C-E94B-9B43-98F1-FD793DAC5C8D}">
  <sheetPr>
    <pageSetUpPr fitToPage="1"/>
  </sheetPr>
  <dimension ref="A1:G62"/>
  <sheetViews>
    <sheetView topLeftCell="A36" zoomScale="140" zoomScaleNormal="140" zoomScalePageLayoutView="140" workbookViewId="0">
      <selection activeCell="A34" sqref="A34"/>
    </sheetView>
  </sheetViews>
  <sheetFormatPr baseColWidth="10" defaultColWidth="8.83203125" defaultRowHeight="13"/>
  <cols>
    <col min="1" max="1" width="29.33203125" customWidth="1"/>
    <col min="2" max="2" width="23.1640625" customWidth="1"/>
    <col min="4" max="4" width="13.6640625" customWidth="1"/>
  </cols>
  <sheetData>
    <row r="1" spans="1:2">
      <c r="A1" s="1" t="s">
        <v>0</v>
      </c>
    </row>
    <row r="2" spans="1:2" ht="13.5" customHeight="1">
      <c r="A2" s="1"/>
    </row>
    <row r="3" spans="1:2">
      <c r="A3" s="1" t="s">
        <v>217</v>
      </c>
    </row>
    <row r="4" spans="1:2">
      <c r="B4" s="3" t="s">
        <v>178</v>
      </c>
    </row>
    <row r="5" spans="1:2">
      <c r="A5" s="37" t="s">
        <v>201</v>
      </c>
      <c r="B5" s="32">
        <v>539.76</v>
      </c>
    </row>
    <row r="6" spans="1:2">
      <c r="A6" s="29" t="s">
        <v>72</v>
      </c>
      <c r="B6" s="24">
        <v>1079.0999999999999</v>
      </c>
    </row>
    <row r="7" spans="1:2">
      <c r="A7" s="29" t="s">
        <v>62</v>
      </c>
      <c r="B7" s="24">
        <v>924.47</v>
      </c>
    </row>
    <row r="8" spans="1:2">
      <c r="A8" s="37" t="s">
        <v>202</v>
      </c>
      <c r="B8" s="24">
        <v>503.28</v>
      </c>
    </row>
    <row r="9" spans="1:2">
      <c r="A9" s="37" t="s">
        <v>203</v>
      </c>
      <c r="B9" s="24">
        <v>470.53</v>
      </c>
    </row>
    <row r="10" spans="1:2">
      <c r="A10" s="37" t="s">
        <v>204</v>
      </c>
      <c r="B10" s="24">
        <v>414.56</v>
      </c>
    </row>
    <row r="11" spans="1:2">
      <c r="A11" s="37" t="s">
        <v>209</v>
      </c>
      <c r="B11" s="32">
        <f>434.46</f>
        <v>434.46</v>
      </c>
    </row>
    <row r="12" spans="1:2">
      <c r="A12" s="29" t="s">
        <v>181</v>
      </c>
      <c r="B12" s="24">
        <v>1369.29</v>
      </c>
    </row>
    <row r="13" spans="1:2">
      <c r="A13" s="37" t="s">
        <v>179</v>
      </c>
      <c r="B13" s="24">
        <v>801.66</v>
      </c>
    </row>
    <row r="14" spans="1:2">
      <c r="A14" s="37" t="s">
        <v>205</v>
      </c>
      <c r="B14" s="24">
        <v>434.46</v>
      </c>
    </row>
    <row r="15" spans="1:2">
      <c r="A15" s="37" t="s">
        <v>155</v>
      </c>
      <c r="B15" s="32">
        <v>1841.06</v>
      </c>
    </row>
    <row r="16" spans="1:2">
      <c r="A16" s="37" t="s">
        <v>186</v>
      </c>
      <c r="B16" s="32">
        <v>509.91</v>
      </c>
    </row>
    <row r="17" spans="1:7">
      <c r="A17" s="29" t="s">
        <v>13</v>
      </c>
      <c r="B17" s="24">
        <v>1243.68</v>
      </c>
      <c r="G17" t="s">
        <v>14</v>
      </c>
    </row>
    <row r="18" spans="1:7" s="12" customFormat="1">
      <c r="A18" s="39" t="s">
        <v>213</v>
      </c>
      <c r="B18" s="33">
        <v>539.76</v>
      </c>
    </row>
    <row r="19" spans="1:7">
      <c r="A19" s="31" t="s">
        <v>15</v>
      </c>
      <c r="B19" s="24">
        <v>1125.1199999999999</v>
      </c>
    </row>
    <row r="20" spans="1:7">
      <c r="A20" s="29" t="s">
        <v>156</v>
      </c>
      <c r="B20" s="24">
        <v>434.46</v>
      </c>
    </row>
    <row r="21" spans="1:7">
      <c r="A21" s="34" t="s">
        <v>206</v>
      </c>
      <c r="B21" s="32"/>
    </row>
    <row r="22" spans="1:7">
      <c r="A22" s="29" t="s">
        <v>18</v>
      </c>
      <c r="B22" s="24">
        <v>845.7</v>
      </c>
    </row>
    <row r="23" spans="1:7">
      <c r="A23" s="29" t="s">
        <v>86</v>
      </c>
      <c r="B23" s="24">
        <v>1191.03</v>
      </c>
    </row>
    <row r="24" spans="1:7">
      <c r="A24" s="34" t="s">
        <v>21</v>
      </c>
      <c r="B24" s="24"/>
    </row>
    <row r="25" spans="1:7">
      <c r="A25" s="37" t="s">
        <v>87</v>
      </c>
      <c r="B25" s="24">
        <v>1243.68</v>
      </c>
    </row>
    <row r="26" spans="1:7">
      <c r="A26" s="29" t="s">
        <v>23</v>
      </c>
      <c r="B26" s="24">
        <v>707.24</v>
      </c>
    </row>
    <row r="27" spans="1:7">
      <c r="A27" s="37" t="s">
        <v>63</v>
      </c>
      <c r="B27" s="32">
        <v>1260.8900000000001</v>
      </c>
    </row>
    <row r="28" spans="1:7">
      <c r="A28" s="37" t="s">
        <v>168</v>
      </c>
      <c r="B28" s="24">
        <v>1125.1199999999999</v>
      </c>
    </row>
    <row r="29" spans="1:7">
      <c r="A29" s="37" t="s">
        <v>88</v>
      </c>
      <c r="B29" s="24">
        <v>1056.3</v>
      </c>
    </row>
    <row r="30" spans="1:7">
      <c r="A30" s="29" t="s">
        <v>25</v>
      </c>
      <c r="B30" s="24">
        <v>598.63</v>
      </c>
    </row>
    <row r="31" spans="1:7">
      <c r="A31" s="37" t="s">
        <v>187</v>
      </c>
      <c r="B31" s="24">
        <v>1008.94</v>
      </c>
    </row>
    <row r="32" spans="1:7">
      <c r="A32" s="29" t="s">
        <v>148</v>
      </c>
      <c r="B32" s="24">
        <v>509.91</v>
      </c>
    </row>
    <row r="33" spans="1:2">
      <c r="A33" s="29" t="s">
        <v>193</v>
      </c>
      <c r="B33" s="32">
        <v>811.61</v>
      </c>
    </row>
    <row r="34" spans="1:2">
      <c r="A34" s="37" t="s">
        <v>133</v>
      </c>
      <c r="B34" s="32">
        <v>809.22</v>
      </c>
    </row>
    <row r="35" spans="1:2">
      <c r="A35" s="37" t="s">
        <v>149</v>
      </c>
      <c r="B35" s="32"/>
    </row>
    <row r="36" spans="1:2">
      <c r="A36" s="37" t="s">
        <v>151</v>
      </c>
      <c r="B36" s="32">
        <v>847.67</v>
      </c>
    </row>
    <row r="37" spans="1:2">
      <c r="A37" s="37" t="s">
        <v>27</v>
      </c>
      <c r="B37" s="24">
        <v>1243.68</v>
      </c>
    </row>
    <row r="38" spans="1:2">
      <c r="A38" s="37" t="s">
        <v>214</v>
      </c>
      <c r="B38" s="32">
        <v>1326.49</v>
      </c>
    </row>
    <row r="39" spans="1:2">
      <c r="A39" s="29" t="s">
        <v>104</v>
      </c>
      <c r="B39" s="32">
        <v>1079.0999999999999</v>
      </c>
    </row>
    <row r="40" spans="1:2">
      <c r="A40" s="29" t="s">
        <v>207</v>
      </c>
      <c r="B40" s="32">
        <v>416.22</v>
      </c>
    </row>
    <row r="41" spans="1:2">
      <c r="A41" s="37" t="s">
        <v>90</v>
      </c>
      <c r="B41" s="24">
        <v>845.7</v>
      </c>
    </row>
    <row r="42" spans="1:2">
      <c r="A42" s="37" t="s">
        <v>134</v>
      </c>
      <c r="B42" s="32">
        <v>470.53</v>
      </c>
    </row>
    <row r="43" spans="1:2">
      <c r="A43" s="37" t="s">
        <v>184</v>
      </c>
      <c r="B43" s="32">
        <v>621.84</v>
      </c>
    </row>
    <row r="44" spans="1:2">
      <c r="A44" s="29" t="s">
        <v>41</v>
      </c>
      <c r="B44" s="24">
        <v>1243.68</v>
      </c>
    </row>
    <row r="45" spans="1:2">
      <c r="A45" s="29" t="s">
        <v>31</v>
      </c>
      <c r="B45" s="24">
        <v>1191.03</v>
      </c>
    </row>
    <row r="46" spans="1:2">
      <c r="A46" s="29" t="s">
        <v>157</v>
      </c>
      <c r="B46" s="24">
        <v>677.81</v>
      </c>
    </row>
    <row r="47" spans="1:2">
      <c r="A47" s="37" t="s">
        <v>150</v>
      </c>
      <c r="B47" s="24">
        <v>549.29</v>
      </c>
    </row>
    <row r="48" spans="1:2">
      <c r="A48" s="29" t="s">
        <v>33</v>
      </c>
      <c r="B48" s="24">
        <v>562.55999999999995</v>
      </c>
    </row>
    <row r="49" spans="1:7">
      <c r="A49" s="37" t="s">
        <v>34</v>
      </c>
      <c r="B49" s="24">
        <v>740.41</v>
      </c>
    </row>
    <row r="50" spans="1:7">
      <c r="A50" s="29" t="s">
        <v>91</v>
      </c>
      <c r="B50" s="24">
        <v>490.43</v>
      </c>
    </row>
    <row r="51" spans="1:7">
      <c r="A51" s="37" t="s">
        <v>215</v>
      </c>
      <c r="B51" s="32">
        <v>562.55999999999995</v>
      </c>
    </row>
    <row r="52" spans="1:7">
      <c r="A52" s="37"/>
      <c r="B52" s="32"/>
    </row>
    <row r="53" spans="1:7">
      <c r="A53" s="29" t="s">
        <v>36</v>
      </c>
      <c r="B53" s="32">
        <v>-5084.91</v>
      </c>
    </row>
    <row r="54" spans="1:7">
      <c r="A54" s="29"/>
      <c r="B54" s="24" t="s">
        <v>216</v>
      </c>
    </row>
    <row r="55" spans="1:7">
      <c r="A55" s="6" t="s">
        <v>37</v>
      </c>
      <c r="B55" s="47">
        <f>SUM(B5:B53)</f>
        <v>31617.919999999995</v>
      </c>
      <c r="D55" s="35"/>
      <c r="E55" s="35"/>
      <c r="G55" s="35"/>
    </row>
    <row r="56" spans="1:7">
      <c r="B56" s="35"/>
    </row>
    <row r="57" spans="1:7">
      <c r="A57">
        <f>COUNTA(A5:A50)</f>
        <v>46</v>
      </c>
    </row>
    <row r="60" spans="1:7" ht="52" customHeight="1">
      <c r="A60" s="420"/>
      <c r="B60" s="420"/>
    </row>
    <row r="61" spans="1:7">
      <c r="A61" s="12"/>
    </row>
    <row r="62" spans="1:7">
      <c r="A62" s="12"/>
    </row>
  </sheetData>
  <mergeCells count="1">
    <mergeCell ref="A60:B60"/>
  </mergeCells>
  <pageMargins left="1" right="1" top="1" bottom="1" header="0.5" footer="0.5"/>
  <pageSetup scale="78" fitToWidth="0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C3C5-63FE-C64A-A137-4C34499F81C1}">
  <sheetPr>
    <tabColor theme="9" tint="0.59999389629810485"/>
    <pageSetUpPr fitToPage="1"/>
  </sheetPr>
  <dimension ref="A1:G61"/>
  <sheetViews>
    <sheetView topLeftCell="A25" zoomScale="140" zoomScaleNormal="140" zoomScalePageLayoutView="140" workbookViewId="0">
      <selection activeCell="A34" sqref="A34"/>
    </sheetView>
  </sheetViews>
  <sheetFormatPr baseColWidth="10" defaultColWidth="8.83203125" defaultRowHeight="13"/>
  <cols>
    <col min="1" max="1" width="29.33203125" customWidth="1"/>
    <col min="2" max="2" width="23.1640625" customWidth="1"/>
    <col min="4" max="4" width="13.6640625" customWidth="1"/>
  </cols>
  <sheetData>
    <row r="1" spans="1:2">
      <c r="A1" s="1" t="s">
        <v>0</v>
      </c>
    </row>
    <row r="2" spans="1:2" ht="13.5" customHeight="1">
      <c r="A2" s="1"/>
    </row>
    <row r="3" spans="1:2">
      <c r="A3" s="1" t="s">
        <v>218</v>
      </c>
    </row>
    <row r="4" spans="1:2">
      <c r="B4" s="3" t="s">
        <v>178</v>
      </c>
    </row>
    <row r="5" spans="1:2">
      <c r="A5" s="37" t="s">
        <v>201</v>
      </c>
      <c r="B5" s="32">
        <v>539.76</v>
      </c>
    </row>
    <row r="6" spans="1:2">
      <c r="A6" s="29" t="s">
        <v>72</v>
      </c>
      <c r="B6" s="24">
        <v>1079.0999999999999</v>
      </c>
    </row>
    <row r="7" spans="1:2">
      <c r="A7" s="29" t="s">
        <v>62</v>
      </c>
      <c r="B7" s="24">
        <v>924.47</v>
      </c>
    </row>
    <row r="8" spans="1:2">
      <c r="A8" s="37" t="s">
        <v>202</v>
      </c>
      <c r="B8" s="24">
        <v>503.28</v>
      </c>
    </row>
    <row r="9" spans="1:2">
      <c r="A9" s="37" t="s">
        <v>203</v>
      </c>
      <c r="B9" s="24">
        <v>470.53</v>
      </c>
    </row>
    <row r="10" spans="1:2">
      <c r="A10" s="37" t="s">
        <v>204</v>
      </c>
      <c r="B10" s="24">
        <v>414.56</v>
      </c>
    </row>
    <row r="11" spans="1:2">
      <c r="A11" s="37" t="s">
        <v>209</v>
      </c>
      <c r="B11" s="32">
        <f>434.46</f>
        <v>434.46</v>
      </c>
    </row>
    <row r="12" spans="1:2">
      <c r="A12" s="29" t="s">
        <v>181</v>
      </c>
      <c r="B12" s="24">
        <v>1369.29</v>
      </c>
    </row>
    <row r="13" spans="1:2">
      <c r="A13" s="37" t="s">
        <v>179</v>
      </c>
      <c r="B13" s="24">
        <v>801.66</v>
      </c>
    </row>
    <row r="14" spans="1:2">
      <c r="A14" s="37" t="s">
        <v>205</v>
      </c>
      <c r="B14" s="24">
        <v>434.46</v>
      </c>
    </row>
    <row r="15" spans="1:2">
      <c r="A15" s="37" t="s">
        <v>155</v>
      </c>
      <c r="B15" s="32">
        <v>1841.06</v>
      </c>
    </row>
    <row r="16" spans="1:2">
      <c r="A16" s="37" t="s">
        <v>186</v>
      </c>
      <c r="B16" s="32">
        <v>509.91</v>
      </c>
    </row>
    <row r="17" spans="1:7">
      <c r="A17" s="29" t="s">
        <v>13</v>
      </c>
      <c r="B17" s="24">
        <v>1243.68</v>
      </c>
      <c r="G17" t="s">
        <v>14</v>
      </c>
    </row>
    <row r="18" spans="1:7">
      <c r="A18" s="31" t="s">
        <v>15</v>
      </c>
      <c r="B18" s="24">
        <v>1125.1199999999999</v>
      </c>
    </row>
    <row r="19" spans="1:7">
      <c r="A19" s="29" t="s">
        <v>156</v>
      </c>
      <c r="B19" s="24">
        <v>434.46</v>
      </c>
    </row>
    <row r="20" spans="1:7">
      <c r="A20" s="29" t="s">
        <v>18</v>
      </c>
      <c r="B20" s="24">
        <v>845.7</v>
      </c>
    </row>
    <row r="21" spans="1:7">
      <c r="A21" s="29" t="s">
        <v>86</v>
      </c>
      <c r="B21" s="24">
        <v>1191.03</v>
      </c>
    </row>
    <row r="22" spans="1:7">
      <c r="A22" s="37" t="s">
        <v>87</v>
      </c>
      <c r="B22" s="24">
        <v>1243.68</v>
      </c>
    </row>
    <row r="23" spans="1:7">
      <c r="A23" s="29" t="s">
        <v>23</v>
      </c>
      <c r="B23" s="24">
        <v>707.24</v>
      </c>
    </row>
    <row r="24" spans="1:7">
      <c r="A24" s="37" t="s">
        <v>63</v>
      </c>
      <c r="B24" s="32">
        <v>1260.8900000000001</v>
      </c>
    </row>
    <row r="25" spans="1:7">
      <c r="A25" s="37" t="s">
        <v>168</v>
      </c>
      <c r="B25" s="24">
        <v>1125.1199999999999</v>
      </c>
    </row>
    <row r="26" spans="1:7">
      <c r="A26" s="37" t="s">
        <v>88</v>
      </c>
      <c r="B26" s="24">
        <v>1056.3</v>
      </c>
    </row>
    <row r="27" spans="1:7">
      <c r="A27" s="29" t="s">
        <v>25</v>
      </c>
      <c r="B27" s="24">
        <v>598.63</v>
      </c>
    </row>
    <row r="28" spans="1:7">
      <c r="A28" s="37" t="s">
        <v>187</v>
      </c>
      <c r="B28" s="24">
        <v>1008.94</v>
      </c>
    </row>
    <row r="29" spans="1:7">
      <c r="A29" s="29" t="s">
        <v>148</v>
      </c>
      <c r="B29" s="24">
        <v>509.91</v>
      </c>
    </row>
    <row r="30" spans="1:7">
      <c r="A30" s="29" t="s">
        <v>193</v>
      </c>
      <c r="B30" s="32">
        <v>811.61</v>
      </c>
    </row>
    <row r="31" spans="1:7">
      <c r="A31" s="37" t="s">
        <v>133</v>
      </c>
      <c r="B31" s="32">
        <v>809.22</v>
      </c>
    </row>
    <row r="32" spans="1:7">
      <c r="A32" s="37" t="s">
        <v>151</v>
      </c>
      <c r="B32" s="32">
        <v>847.67</v>
      </c>
    </row>
    <row r="33" spans="1:2">
      <c r="A33" s="49" t="s">
        <v>219</v>
      </c>
      <c r="B33" s="48">
        <v>414.56</v>
      </c>
    </row>
    <row r="34" spans="1:2">
      <c r="A34" s="37" t="s">
        <v>27</v>
      </c>
      <c r="B34" s="24">
        <v>1243.68</v>
      </c>
    </row>
    <row r="35" spans="1:2">
      <c r="A35" s="37" t="s">
        <v>214</v>
      </c>
      <c r="B35" s="32">
        <v>1326.49</v>
      </c>
    </row>
    <row r="36" spans="1:2">
      <c r="A36" s="29" t="s">
        <v>104</v>
      </c>
      <c r="B36" s="32">
        <v>1079.0999999999999</v>
      </c>
    </row>
    <row r="37" spans="1:2">
      <c r="A37" s="29" t="s">
        <v>207</v>
      </c>
      <c r="B37" s="32">
        <v>416.22</v>
      </c>
    </row>
    <row r="38" spans="1:2">
      <c r="A38" s="37" t="s">
        <v>90</v>
      </c>
      <c r="B38" s="24">
        <v>845.7</v>
      </c>
    </row>
    <row r="39" spans="1:2">
      <c r="A39" s="37" t="s">
        <v>134</v>
      </c>
      <c r="B39" s="32">
        <v>470.53</v>
      </c>
    </row>
    <row r="40" spans="1:2">
      <c r="A40" s="37" t="s">
        <v>184</v>
      </c>
      <c r="B40" s="32">
        <v>621.84</v>
      </c>
    </row>
    <row r="41" spans="1:2">
      <c r="A41" s="29" t="s">
        <v>41</v>
      </c>
      <c r="B41" s="24">
        <v>1243.68</v>
      </c>
    </row>
    <row r="42" spans="1:2">
      <c r="A42" s="29" t="s">
        <v>31</v>
      </c>
      <c r="B42" s="24">
        <v>1191.03</v>
      </c>
    </row>
    <row r="43" spans="1:2">
      <c r="A43" s="29" t="s">
        <v>157</v>
      </c>
      <c r="B43" s="24">
        <v>677.81</v>
      </c>
    </row>
    <row r="44" spans="1:2">
      <c r="A44" s="37" t="s">
        <v>150</v>
      </c>
      <c r="B44" s="24">
        <v>549.29</v>
      </c>
    </row>
    <row r="45" spans="1:2">
      <c r="A45" s="29" t="s">
        <v>33</v>
      </c>
      <c r="B45" s="24">
        <v>562.55999999999995</v>
      </c>
    </row>
    <row r="46" spans="1:2">
      <c r="A46" s="37" t="s">
        <v>34</v>
      </c>
      <c r="B46" s="24">
        <v>740.41</v>
      </c>
    </row>
    <row r="47" spans="1:2">
      <c r="A47" s="29" t="s">
        <v>91</v>
      </c>
      <c r="B47" s="24">
        <v>490.43</v>
      </c>
    </row>
    <row r="48" spans="1:2">
      <c r="A48" s="37" t="s">
        <v>215</v>
      </c>
      <c r="B48" s="32">
        <v>562.55999999999995</v>
      </c>
    </row>
    <row r="49" spans="1:7">
      <c r="A49" s="37"/>
      <c r="B49" s="32"/>
    </row>
    <row r="50" spans="1:7">
      <c r="A50" s="29" t="s">
        <v>36</v>
      </c>
      <c r="B50" s="32">
        <v>-250.4</v>
      </c>
    </row>
    <row r="51" spans="1:7">
      <c r="A51" s="29"/>
      <c r="B51" s="24" t="s">
        <v>216</v>
      </c>
    </row>
    <row r="52" spans="1:7">
      <c r="A52" s="6" t="s">
        <v>37</v>
      </c>
      <c r="B52" s="47">
        <f>SUM(B5:B50)</f>
        <v>36327.229999999996</v>
      </c>
      <c r="D52" s="35"/>
      <c r="E52" s="35"/>
      <c r="G52" s="35"/>
    </row>
    <row r="53" spans="1:7">
      <c r="B53" s="35"/>
    </row>
    <row r="54" spans="1:7">
      <c r="A54">
        <f>COUNTA(A5:A47)</f>
        <v>43</v>
      </c>
    </row>
    <row r="57" spans="1:7" ht="21" customHeight="1">
      <c r="A57" s="420" t="s">
        <v>106</v>
      </c>
      <c r="B57" s="420"/>
    </row>
    <row r="58" spans="1:7">
      <c r="A58" s="12" t="s">
        <v>220</v>
      </c>
    </row>
    <row r="59" spans="1:7">
      <c r="A59" s="12" t="s">
        <v>221</v>
      </c>
    </row>
    <row r="61" spans="1:7">
      <c r="A61" t="s">
        <v>222</v>
      </c>
    </row>
  </sheetData>
  <mergeCells count="1">
    <mergeCell ref="A57:B57"/>
  </mergeCells>
  <pageMargins left="1" right="1" top="1" bottom="1" header="0.5" footer="0.5"/>
  <pageSetup scale="83" fitToWidth="0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BC8-59D8-EC42-8A5C-8B6431895E18}">
  <sheetPr>
    <tabColor theme="9" tint="0.59999389629810485"/>
    <pageSetUpPr fitToPage="1"/>
  </sheetPr>
  <dimension ref="A1:I64"/>
  <sheetViews>
    <sheetView topLeftCell="A24" zoomScale="130" zoomScaleNormal="130" zoomScalePageLayoutView="140" workbookViewId="0">
      <selection activeCell="A34" sqref="A34"/>
    </sheetView>
  </sheetViews>
  <sheetFormatPr baseColWidth="10" defaultColWidth="8.83203125" defaultRowHeight="13"/>
  <cols>
    <col min="1" max="1" width="4.1640625" customWidth="1"/>
    <col min="2" max="2" width="23.5" customWidth="1"/>
    <col min="3" max="3" width="10.5" style="3" bestFit="1" customWidth="1"/>
    <col min="4" max="4" width="13.1640625" customWidth="1"/>
    <col min="5" max="5" width="11.5" bestFit="1" customWidth="1"/>
    <col min="6" max="6" width="13.6640625" customWidth="1"/>
    <col min="8" max="8" width="19.83203125" bestFit="1" customWidth="1"/>
    <col min="9" max="9" width="18.1640625" bestFit="1" customWidth="1"/>
  </cols>
  <sheetData>
    <row r="1" spans="1:5">
      <c r="A1" s="1" t="s">
        <v>0</v>
      </c>
      <c r="C1" s="68"/>
      <c r="D1" s="69" t="s">
        <v>247</v>
      </c>
      <c r="E1" s="69" t="s">
        <v>248</v>
      </c>
    </row>
    <row r="2" spans="1:5" ht="13.5" customHeight="1">
      <c r="A2" s="1" t="s">
        <v>249</v>
      </c>
      <c r="C2" s="7" t="s">
        <v>223</v>
      </c>
      <c r="D2" s="70">
        <v>43522</v>
      </c>
      <c r="E2" s="70">
        <v>43549</v>
      </c>
    </row>
    <row r="3" spans="1:5">
      <c r="D3" s="421"/>
      <c r="E3" s="421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539.76</v>
      </c>
      <c r="E5" s="29"/>
    </row>
    <row r="6" spans="1:5">
      <c r="A6" s="7">
        <f>A5+1</f>
        <v>2</v>
      </c>
      <c r="B6" s="29" t="s">
        <v>72</v>
      </c>
      <c r="C6" s="7"/>
      <c r="D6" s="51">
        <v>1079.0999999999999</v>
      </c>
      <c r="E6" s="29"/>
    </row>
    <row r="7" spans="1:5">
      <c r="A7" s="7">
        <f t="shared" ref="A7:A50" si="0">A6+1</f>
        <v>3</v>
      </c>
      <c r="B7" s="29" t="s">
        <v>62</v>
      </c>
      <c r="C7" s="7"/>
      <c r="D7" s="51">
        <v>924.47</v>
      </c>
      <c r="E7" s="29"/>
    </row>
    <row r="8" spans="1:5">
      <c r="A8" s="7">
        <f t="shared" si="0"/>
        <v>4</v>
      </c>
      <c r="B8" s="37" t="s">
        <v>202</v>
      </c>
      <c r="C8" s="58"/>
      <c r="D8" s="51">
        <v>503.28</v>
      </c>
      <c r="E8" s="29"/>
    </row>
    <row r="9" spans="1:5">
      <c r="A9" s="7">
        <f t="shared" si="0"/>
        <v>5</v>
      </c>
      <c r="B9" s="37" t="s">
        <v>203</v>
      </c>
      <c r="C9" s="58"/>
      <c r="D9" s="51">
        <v>470.53</v>
      </c>
      <c r="E9" s="29"/>
    </row>
    <row r="10" spans="1:5">
      <c r="A10" s="7">
        <f t="shared" si="0"/>
        <v>6</v>
      </c>
      <c r="B10" s="37" t="s">
        <v>204</v>
      </c>
      <c r="C10" s="58"/>
      <c r="D10" s="51">
        <v>414.56</v>
      </c>
      <c r="E10" s="29"/>
    </row>
    <row r="11" spans="1:5">
      <c r="A11" s="7">
        <f t="shared" si="0"/>
        <v>7</v>
      </c>
      <c r="B11" s="37" t="s">
        <v>209</v>
      </c>
      <c r="C11" s="58"/>
      <c r="D11" s="52">
        <f>434.46</f>
        <v>434.46</v>
      </c>
      <c r="E11" s="29"/>
    </row>
    <row r="12" spans="1:5">
      <c r="A12" s="7">
        <f t="shared" si="0"/>
        <v>8</v>
      </c>
      <c r="B12" s="29" t="s">
        <v>12</v>
      </c>
      <c r="C12" s="7">
        <v>1</v>
      </c>
      <c r="D12" s="51">
        <v>1369.29</v>
      </c>
      <c r="E12" s="29"/>
    </row>
    <row r="13" spans="1:5">
      <c r="A13" s="7">
        <f t="shared" si="0"/>
        <v>9</v>
      </c>
      <c r="B13" s="37" t="s">
        <v>48</v>
      </c>
      <c r="C13" s="58">
        <v>1</v>
      </c>
      <c r="D13" s="51">
        <v>801.66</v>
      </c>
      <c r="E13" s="29"/>
    </row>
    <row r="14" spans="1:5">
      <c r="A14" s="7">
        <f t="shared" si="0"/>
        <v>10</v>
      </c>
      <c r="B14" s="37" t="s">
        <v>205</v>
      </c>
      <c r="C14" s="58"/>
      <c r="D14" s="51">
        <v>434.46</v>
      </c>
      <c r="E14" s="29"/>
    </row>
    <row r="15" spans="1:5">
      <c r="A15" s="7">
        <f t="shared" si="0"/>
        <v>11</v>
      </c>
      <c r="B15" s="37" t="s">
        <v>236</v>
      </c>
      <c r="C15" s="58">
        <v>3</v>
      </c>
      <c r="D15" s="52">
        <v>1841.06</v>
      </c>
      <c r="E15" s="29"/>
    </row>
    <row r="16" spans="1:5">
      <c r="A16" s="7">
        <f t="shared" si="0"/>
        <v>12</v>
      </c>
      <c r="B16" s="37" t="s">
        <v>186</v>
      </c>
      <c r="C16" s="58"/>
      <c r="D16" s="52">
        <v>509.91</v>
      </c>
      <c r="E16" s="29"/>
    </row>
    <row r="17" spans="1:5">
      <c r="A17" s="7">
        <f t="shared" si="0"/>
        <v>13</v>
      </c>
      <c r="B17" s="61" t="s">
        <v>230</v>
      </c>
      <c r="C17" s="62"/>
      <c r="D17" s="51">
        <v>1243.68</v>
      </c>
      <c r="E17" s="29"/>
    </row>
    <row r="18" spans="1:5">
      <c r="A18" s="7">
        <f t="shared" si="0"/>
        <v>14</v>
      </c>
      <c r="B18" s="29" t="s">
        <v>234</v>
      </c>
      <c r="C18" s="7"/>
      <c r="D18" s="51">
        <v>1125.1199999999999</v>
      </c>
      <c r="E18" s="29"/>
    </row>
    <row r="19" spans="1:5">
      <c r="A19" s="59">
        <f t="shared" si="0"/>
        <v>15</v>
      </c>
      <c r="B19" s="56" t="s">
        <v>237</v>
      </c>
      <c r="C19" s="59">
        <v>1</v>
      </c>
      <c r="D19" s="57">
        <v>795.02</v>
      </c>
      <c r="E19" s="29" t="s">
        <v>240</v>
      </c>
    </row>
    <row r="20" spans="1:5">
      <c r="A20" s="7">
        <f t="shared" si="0"/>
        <v>16</v>
      </c>
      <c r="B20" s="29" t="s">
        <v>156</v>
      </c>
      <c r="C20" s="7"/>
      <c r="D20" s="51">
        <v>434.46</v>
      </c>
      <c r="E20" s="29"/>
    </row>
    <row r="21" spans="1:5">
      <c r="A21" s="7">
        <f t="shared" si="0"/>
        <v>17</v>
      </c>
      <c r="B21" s="61" t="s">
        <v>228</v>
      </c>
      <c r="C21" s="62"/>
      <c r="D21" s="51">
        <v>845.7</v>
      </c>
      <c r="E21" s="29"/>
    </row>
    <row r="22" spans="1:5">
      <c r="A22" s="7">
        <f t="shared" si="0"/>
        <v>18</v>
      </c>
      <c r="B22" s="61" t="s">
        <v>229</v>
      </c>
      <c r="C22" s="62"/>
      <c r="D22" s="51">
        <v>1191.03</v>
      </c>
      <c r="E22" s="29"/>
    </row>
    <row r="23" spans="1:5">
      <c r="A23" s="7">
        <f t="shared" si="0"/>
        <v>19</v>
      </c>
      <c r="B23" s="37" t="s">
        <v>87</v>
      </c>
      <c r="C23" s="58"/>
      <c r="D23" s="51">
        <v>1243.68</v>
      </c>
      <c r="E23" s="29"/>
    </row>
    <row r="24" spans="1:5">
      <c r="A24" s="7">
        <f t="shared" si="0"/>
        <v>20</v>
      </c>
      <c r="B24" s="29" t="s">
        <v>235</v>
      </c>
      <c r="C24" s="7"/>
      <c r="D24" s="51">
        <v>707.24</v>
      </c>
      <c r="E24" s="29"/>
    </row>
    <row r="25" spans="1:5">
      <c r="A25" s="7">
        <f t="shared" si="0"/>
        <v>21</v>
      </c>
      <c r="B25" s="37" t="s">
        <v>63</v>
      </c>
      <c r="C25" s="58">
        <v>2</v>
      </c>
      <c r="D25" s="52">
        <v>1260.8900000000001</v>
      </c>
      <c r="E25" s="29"/>
    </row>
    <row r="26" spans="1:5">
      <c r="A26" s="7">
        <f t="shared" si="0"/>
        <v>22</v>
      </c>
      <c r="B26" s="37" t="s">
        <v>168</v>
      </c>
      <c r="C26" s="58"/>
      <c r="D26" s="51">
        <v>1125.1199999999999</v>
      </c>
      <c r="E26" s="29"/>
    </row>
    <row r="27" spans="1:5">
      <c r="A27" s="7">
        <f t="shared" si="0"/>
        <v>23</v>
      </c>
      <c r="B27" s="37" t="s">
        <v>88</v>
      </c>
      <c r="C27" s="58"/>
      <c r="D27" s="51">
        <v>1056.3</v>
      </c>
      <c r="E27" s="29"/>
    </row>
    <row r="28" spans="1:5">
      <c r="A28" s="7">
        <f t="shared" si="0"/>
        <v>24</v>
      </c>
      <c r="B28" s="55" t="s">
        <v>232</v>
      </c>
      <c r="C28" s="7"/>
      <c r="D28" s="51">
        <v>598.63</v>
      </c>
      <c r="E28" s="29"/>
    </row>
    <row r="29" spans="1:5">
      <c r="A29" s="7">
        <f t="shared" si="0"/>
        <v>25</v>
      </c>
      <c r="B29" s="37" t="s">
        <v>231</v>
      </c>
      <c r="C29" s="58">
        <v>1</v>
      </c>
      <c r="D29" s="51">
        <v>1008.94</v>
      </c>
      <c r="E29" s="29"/>
    </row>
    <row r="30" spans="1:5">
      <c r="A30" s="7">
        <f t="shared" si="0"/>
        <v>26</v>
      </c>
      <c r="B30" s="29" t="s">
        <v>148</v>
      </c>
      <c r="C30" s="7"/>
      <c r="D30" s="51">
        <v>509.91</v>
      </c>
      <c r="E30" s="29"/>
    </row>
    <row r="31" spans="1:5">
      <c r="A31" s="7">
        <f t="shared" si="0"/>
        <v>27</v>
      </c>
      <c r="B31" s="29" t="s">
        <v>193</v>
      </c>
      <c r="C31" s="7">
        <v>1</v>
      </c>
      <c r="D31" s="52">
        <v>811.61</v>
      </c>
      <c r="E31" s="29"/>
    </row>
    <row r="32" spans="1:5">
      <c r="A32" s="59">
        <f t="shared" si="0"/>
        <v>28</v>
      </c>
      <c r="B32" s="56" t="s">
        <v>239</v>
      </c>
      <c r="C32" s="59"/>
      <c r="D32" s="63">
        <v>463.89</v>
      </c>
      <c r="E32" s="29" t="s">
        <v>240</v>
      </c>
    </row>
    <row r="33" spans="1:6">
      <c r="A33" s="7">
        <f t="shared" si="0"/>
        <v>29</v>
      </c>
      <c r="B33" s="37" t="s">
        <v>133</v>
      </c>
      <c r="C33" s="58"/>
      <c r="D33" s="52">
        <v>809.22</v>
      </c>
      <c r="E33" s="29"/>
    </row>
    <row r="34" spans="1:6">
      <c r="A34" s="7">
        <f t="shared" si="0"/>
        <v>30</v>
      </c>
      <c r="B34" s="37" t="s">
        <v>151</v>
      </c>
      <c r="C34" s="58">
        <v>1</v>
      </c>
      <c r="D34" s="52">
        <v>847.67</v>
      </c>
      <c r="E34" s="29"/>
    </row>
    <row r="35" spans="1:6">
      <c r="A35" s="7">
        <f t="shared" si="0"/>
        <v>31</v>
      </c>
      <c r="B35" s="29" t="s">
        <v>219</v>
      </c>
      <c r="C35" s="7"/>
      <c r="D35" s="51">
        <v>414.56</v>
      </c>
      <c r="E35" s="29"/>
    </row>
    <row r="36" spans="1:6">
      <c r="A36" s="7">
        <f t="shared" si="0"/>
        <v>32</v>
      </c>
      <c r="B36" s="37" t="s">
        <v>233</v>
      </c>
      <c r="C36" s="58"/>
      <c r="D36" s="51">
        <v>1243.68</v>
      </c>
      <c r="E36" s="29"/>
    </row>
    <row r="37" spans="1:6">
      <c r="A37" s="7">
        <f t="shared" si="0"/>
        <v>33</v>
      </c>
      <c r="B37" s="37" t="s">
        <v>214</v>
      </c>
      <c r="C37" s="58">
        <v>1</v>
      </c>
      <c r="D37" s="52">
        <v>1326.49</v>
      </c>
      <c r="E37" s="29"/>
    </row>
    <row r="38" spans="1:6">
      <c r="A38" s="7">
        <f t="shared" si="0"/>
        <v>34</v>
      </c>
      <c r="B38" s="29" t="s">
        <v>104</v>
      </c>
      <c r="C38" s="7"/>
      <c r="D38" s="52">
        <v>1079.0999999999999</v>
      </c>
      <c r="E38" s="29"/>
    </row>
    <row r="39" spans="1:6">
      <c r="A39" s="7">
        <f t="shared" si="0"/>
        <v>35</v>
      </c>
      <c r="B39" s="29" t="s">
        <v>207</v>
      </c>
      <c r="C39" s="7"/>
      <c r="D39" s="52">
        <v>416.22</v>
      </c>
      <c r="E39" s="29"/>
    </row>
    <row r="40" spans="1:6">
      <c r="A40" s="7">
        <f t="shared" si="0"/>
        <v>36</v>
      </c>
      <c r="B40" s="37" t="s">
        <v>90</v>
      </c>
      <c r="C40" s="58"/>
      <c r="D40" s="51">
        <v>845.7</v>
      </c>
      <c r="E40" s="29"/>
    </row>
    <row r="41" spans="1:6">
      <c r="A41" s="7">
        <f t="shared" si="0"/>
        <v>37</v>
      </c>
      <c r="B41" s="37" t="s">
        <v>134</v>
      </c>
      <c r="C41" s="58"/>
      <c r="D41" s="52">
        <v>470.53</v>
      </c>
      <c r="E41" s="29"/>
    </row>
    <row r="42" spans="1:6">
      <c r="A42" s="7">
        <f t="shared" si="0"/>
        <v>38</v>
      </c>
      <c r="B42" s="37" t="s">
        <v>184</v>
      </c>
      <c r="C42" s="58"/>
      <c r="D42" s="52">
        <v>621.84</v>
      </c>
      <c r="E42" s="29"/>
    </row>
    <row r="43" spans="1:6">
      <c r="A43" s="7">
        <f t="shared" si="0"/>
        <v>39</v>
      </c>
      <c r="B43" s="29" t="s">
        <v>41</v>
      </c>
      <c r="C43" s="58"/>
      <c r="D43" s="51">
        <v>1243.68</v>
      </c>
      <c r="E43" s="29"/>
    </row>
    <row r="44" spans="1:6">
      <c r="A44" s="7">
        <f t="shared" si="0"/>
        <v>40</v>
      </c>
      <c r="B44" s="29" t="s">
        <v>238</v>
      </c>
      <c r="C44" s="58"/>
      <c r="D44" s="51">
        <v>1191.03</v>
      </c>
      <c r="E44" s="29"/>
    </row>
    <row r="45" spans="1:6">
      <c r="A45" s="7">
        <f t="shared" si="0"/>
        <v>41</v>
      </c>
      <c r="B45" s="29" t="s">
        <v>157</v>
      </c>
      <c r="C45" s="58"/>
      <c r="D45" s="51">
        <v>677.81</v>
      </c>
      <c r="E45" s="29"/>
    </row>
    <row r="46" spans="1:6">
      <c r="A46" s="7">
        <f t="shared" si="0"/>
        <v>42</v>
      </c>
      <c r="B46" s="37" t="s">
        <v>150</v>
      </c>
      <c r="C46" s="58"/>
      <c r="D46" s="51">
        <v>549.29</v>
      </c>
      <c r="E46" s="29"/>
    </row>
    <row r="47" spans="1:6">
      <c r="A47" s="7">
        <f t="shared" si="0"/>
        <v>43</v>
      </c>
      <c r="B47" s="29" t="s">
        <v>33</v>
      </c>
      <c r="C47" s="58"/>
      <c r="D47" s="53">
        <v>562.55999999999995</v>
      </c>
      <c r="E47" s="29"/>
      <c r="F47" s="67" t="s">
        <v>245</v>
      </c>
    </row>
    <row r="48" spans="1:6">
      <c r="A48" s="7">
        <f t="shared" si="0"/>
        <v>44</v>
      </c>
      <c r="B48" s="37" t="s">
        <v>34</v>
      </c>
      <c r="C48" s="58"/>
      <c r="D48" s="53">
        <v>740.41</v>
      </c>
      <c r="E48" s="29"/>
    </row>
    <row r="49" spans="1:9">
      <c r="A49" s="7">
        <f t="shared" si="0"/>
        <v>45</v>
      </c>
      <c r="B49" s="29" t="s">
        <v>91</v>
      </c>
      <c r="C49" s="7"/>
      <c r="D49" s="53">
        <v>490.43</v>
      </c>
      <c r="E49" s="29"/>
    </row>
    <row r="50" spans="1:9">
      <c r="A50" s="7">
        <f t="shared" si="0"/>
        <v>46</v>
      </c>
      <c r="B50" s="37" t="s">
        <v>215</v>
      </c>
      <c r="C50" s="58"/>
      <c r="D50" s="54">
        <v>562.55999999999995</v>
      </c>
      <c r="E50" s="29"/>
    </row>
    <row r="51" spans="1:9">
      <c r="A51" s="7"/>
      <c r="B51" s="37"/>
      <c r="C51" s="64"/>
      <c r="D51" s="54"/>
      <c r="E51" s="29"/>
    </row>
    <row r="52" spans="1:9">
      <c r="A52" s="29"/>
      <c r="B52" s="65" t="s">
        <v>243</v>
      </c>
      <c r="C52" s="7">
        <v>46</v>
      </c>
      <c r="D52" s="54"/>
      <c r="E52" s="29"/>
    </row>
    <row r="53" spans="1:9">
      <c r="A53" s="29"/>
      <c r="B53" s="65" t="s">
        <v>242</v>
      </c>
      <c r="C53" s="58">
        <f>SUM(C5:C50)</f>
        <v>12</v>
      </c>
      <c r="D53" s="54"/>
      <c r="E53" s="29"/>
    </row>
    <row r="54" spans="1:9">
      <c r="A54" s="29"/>
      <c r="B54" s="65" t="s">
        <v>246</v>
      </c>
      <c r="C54" s="58">
        <f>SUM(C52:C53)</f>
        <v>58</v>
      </c>
      <c r="D54" s="54"/>
      <c r="E54" s="29"/>
    </row>
    <row r="55" spans="1:9">
      <c r="A55" s="29"/>
      <c r="B55" s="66" t="s">
        <v>244</v>
      </c>
      <c r="C55" s="7"/>
      <c r="D55" s="54">
        <v>3312.84</v>
      </c>
      <c r="E55" s="29"/>
      <c r="F55" s="35"/>
      <c r="G55" s="35"/>
      <c r="I55" s="35"/>
    </row>
    <row r="56" spans="1:9">
      <c r="A56" s="29"/>
      <c r="B56" s="66"/>
      <c r="C56" s="7"/>
      <c r="D56" s="53" t="s">
        <v>216</v>
      </c>
      <c r="E56" s="29"/>
    </row>
    <row r="57" spans="1:9">
      <c r="A57" s="29"/>
      <c r="B57" s="71" t="s">
        <v>37</v>
      </c>
      <c r="C57" s="10"/>
      <c r="D57" s="8">
        <f>SUM(D5:D55)</f>
        <v>41149.37999999999</v>
      </c>
      <c r="E57" s="29"/>
    </row>
    <row r="58" spans="1:9">
      <c r="D58" s="35"/>
    </row>
    <row r="60" spans="1:9" ht="21" customHeight="1"/>
    <row r="62" spans="1:9">
      <c r="B62" s="420"/>
      <c r="C62" s="420"/>
      <c r="D62" s="420"/>
    </row>
    <row r="63" spans="1:9">
      <c r="B63" s="12"/>
      <c r="C63" s="60"/>
    </row>
    <row r="64" spans="1:9">
      <c r="B64" s="12"/>
      <c r="C64" s="60"/>
    </row>
  </sheetData>
  <mergeCells count="2">
    <mergeCell ref="B62:D62"/>
    <mergeCell ref="D3:E3"/>
  </mergeCells>
  <conditionalFormatting sqref="B5:B51">
    <cfRule type="duplicateValues" dxfId="1579" priority="1"/>
  </conditionalFormatting>
  <conditionalFormatting sqref="B28">
    <cfRule type="duplicateValues" dxfId="1578" priority="6"/>
    <cfRule type="duplicateValues" dxfId="1577" priority="7"/>
    <cfRule type="duplicateValues" dxfId="1576" priority="8"/>
  </conditionalFormatting>
  <conditionalFormatting sqref="B17:C17">
    <cfRule type="duplicateValues" dxfId="1575" priority="18"/>
    <cfRule type="duplicateValues" dxfId="1574" priority="19"/>
    <cfRule type="duplicateValues" dxfId="1573" priority="20"/>
  </conditionalFormatting>
  <conditionalFormatting sqref="B21:C21">
    <cfRule type="duplicateValues" dxfId="1572" priority="13"/>
    <cfRule type="duplicateValues" dxfId="1571" priority="14"/>
    <cfRule type="duplicateValues" dxfId="1570" priority="15"/>
  </conditionalFormatting>
  <conditionalFormatting sqref="B22:C22">
    <cfRule type="duplicateValues" dxfId="1569" priority="10"/>
    <cfRule type="duplicateValues" dxfId="1568" priority="11"/>
    <cfRule type="duplicateValues" dxfId="1567" priority="12"/>
  </conditionalFormatting>
  <conditionalFormatting sqref="C5:C51">
    <cfRule type="notContainsBlanks" dxfId="1566" priority="9">
      <formula>LEN(TRIM(C5))&gt;0</formula>
    </cfRule>
  </conditionalFormatting>
  <pageMargins left="1" right="1" top="1" bottom="1" header="0.5" footer="0.5"/>
  <pageSetup scale="87" fitToWidth="0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0866-53EB-604A-84E8-9DF6E7159CE8}">
  <sheetPr>
    <tabColor theme="9" tint="0.59999389629810485"/>
    <pageSetUpPr fitToPage="1"/>
  </sheetPr>
  <dimension ref="A1:F71"/>
  <sheetViews>
    <sheetView topLeftCell="A27" zoomScale="120" zoomScaleNormal="120" zoomScalePageLayoutView="140" workbookViewId="0">
      <selection activeCell="A34" sqref="A34"/>
    </sheetView>
  </sheetViews>
  <sheetFormatPr baseColWidth="10" defaultColWidth="8.83203125" defaultRowHeight="13"/>
  <cols>
    <col min="1" max="1" width="4.1640625" customWidth="1"/>
    <col min="2" max="2" width="23.5" customWidth="1"/>
    <col min="3" max="3" width="10.5" style="3" bestFit="1" customWidth="1"/>
    <col min="4" max="4" width="13.1640625" customWidth="1"/>
    <col min="5" max="5" width="15.83203125" customWidth="1"/>
    <col min="6" max="6" width="13.6640625" customWidth="1"/>
    <col min="8" max="8" width="19.83203125" bestFit="1" customWidth="1"/>
    <col min="9" max="9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89" t="s">
        <v>263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539.76</v>
      </c>
      <c r="E5" s="29"/>
    </row>
    <row r="6" spans="1:5">
      <c r="A6" s="7">
        <f>A5+1</f>
        <v>2</v>
      </c>
      <c r="B6" s="29" t="s">
        <v>72</v>
      </c>
      <c r="C6" s="7"/>
      <c r="D6" s="51">
        <v>1079.0999999999999</v>
      </c>
      <c r="E6" s="29"/>
    </row>
    <row r="7" spans="1:5">
      <c r="A7" s="76">
        <f>A6+1</f>
        <v>3</v>
      </c>
      <c r="B7" s="75" t="s">
        <v>254</v>
      </c>
      <c r="C7" s="76"/>
      <c r="D7" s="79">
        <v>424.51</v>
      </c>
      <c r="E7" s="29" t="s">
        <v>240</v>
      </c>
    </row>
    <row r="8" spans="1:5">
      <c r="A8" s="7">
        <f>A7+1</f>
        <v>4</v>
      </c>
      <c r="B8" s="29" t="s">
        <v>62</v>
      </c>
      <c r="C8" s="7"/>
      <c r="D8" s="51">
        <v>924.47</v>
      </c>
      <c r="E8" s="29"/>
    </row>
    <row r="9" spans="1:5">
      <c r="A9" s="7">
        <f t="shared" ref="A9:A51" si="0">A8+1</f>
        <v>5</v>
      </c>
      <c r="B9" s="37" t="s">
        <v>202</v>
      </c>
      <c r="C9" s="58"/>
      <c r="D9" s="51">
        <v>503.28</v>
      </c>
      <c r="E9" s="29"/>
    </row>
    <row r="10" spans="1:5">
      <c r="A10" s="7">
        <f t="shared" si="0"/>
        <v>6</v>
      </c>
      <c r="B10" s="37" t="s">
        <v>203</v>
      </c>
      <c r="C10" s="58"/>
      <c r="D10" s="51">
        <v>470.53</v>
      </c>
      <c r="E10" s="29"/>
    </row>
    <row r="11" spans="1:5">
      <c r="A11" s="7">
        <f t="shared" si="0"/>
        <v>7</v>
      </c>
      <c r="B11" s="37" t="s">
        <v>204</v>
      </c>
      <c r="C11" s="58"/>
      <c r="D11" s="51">
        <v>414.56</v>
      </c>
      <c r="E11" s="29"/>
    </row>
    <row r="12" spans="1:5">
      <c r="A12" s="7">
        <f t="shared" si="0"/>
        <v>8</v>
      </c>
      <c r="B12" s="37" t="s">
        <v>209</v>
      </c>
      <c r="C12" s="58"/>
      <c r="D12" s="52">
        <f>434.46</f>
        <v>434.46</v>
      </c>
      <c r="E12" s="29"/>
    </row>
    <row r="13" spans="1:5">
      <c r="A13" s="7">
        <f t="shared" si="0"/>
        <v>9</v>
      </c>
      <c r="B13" s="29" t="s">
        <v>12</v>
      </c>
      <c r="C13" s="7">
        <v>1</v>
      </c>
      <c r="D13" s="51">
        <v>1369.29</v>
      </c>
      <c r="E13" s="29"/>
    </row>
    <row r="14" spans="1:5">
      <c r="A14" s="7">
        <f t="shared" si="0"/>
        <v>10</v>
      </c>
      <c r="B14" s="37" t="s">
        <v>48</v>
      </c>
      <c r="C14" s="58">
        <v>1</v>
      </c>
      <c r="D14" s="51">
        <v>801.66</v>
      </c>
      <c r="E14" s="29"/>
    </row>
    <row r="15" spans="1:5">
      <c r="A15" s="76">
        <f t="shared" si="0"/>
        <v>11</v>
      </c>
      <c r="B15" s="85" t="s">
        <v>255</v>
      </c>
      <c r="C15" s="78"/>
      <c r="D15" s="79">
        <v>598.63</v>
      </c>
      <c r="E15" s="29" t="s">
        <v>240</v>
      </c>
    </row>
    <row r="16" spans="1:5">
      <c r="A16" s="7">
        <f t="shared" si="0"/>
        <v>12</v>
      </c>
      <c r="B16" s="37" t="s">
        <v>205</v>
      </c>
      <c r="C16" s="58"/>
      <c r="D16" s="51">
        <v>434.46</v>
      </c>
      <c r="E16" s="29"/>
    </row>
    <row r="17" spans="1:5">
      <c r="A17" s="7">
        <f t="shared" si="0"/>
        <v>13</v>
      </c>
      <c r="B17" s="37" t="s">
        <v>236</v>
      </c>
      <c r="C17" s="58">
        <v>3</v>
      </c>
      <c r="D17" s="52">
        <v>1841.06</v>
      </c>
      <c r="E17" s="29"/>
    </row>
    <row r="18" spans="1:5">
      <c r="A18" s="7">
        <f t="shared" si="0"/>
        <v>14</v>
      </c>
      <c r="B18" s="37" t="s">
        <v>186</v>
      </c>
      <c r="C18" s="58"/>
      <c r="D18" s="52">
        <v>509.91</v>
      </c>
      <c r="E18" s="29"/>
    </row>
    <row r="19" spans="1:5">
      <c r="A19" s="7">
        <f t="shared" si="0"/>
        <v>15</v>
      </c>
      <c r="B19" s="61" t="s">
        <v>230</v>
      </c>
      <c r="C19" s="62"/>
      <c r="D19" s="51">
        <v>1243.68</v>
      </c>
      <c r="E19" s="29"/>
    </row>
    <row r="20" spans="1:5">
      <c r="A20" s="7">
        <f t="shared" si="0"/>
        <v>16</v>
      </c>
      <c r="B20" s="29" t="s">
        <v>234</v>
      </c>
      <c r="C20" s="7"/>
      <c r="D20" s="51">
        <v>1125.1199999999999</v>
      </c>
      <c r="E20" s="29"/>
    </row>
    <row r="21" spans="1:5">
      <c r="A21" s="7">
        <f t="shared" si="0"/>
        <v>17</v>
      </c>
      <c r="B21" s="29" t="s">
        <v>237</v>
      </c>
      <c r="C21" s="7">
        <v>1</v>
      </c>
      <c r="D21" s="51">
        <v>795.02</v>
      </c>
      <c r="E21" s="29"/>
    </row>
    <row r="22" spans="1:5">
      <c r="A22" s="7">
        <f t="shared" si="0"/>
        <v>18</v>
      </c>
      <c r="B22" s="29" t="s">
        <v>156</v>
      </c>
      <c r="C22" s="7"/>
      <c r="D22" s="51">
        <v>434.46</v>
      </c>
      <c r="E22" s="29"/>
    </row>
    <row r="23" spans="1:5">
      <c r="A23" s="7">
        <f t="shared" si="0"/>
        <v>19</v>
      </c>
      <c r="B23" s="61" t="s">
        <v>228</v>
      </c>
      <c r="C23" s="62"/>
      <c r="D23" s="51">
        <v>845.7</v>
      </c>
      <c r="E23" s="29"/>
    </row>
    <row r="24" spans="1:5">
      <c r="A24" s="7">
        <f t="shared" si="0"/>
        <v>20</v>
      </c>
      <c r="B24" s="61" t="s">
        <v>229</v>
      </c>
      <c r="C24" s="62"/>
      <c r="D24" s="51">
        <v>1191.03</v>
      </c>
      <c r="E24" s="29"/>
    </row>
    <row r="25" spans="1:5">
      <c r="A25" s="7">
        <f t="shared" si="0"/>
        <v>21</v>
      </c>
      <c r="B25" s="37" t="s">
        <v>87</v>
      </c>
      <c r="C25" s="58"/>
      <c r="D25" s="51">
        <v>1243.68</v>
      </c>
      <c r="E25" s="29"/>
    </row>
    <row r="26" spans="1:5">
      <c r="A26" s="7">
        <f t="shared" si="0"/>
        <v>22</v>
      </c>
      <c r="B26" s="29" t="s">
        <v>235</v>
      </c>
      <c r="C26" s="7"/>
      <c r="D26" s="51">
        <v>707.24</v>
      </c>
      <c r="E26" s="29"/>
    </row>
    <row r="27" spans="1:5">
      <c r="A27" s="7">
        <f t="shared" si="0"/>
        <v>23</v>
      </c>
      <c r="B27" s="37" t="s">
        <v>63</v>
      </c>
      <c r="C27" s="58">
        <v>2</v>
      </c>
      <c r="D27" s="52">
        <v>1260.8900000000001</v>
      </c>
      <c r="E27" s="29"/>
    </row>
    <row r="28" spans="1:5">
      <c r="A28" s="7">
        <f t="shared" si="0"/>
        <v>24</v>
      </c>
      <c r="B28" s="37" t="s">
        <v>168</v>
      </c>
      <c r="C28" s="58"/>
      <c r="D28" s="51">
        <v>1125.1199999999999</v>
      </c>
      <c r="E28" s="29"/>
    </row>
    <row r="29" spans="1:5">
      <c r="A29" s="7">
        <f t="shared" si="0"/>
        <v>25</v>
      </c>
      <c r="B29" s="37" t="s">
        <v>88</v>
      </c>
      <c r="C29" s="58"/>
      <c r="D29" s="51">
        <v>1056.3</v>
      </c>
      <c r="E29" s="29"/>
    </row>
    <row r="30" spans="1:5">
      <c r="A30" s="7">
        <f t="shared" si="0"/>
        <v>26</v>
      </c>
      <c r="B30" s="55" t="s">
        <v>232</v>
      </c>
      <c r="C30" s="7"/>
      <c r="D30" s="51">
        <v>598.63</v>
      </c>
      <c r="E30" s="29"/>
    </row>
    <row r="31" spans="1:5">
      <c r="A31" s="7">
        <f t="shared" si="0"/>
        <v>27</v>
      </c>
      <c r="B31" s="37" t="s">
        <v>231</v>
      </c>
      <c r="C31" s="58">
        <v>1</v>
      </c>
      <c r="D31" s="51">
        <v>1008.94</v>
      </c>
      <c r="E31" s="29"/>
    </row>
    <row r="32" spans="1:5">
      <c r="A32" s="7">
        <f t="shared" si="0"/>
        <v>28</v>
      </c>
      <c r="B32" s="29" t="s">
        <v>193</v>
      </c>
      <c r="C32" s="7">
        <v>1</v>
      </c>
      <c r="D32" s="52">
        <v>811.61</v>
      </c>
      <c r="E32" s="29"/>
    </row>
    <row r="33" spans="1:6">
      <c r="A33" s="7">
        <f t="shared" si="0"/>
        <v>29</v>
      </c>
      <c r="B33" s="29" t="s">
        <v>239</v>
      </c>
      <c r="C33" s="7"/>
      <c r="D33" s="52">
        <v>463.89</v>
      </c>
      <c r="E33" s="29"/>
    </row>
    <row r="34" spans="1:6">
      <c r="A34" s="7">
        <f t="shared" si="0"/>
        <v>30</v>
      </c>
      <c r="B34" s="37" t="s">
        <v>133</v>
      </c>
      <c r="C34" s="58"/>
      <c r="D34" s="52">
        <v>809.22</v>
      </c>
      <c r="E34" s="29"/>
    </row>
    <row r="35" spans="1:6">
      <c r="A35" s="7">
        <f t="shared" si="0"/>
        <v>31</v>
      </c>
      <c r="B35" s="37" t="s">
        <v>151</v>
      </c>
      <c r="C35" s="58">
        <v>1</v>
      </c>
      <c r="D35" s="52">
        <v>847.67</v>
      </c>
      <c r="E35" s="29"/>
    </row>
    <row r="36" spans="1:6">
      <c r="A36" s="7">
        <f t="shared" si="0"/>
        <v>32</v>
      </c>
      <c r="B36" s="29" t="s">
        <v>219</v>
      </c>
      <c r="C36" s="7"/>
      <c r="D36" s="51">
        <v>414.56</v>
      </c>
      <c r="E36" s="29"/>
    </row>
    <row r="37" spans="1:6">
      <c r="A37" s="7">
        <f t="shared" si="0"/>
        <v>33</v>
      </c>
      <c r="B37" s="37" t="s">
        <v>233</v>
      </c>
      <c r="C37" s="58"/>
      <c r="D37" s="51">
        <v>1243.68</v>
      </c>
      <c r="E37" s="29"/>
    </row>
    <row r="38" spans="1:6">
      <c r="A38" s="7">
        <f t="shared" si="0"/>
        <v>34</v>
      </c>
      <c r="B38" s="37" t="s">
        <v>214</v>
      </c>
      <c r="C38" s="58">
        <v>1</v>
      </c>
      <c r="D38" s="52">
        <v>1326.49</v>
      </c>
      <c r="E38" s="29"/>
    </row>
    <row r="39" spans="1:6">
      <c r="A39" s="7">
        <f t="shared" si="0"/>
        <v>35</v>
      </c>
      <c r="B39" s="29" t="s">
        <v>104</v>
      </c>
      <c r="C39" s="7"/>
      <c r="D39" s="52">
        <v>1079.0999999999999</v>
      </c>
      <c r="E39" s="29"/>
    </row>
    <row r="40" spans="1:6">
      <c r="A40" s="7">
        <f t="shared" si="0"/>
        <v>36</v>
      </c>
      <c r="B40" s="29" t="s">
        <v>207</v>
      </c>
      <c r="C40" s="7"/>
      <c r="D40" s="52">
        <v>416.22</v>
      </c>
      <c r="E40" s="29"/>
    </row>
    <row r="41" spans="1:6">
      <c r="A41" s="7">
        <f t="shared" si="0"/>
        <v>37</v>
      </c>
      <c r="B41" s="37" t="s">
        <v>90</v>
      </c>
      <c r="C41" s="58"/>
      <c r="D41" s="51">
        <v>845.7</v>
      </c>
      <c r="E41" s="29"/>
    </row>
    <row r="42" spans="1:6">
      <c r="A42" s="7">
        <f t="shared" si="0"/>
        <v>38</v>
      </c>
      <c r="B42" s="37" t="s">
        <v>134</v>
      </c>
      <c r="C42" s="58"/>
      <c r="D42" s="52">
        <v>470.53</v>
      </c>
      <c r="E42" s="29"/>
    </row>
    <row r="43" spans="1:6">
      <c r="A43" s="7">
        <f t="shared" si="0"/>
        <v>39</v>
      </c>
      <c r="B43" s="37" t="s">
        <v>184</v>
      </c>
      <c r="C43" s="58"/>
      <c r="D43" s="52">
        <v>621.84</v>
      </c>
      <c r="E43" s="29"/>
    </row>
    <row r="44" spans="1:6">
      <c r="A44" s="7">
        <f t="shared" si="0"/>
        <v>40</v>
      </c>
      <c r="B44" s="29" t="s">
        <v>41</v>
      </c>
      <c r="C44" s="58"/>
      <c r="D44" s="51">
        <v>1243.68</v>
      </c>
      <c r="E44" s="29"/>
    </row>
    <row r="45" spans="1:6">
      <c r="A45" s="7">
        <f t="shared" si="0"/>
        <v>41</v>
      </c>
      <c r="B45" s="29" t="s">
        <v>238</v>
      </c>
      <c r="C45" s="58"/>
      <c r="D45" s="51">
        <v>1191.03</v>
      </c>
      <c r="E45" s="29"/>
    </row>
    <row r="46" spans="1:6">
      <c r="A46" s="7">
        <f t="shared" si="0"/>
        <v>42</v>
      </c>
      <c r="B46" s="29" t="s">
        <v>157</v>
      </c>
      <c r="C46" s="58"/>
      <c r="D46" s="51">
        <v>677.81</v>
      </c>
      <c r="E46" s="29"/>
    </row>
    <row r="47" spans="1:6">
      <c r="A47" s="7">
        <f t="shared" si="0"/>
        <v>43</v>
      </c>
      <c r="B47" s="37" t="s">
        <v>150</v>
      </c>
      <c r="C47" s="58"/>
      <c r="D47" s="51">
        <v>549.29</v>
      </c>
      <c r="E47" s="29"/>
    </row>
    <row r="48" spans="1:6">
      <c r="A48" s="76">
        <f t="shared" si="0"/>
        <v>44</v>
      </c>
      <c r="B48" s="75" t="s">
        <v>33</v>
      </c>
      <c r="C48" s="78">
        <v>1</v>
      </c>
      <c r="D48" s="79">
        <v>955.04</v>
      </c>
      <c r="E48" s="29" t="s">
        <v>256</v>
      </c>
      <c r="F48" s="67"/>
    </row>
    <row r="49" spans="1:5">
      <c r="A49" s="7">
        <f t="shared" si="0"/>
        <v>45</v>
      </c>
      <c r="B49" s="37" t="s">
        <v>34</v>
      </c>
      <c r="C49" s="58"/>
      <c r="D49" s="53">
        <v>740.41</v>
      </c>
      <c r="E49" s="29"/>
    </row>
    <row r="50" spans="1:5">
      <c r="A50" s="7">
        <f t="shared" si="0"/>
        <v>46</v>
      </c>
      <c r="B50" s="29" t="s">
        <v>91</v>
      </c>
      <c r="C50" s="7"/>
      <c r="D50" s="53">
        <v>490.43</v>
      </c>
      <c r="E50" s="29"/>
    </row>
    <row r="51" spans="1:5">
      <c r="A51" s="7">
        <f t="shared" si="0"/>
        <v>47</v>
      </c>
      <c r="B51" s="37" t="s">
        <v>215</v>
      </c>
      <c r="C51" s="58"/>
      <c r="D51" s="54">
        <v>562.55999999999995</v>
      </c>
      <c r="E51" s="29"/>
    </row>
    <row r="52" spans="1:5">
      <c r="A52" s="81"/>
      <c r="B52" s="82"/>
      <c r="C52" s="58"/>
      <c r="D52" s="54"/>
      <c r="E52" s="29"/>
    </row>
    <row r="53" spans="1:5">
      <c r="A53" s="428" t="s">
        <v>253</v>
      </c>
      <c r="B53" s="429"/>
      <c r="C53" s="430"/>
      <c r="D53" s="83">
        <f>SUM(D5:D51)</f>
        <v>38742.25</v>
      </c>
      <c r="E53" s="84"/>
    </row>
    <row r="54" spans="1:5">
      <c r="A54" s="431" t="s">
        <v>258</v>
      </c>
      <c r="B54" s="432"/>
      <c r="C54" s="7">
        <f>A51</f>
        <v>47</v>
      </c>
      <c r="D54" s="52"/>
      <c r="E54" s="29"/>
    </row>
    <row r="55" spans="1:5">
      <c r="A55" s="431" t="s">
        <v>242</v>
      </c>
      <c r="B55" s="432"/>
      <c r="C55" s="58">
        <f>SUM(C5:C51)</f>
        <v>13</v>
      </c>
      <c r="D55" s="52"/>
      <c r="E55" s="29"/>
    </row>
    <row r="56" spans="1:5">
      <c r="A56" s="433" t="s">
        <v>246</v>
      </c>
      <c r="B56" s="434"/>
      <c r="C56" s="86">
        <f>SUM(C54:C55)</f>
        <v>60</v>
      </c>
      <c r="D56" s="52"/>
      <c r="E56" s="29"/>
    </row>
    <row r="57" spans="1:5">
      <c r="A57" s="425" t="s">
        <v>257</v>
      </c>
      <c r="B57" s="426"/>
      <c r="C57" s="427"/>
      <c r="D57" s="77"/>
      <c r="E57" s="75"/>
    </row>
    <row r="58" spans="1:5">
      <c r="A58" s="86">
        <v>1</v>
      </c>
      <c r="B58" s="87" t="s">
        <v>254</v>
      </c>
      <c r="C58" s="58"/>
      <c r="D58" s="52">
        <v>424.51</v>
      </c>
      <c r="E58" s="29" t="s">
        <v>260</v>
      </c>
    </row>
    <row r="59" spans="1:5">
      <c r="A59" s="86">
        <v>2</v>
      </c>
      <c r="B59" s="87" t="s">
        <v>255</v>
      </c>
      <c r="C59" s="58"/>
      <c r="D59" s="52">
        <v>1197.26</v>
      </c>
      <c r="E59" s="29" t="s">
        <v>261</v>
      </c>
    </row>
    <row r="60" spans="1:5">
      <c r="A60" s="86">
        <v>3</v>
      </c>
      <c r="B60" s="87" t="s">
        <v>148</v>
      </c>
      <c r="C60" s="58"/>
      <c r="D60" s="52">
        <v>-509.91</v>
      </c>
      <c r="E60" s="29" t="s">
        <v>264</v>
      </c>
    </row>
    <row r="61" spans="1:5">
      <c r="A61" s="86">
        <v>4</v>
      </c>
      <c r="B61" s="87" t="s">
        <v>33</v>
      </c>
      <c r="C61" s="58">
        <v>1</v>
      </c>
      <c r="D61" s="52">
        <v>1177.44</v>
      </c>
      <c r="E61" s="29" t="s">
        <v>262</v>
      </c>
    </row>
    <row r="62" spans="1:5">
      <c r="A62" s="428" t="s">
        <v>259</v>
      </c>
      <c r="B62" s="429"/>
      <c r="C62" s="430"/>
      <c r="D62" s="83">
        <f>SUM(D58:D61)</f>
        <v>2289.3000000000002</v>
      </c>
      <c r="E62" s="75"/>
    </row>
    <row r="63" spans="1:5">
      <c r="A63" s="428" t="s">
        <v>265</v>
      </c>
      <c r="B63" s="429"/>
      <c r="C63" s="430"/>
      <c r="D63" s="83">
        <v>4822.1499999999996</v>
      </c>
      <c r="E63" s="75" t="s">
        <v>266</v>
      </c>
    </row>
    <row r="64" spans="1:5">
      <c r="A64" s="422" t="s">
        <v>37</v>
      </c>
      <c r="B64" s="423"/>
      <c r="C64" s="424"/>
      <c r="D64" s="80">
        <f>SUM(D53+D62+D63)</f>
        <v>45853.700000000004</v>
      </c>
      <c r="E64" s="84"/>
    </row>
    <row r="65" spans="2:5">
      <c r="D65" s="72" t="s">
        <v>250</v>
      </c>
      <c r="E65" s="90">
        <v>43595</v>
      </c>
    </row>
    <row r="66" spans="2:5">
      <c r="D66" s="73" t="s">
        <v>251</v>
      </c>
      <c r="E66" s="74" t="s">
        <v>252</v>
      </c>
    </row>
    <row r="67" spans="2:5" ht="21" customHeight="1"/>
    <row r="69" spans="2:5">
      <c r="B69" s="420"/>
      <c r="C69" s="420"/>
      <c r="D69" s="420"/>
    </row>
    <row r="70" spans="2:5">
      <c r="B70" s="12"/>
      <c r="C70" s="60"/>
    </row>
    <row r="71" spans="2:5">
      <c r="B71" s="12"/>
      <c r="C71" s="60"/>
    </row>
  </sheetData>
  <mergeCells count="9">
    <mergeCell ref="A64:C64"/>
    <mergeCell ref="A57:C57"/>
    <mergeCell ref="A53:C53"/>
    <mergeCell ref="A62:C62"/>
    <mergeCell ref="B69:D69"/>
    <mergeCell ref="A54:B54"/>
    <mergeCell ref="A55:B55"/>
    <mergeCell ref="A56:B56"/>
    <mergeCell ref="A63:C63"/>
  </mergeCells>
  <conditionalFormatting sqref="B5:B52">
    <cfRule type="duplicateValues" dxfId="1565" priority="25"/>
  </conditionalFormatting>
  <conditionalFormatting sqref="B30">
    <cfRule type="duplicateValues" dxfId="1564" priority="7"/>
    <cfRule type="duplicateValues" dxfId="1563" priority="8"/>
    <cfRule type="duplicateValues" dxfId="1562" priority="9"/>
  </conditionalFormatting>
  <conditionalFormatting sqref="B19:C19">
    <cfRule type="duplicateValues" dxfId="1561" priority="17"/>
    <cfRule type="duplicateValues" dxfId="1560" priority="18"/>
    <cfRule type="duplicateValues" dxfId="1559" priority="19"/>
  </conditionalFormatting>
  <conditionalFormatting sqref="B23:C23">
    <cfRule type="duplicateValues" dxfId="1558" priority="14"/>
    <cfRule type="duplicateValues" dxfId="1557" priority="15"/>
    <cfRule type="duplicateValues" dxfId="1556" priority="16"/>
  </conditionalFormatting>
  <conditionalFormatting sqref="B24:C24">
    <cfRule type="duplicateValues" dxfId="1555" priority="11"/>
    <cfRule type="duplicateValues" dxfId="1554" priority="12"/>
    <cfRule type="duplicateValues" dxfId="1553" priority="13"/>
  </conditionalFormatting>
  <conditionalFormatting sqref="C5:C52">
    <cfRule type="notContainsBlanks" dxfId="1552" priority="10">
      <formula>LEN(TRIM(C5))&gt;0</formula>
    </cfRule>
  </conditionalFormatting>
  <conditionalFormatting sqref="C58:C61">
    <cfRule type="notContainsBlanks" dxfId="1551" priority="2">
      <formula>LEN(TRIM(C58))&gt;0</formula>
    </cfRule>
  </conditionalFormatting>
  <conditionalFormatting sqref="E5:E52">
    <cfRule type="notContainsBlanks" dxfId="1550" priority="3">
      <formula>LEN(TRIM(E5))&gt;0</formula>
    </cfRule>
  </conditionalFormatting>
  <conditionalFormatting sqref="E58:E61">
    <cfRule type="notContainsBlanks" dxfId="1549" priority="1">
      <formula>LEN(TRIM(E58))&gt;0</formula>
    </cfRule>
  </conditionalFormatting>
  <pageMargins left="1" right="1" top="1" bottom="1" header="0.5" footer="0.5"/>
  <pageSetup scale="78" fitToWidth="0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FDF6-15D2-0A43-A37E-6C7792CAD0E0}">
  <sheetPr>
    <tabColor theme="9" tint="0.59999389629810485"/>
    <pageSetUpPr fitToPage="1"/>
  </sheetPr>
  <dimension ref="A1:H69"/>
  <sheetViews>
    <sheetView topLeftCell="A28" zoomScale="120" zoomScaleNormal="120" zoomScalePageLayoutView="140" workbookViewId="0">
      <selection activeCell="A34" sqref="A34"/>
    </sheetView>
  </sheetViews>
  <sheetFormatPr baseColWidth="10" defaultColWidth="8.83203125" defaultRowHeight="13"/>
  <cols>
    <col min="1" max="1" width="4.1640625" customWidth="1"/>
    <col min="2" max="2" width="23.5" customWidth="1"/>
    <col min="3" max="3" width="10.5" style="3" bestFit="1" customWidth="1"/>
    <col min="4" max="4" width="13.1640625" customWidth="1"/>
    <col min="5" max="5" width="15.83203125" customWidth="1"/>
    <col min="6" max="6" width="13.6640625" customWidth="1"/>
    <col min="8" max="8" width="19.83203125" bestFit="1" customWidth="1"/>
    <col min="9" max="9" width="18.1640625" bestFit="1" customWidth="1"/>
  </cols>
  <sheetData>
    <row r="1" spans="1:8">
      <c r="A1" s="1" t="s">
        <v>0</v>
      </c>
      <c r="C1" s="88"/>
      <c r="D1" s="3"/>
      <c r="E1" s="68" t="s">
        <v>223</v>
      </c>
    </row>
    <row r="2" spans="1:8" ht="13.5" customHeight="1">
      <c r="A2" s="1" t="s">
        <v>249</v>
      </c>
      <c r="E2" s="89" t="s">
        <v>267</v>
      </c>
    </row>
    <row r="3" spans="1:8" ht="8" customHeight="1"/>
    <row r="4" spans="1:8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8">
      <c r="A5" s="7">
        <v>1</v>
      </c>
      <c r="B5" s="37" t="s">
        <v>201</v>
      </c>
      <c r="C5" s="58"/>
      <c r="D5" s="54">
        <v>539.76</v>
      </c>
      <c r="E5" s="29"/>
      <c r="H5" s="37" t="s">
        <v>201</v>
      </c>
    </row>
    <row r="6" spans="1:8">
      <c r="A6" s="7">
        <f>A5+1</f>
        <v>2</v>
      </c>
      <c r="B6" s="29" t="s">
        <v>72</v>
      </c>
      <c r="C6" s="7"/>
      <c r="D6" s="51">
        <v>1079.0999999999999</v>
      </c>
      <c r="E6" s="29"/>
      <c r="H6" s="29" t="s">
        <v>72</v>
      </c>
    </row>
    <row r="7" spans="1:8">
      <c r="A7" s="7">
        <f>A6+1</f>
        <v>3</v>
      </c>
      <c r="B7" s="29" t="s">
        <v>254</v>
      </c>
      <c r="C7" s="7"/>
      <c r="D7" s="51">
        <v>424.51</v>
      </c>
      <c r="E7" s="29"/>
      <c r="H7" s="75" t="s">
        <v>254</v>
      </c>
    </row>
    <row r="8" spans="1:8">
      <c r="A8" s="7">
        <f>A7+1</f>
        <v>4</v>
      </c>
      <c r="B8" s="29" t="s">
        <v>62</v>
      </c>
      <c r="C8" s="7"/>
      <c r="D8" s="51">
        <v>924.47</v>
      </c>
      <c r="E8" s="29"/>
      <c r="H8" s="29" t="s">
        <v>62</v>
      </c>
    </row>
    <row r="9" spans="1:8">
      <c r="A9" s="7">
        <f t="shared" ref="A9:A51" si="0">A8+1</f>
        <v>5</v>
      </c>
      <c r="B9" s="37" t="s">
        <v>202</v>
      </c>
      <c r="C9" s="58"/>
      <c r="D9" s="51">
        <v>503.28</v>
      </c>
      <c r="E9" s="29"/>
      <c r="H9" s="37" t="s">
        <v>202</v>
      </c>
    </row>
    <row r="10" spans="1:8">
      <c r="A10" s="7">
        <f t="shared" si="0"/>
        <v>6</v>
      </c>
      <c r="B10" s="37" t="s">
        <v>268</v>
      </c>
      <c r="C10" s="58"/>
      <c r="D10" s="51">
        <v>470.53</v>
      </c>
      <c r="E10" s="29"/>
      <c r="H10" s="37" t="s">
        <v>203</v>
      </c>
    </row>
    <row r="11" spans="1:8">
      <c r="A11" s="7">
        <f t="shared" si="0"/>
        <v>7</v>
      </c>
      <c r="B11" s="37" t="s">
        <v>204</v>
      </c>
      <c r="C11" s="58"/>
      <c r="D11" s="51">
        <v>414.56</v>
      </c>
      <c r="E11" s="29"/>
      <c r="H11" s="37" t="s">
        <v>204</v>
      </c>
    </row>
    <row r="12" spans="1:8">
      <c r="A12" s="7">
        <f t="shared" si="0"/>
        <v>8</v>
      </c>
      <c r="B12" s="37" t="s">
        <v>209</v>
      </c>
      <c r="C12" s="58"/>
      <c r="D12" s="52">
        <f>434.46</f>
        <v>434.46</v>
      </c>
      <c r="E12" s="29"/>
      <c r="H12" s="37" t="s">
        <v>209</v>
      </c>
    </row>
    <row r="13" spans="1:8">
      <c r="A13" s="7">
        <f t="shared" si="0"/>
        <v>9</v>
      </c>
      <c r="B13" s="29" t="s">
        <v>12</v>
      </c>
      <c r="C13" s="7">
        <v>1</v>
      </c>
      <c r="D13" s="51">
        <v>1369.29</v>
      </c>
      <c r="E13" s="29"/>
      <c r="H13" s="29" t="s">
        <v>12</v>
      </c>
    </row>
    <row r="14" spans="1:8">
      <c r="A14" s="7">
        <f t="shared" si="0"/>
        <v>10</v>
      </c>
      <c r="B14" s="37" t="s">
        <v>48</v>
      </c>
      <c r="C14" s="58">
        <v>1</v>
      </c>
      <c r="D14" s="51">
        <v>801.66</v>
      </c>
      <c r="E14" s="29"/>
      <c r="H14" s="37" t="s">
        <v>48</v>
      </c>
    </row>
    <row r="15" spans="1:8">
      <c r="A15" s="7">
        <f t="shared" si="0"/>
        <v>11</v>
      </c>
      <c r="B15" s="37" t="s">
        <v>269</v>
      </c>
      <c r="C15" s="58"/>
      <c r="D15" s="51">
        <v>598.63</v>
      </c>
      <c r="E15" s="29"/>
      <c r="H15" s="85" t="s">
        <v>255</v>
      </c>
    </row>
    <row r="16" spans="1:8">
      <c r="A16" s="7">
        <f t="shared" si="0"/>
        <v>12</v>
      </c>
      <c r="B16" s="37" t="s">
        <v>205</v>
      </c>
      <c r="C16" s="58"/>
      <c r="D16" s="51">
        <v>434.46</v>
      </c>
      <c r="E16" s="29"/>
      <c r="H16" s="37" t="s">
        <v>205</v>
      </c>
    </row>
    <row r="17" spans="1:8">
      <c r="A17" s="7">
        <f t="shared" si="0"/>
        <v>13</v>
      </c>
      <c r="B17" s="37" t="s">
        <v>236</v>
      </c>
      <c r="C17" s="58">
        <v>3</v>
      </c>
      <c r="D17" s="52">
        <v>1841.06</v>
      </c>
      <c r="E17" s="29"/>
      <c r="H17" s="37" t="s">
        <v>236</v>
      </c>
    </row>
    <row r="18" spans="1:8">
      <c r="A18" s="7">
        <f t="shared" si="0"/>
        <v>14</v>
      </c>
      <c r="B18" s="37" t="s">
        <v>186</v>
      </c>
      <c r="C18" s="58"/>
      <c r="D18" s="52">
        <v>509.91</v>
      </c>
      <c r="E18" s="29"/>
      <c r="H18" s="37" t="s">
        <v>186</v>
      </c>
    </row>
    <row r="19" spans="1:8">
      <c r="A19" s="7">
        <f t="shared" si="0"/>
        <v>15</v>
      </c>
      <c r="B19" s="61" t="s">
        <v>230</v>
      </c>
      <c r="C19" s="62"/>
      <c r="D19" s="51">
        <v>1243.68</v>
      </c>
      <c r="E19" s="29"/>
      <c r="H19" s="61" t="s">
        <v>230</v>
      </c>
    </row>
    <row r="20" spans="1:8">
      <c r="A20" s="7">
        <f t="shared" si="0"/>
        <v>16</v>
      </c>
      <c r="B20" s="29" t="s">
        <v>234</v>
      </c>
      <c r="C20" s="7"/>
      <c r="D20" s="51">
        <v>1125.1199999999999</v>
      </c>
      <c r="E20" s="29"/>
      <c r="H20" s="29" t="s">
        <v>234</v>
      </c>
    </row>
    <row r="21" spans="1:8">
      <c r="A21" s="7">
        <f t="shared" si="0"/>
        <v>17</v>
      </c>
      <c r="B21" s="29" t="s">
        <v>237</v>
      </c>
      <c r="C21" s="7">
        <v>1</v>
      </c>
      <c r="D21" s="51">
        <v>795.02</v>
      </c>
      <c r="E21" s="29"/>
      <c r="H21" s="29" t="s">
        <v>237</v>
      </c>
    </row>
    <row r="22" spans="1:8">
      <c r="A22" s="7">
        <f t="shared" si="0"/>
        <v>18</v>
      </c>
      <c r="B22" s="29" t="s">
        <v>156</v>
      </c>
      <c r="C22" s="7"/>
      <c r="D22" s="51">
        <v>434.46</v>
      </c>
      <c r="E22" s="29"/>
      <c r="H22" s="29" t="s">
        <v>156</v>
      </c>
    </row>
    <row r="23" spans="1:8">
      <c r="A23" s="7">
        <f t="shared" si="0"/>
        <v>19</v>
      </c>
      <c r="B23" s="61" t="s">
        <v>228</v>
      </c>
      <c r="C23" s="62"/>
      <c r="D23" s="51">
        <v>845.7</v>
      </c>
      <c r="E23" s="29"/>
      <c r="H23" s="61" t="s">
        <v>228</v>
      </c>
    </row>
    <row r="24" spans="1:8">
      <c r="A24" s="7">
        <f t="shared" si="0"/>
        <v>20</v>
      </c>
      <c r="B24" s="61" t="s">
        <v>229</v>
      </c>
      <c r="C24" s="62"/>
      <c r="D24" s="51">
        <v>1191.03</v>
      </c>
      <c r="E24" s="29"/>
      <c r="H24" s="61" t="s">
        <v>229</v>
      </c>
    </row>
    <row r="25" spans="1:8">
      <c r="A25" s="7">
        <f t="shared" si="0"/>
        <v>21</v>
      </c>
      <c r="B25" s="37" t="s">
        <v>87</v>
      </c>
      <c r="C25" s="58"/>
      <c r="D25" s="51">
        <v>1243.68</v>
      </c>
      <c r="E25" s="29"/>
      <c r="H25" s="37" t="s">
        <v>87</v>
      </c>
    </row>
    <row r="26" spans="1:8">
      <c r="A26" s="7">
        <f t="shared" si="0"/>
        <v>22</v>
      </c>
      <c r="B26" s="29" t="s">
        <v>235</v>
      </c>
      <c r="C26" s="7"/>
      <c r="D26" s="51">
        <v>707.24</v>
      </c>
      <c r="E26" s="29"/>
      <c r="H26" s="29" t="s">
        <v>235</v>
      </c>
    </row>
    <row r="27" spans="1:8">
      <c r="A27" s="7">
        <f t="shared" si="0"/>
        <v>23</v>
      </c>
      <c r="B27" s="37" t="s">
        <v>63</v>
      </c>
      <c r="C27" s="58">
        <v>2</v>
      </c>
      <c r="D27" s="52">
        <v>1260.8900000000001</v>
      </c>
      <c r="E27" s="29"/>
      <c r="H27" s="37" t="s">
        <v>63</v>
      </c>
    </row>
    <row r="28" spans="1:8">
      <c r="A28" s="7">
        <f t="shared" si="0"/>
        <v>24</v>
      </c>
      <c r="B28" s="37" t="s">
        <v>168</v>
      </c>
      <c r="C28" s="58"/>
      <c r="D28" s="51">
        <v>1125.1199999999999</v>
      </c>
      <c r="E28" s="29"/>
      <c r="H28" s="37" t="s">
        <v>168</v>
      </c>
    </row>
    <row r="29" spans="1:8">
      <c r="A29" s="7">
        <f t="shared" si="0"/>
        <v>25</v>
      </c>
      <c r="B29" s="37" t="s">
        <v>88</v>
      </c>
      <c r="C29" s="58"/>
      <c r="D29" s="51">
        <v>1056.3</v>
      </c>
      <c r="E29" s="29"/>
      <c r="H29" s="37" t="s">
        <v>88</v>
      </c>
    </row>
    <row r="30" spans="1:8">
      <c r="A30" s="7">
        <f t="shared" si="0"/>
        <v>26</v>
      </c>
      <c r="B30" s="55" t="s">
        <v>232</v>
      </c>
      <c r="C30" s="7"/>
      <c r="D30" s="51">
        <v>598.63</v>
      </c>
      <c r="E30" s="29"/>
      <c r="H30" s="55" t="s">
        <v>232</v>
      </c>
    </row>
    <row r="31" spans="1:8">
      <c r="A31" s="7">
        <f t="shared" si="0"/>
        <v>27</v>
      </c>
      <c r="B31" s="37" t="s">
        <v>231</v>
      </c>
      <c r="C31" s="58">
        <v>1</v>
      </c>
      <c r="D31" s="51">
        <v>1008.94</v>
      </c>
      <c r="E31" s="29"/>
      <c r="H31" s="37" t="s">
        <v>231</v>
      </c>
    </row>
    <row r="32" spans="1:8">
      <c r="A32" s="7">
        <f t="shared" si="0"/>
        <v>28</v>
      </c>
      <c r="B32" s="29" t="s">
        <v>270</v>
      </c>
      <c r="C32" s="7">
        <v>1</v>
      </c>
      <c r="D32" s="52">
        <v>811.61</v>
      </c>
      <c r="E32" s="29"/>
      <c r="H32" s="29" t="s">
        <v>193</v>
      </c>
    </row>
    <row r="33" spans="1:8">
      <c r="A33" s="7">
        <f t="shared" si="0"/>
        <v>29</v>
      </c>
      <c r="B33" s="29" t="s">
        <v>239</v>
      </c>
      <c r="C33" s="7"/>
      <c r="D33" s="52">
        <v>463.89</v>
      </c>
      <c r="E33" s="29"/>
      <c r="H33" s="29" t="s">
        <v>239</v>
      </c>
    </row>
    <row r="34" spans="1:8">
      <c r="A34" s="7">
        <f t="shared" si="0"/>
        <v>30</v>
      </c>
      <c r="B34" s="37" t="s">
        <v>133</v>
      </c>
      <c r="C34" s="58"/>
      <c r="D34" s="52">
        <v>809.22</v>
      </c>
      <c r="E34" s="29"/>
      <c r="H34" s="37" t="s">
        <v>133</v>
      </c>
    </row>
    <row r="35" spans="1:8">
      <c r="A35" s="7">
        <f t="shared" si="0"/>
        <v>31</v>
      </c>
      <c r="B35" s="37" t="s">
        <v>271</v>
      </c>
      <c r="C35" s="58">
        <v>1</v>
      </c>
      <c r="D35" s="52">
        <v>847.67</v>
      </c>
      <c r="E35" s="29"/>
      <c r="H35" s="37" t="s">
        <v>151</v>
      </c>
    </row>
    <row r="36" spans="1:8">
      <c r="A36" s="7">
        <f t="shared" si="0"/>
        <v>32</v>
      </c>
      <c r="B36" s="29" t="s">
        <v>219</v>
      </c>
      <c r="C36" s="7"/>
      <c r="D36" s="51">
        <v>414.56</v>
      </c>
      <c r="E36" s="29"/>
      <c r="H36" s="29" t="s">
        <v>219</v>
      </c>
    </row>
    <row r="37" spans="1:8">
      <c r="A37" s="7">
        <f t="shared" si="0"/>
        <v>33</v>
      </c>
      <c r="B37" s="37" t="s">
        <v>233</v>
      </c>
      <c r="C37" s="58"/>
      <c r="D37" s="51">
        <v>1243.68</v>
      </c>
      <c r="E37" s="29"/>
      <c r="H37" s="37" t="s">
        <v>233</v>
      </c>
    </row>
    <row r="38" spans="1:8">
      <c r="A38" s="7">
        <f t="shared" si="0"/>
        <v>34</v>
      </c>
      <c r="B38" s="37" t="s">
        <v>214</v>
      </c>
      <c r="C38" s="58">
        <v>1</v>
      </c>
      <c r="D38" s="52">
        <v>1326.49</v>
      </c>
      <c r="E38" s="29"/>
      <c r="H38" s="37" t="s">
        <v>214</v>
      </c>
    </row>
    <row r="39" spans="1:8">
      <c r="A39" s="7">
        <f t="shared" si="0"/>
        <v>35</v>
      </c>
      <c r="B39" s="29" t="s">
        <v>272</v>
      </c>
      <c r="C39" s="7"/>
      <c r="D39" s="52">
        <v>1079.0999999999999</v>
      </c>
      <c r="E39" s="29"/>
      <c r="H39" s="29" t="s">
        <v>104</v>
      </c>
    </row>
    <row r="40" spans="1:8">
      <c r="A40" s="7">
        <f t="shared" si="0"/>
        <v>36</v>
      </c>
      <c r="B40" s="29" t="s">
        <v>207</v>
      </c>
      <c r="C40" s="7"/>
      <c r="D40" s="52">
        <v>416.22</v>
      </c>
      <c r="E40" s="29"/>
      <c r="H40" s="29" t="s">
        <v>207</v>
      </c>
    </row>
    <row r="41" spans="1:8">
      <c r="A41" s="7">
        <f t="shared" si="0"/>
        <v>37</v>
      </c>
      <c r="B41" s="37" t="s">
        <v>90</v>
      </c>
      <c r="C41" s="58"/>
      <c r="D41" s="51">
        <v>845.7</v>
      </c>
      <c r="E41" s="29"/>
      <c r="H41" s="37" t="s">
        <v>90</v>
      </c>
    </row>
    <row r="42" spans="1:8">
      <c r="A42" s="7">
        <f t="shared" si="0"/>
        <v>38</v>
      </c>
      <c r="B42" s="37" t="s">
        <v>134</v>
      </c>
      <c r="C42" s="58"/>
      <c r="D42" s="52">
        <v>470.53</v>
      </c>
      <c r="E42" s="29"/>
      <c r="H42" s="37" t="s">
        <v>134</v>
      </c>
    </row>
    <row r="43" spans="1:8">
      <c r="A43" s="7">
        <f t="shared" si="0"/>
        <v>39</v>
      </c>
      <c r="B43" s="37" t="s">
        <v>273</v>
      </c>
      <c r="C43" s="58"/>
      <c r="D43" s="52">
        <v>621.84</v>
      </c>
      <c r="E43" s="29"/>
      <c r="H43" s="37" t="s">
        <v>184</v>
      </c>
    </row>
    <row r="44" spans="1:8">
      <c r="A44" s="7">
        <f t="shared" si="0"/>
        <v>40</v>
      </c>
      <c r="B44" s="29" t="s">
        <v>41</v>
      </c>
      <c r="C44" s="58"/>
      <c r="D44" s="51">
        <v>1243.68</v>
      </c>
      <c r="E44" s="29"/>
      <c r="H44" s="29" t="s">
        <v>41</v>
      </c>
    </row>
    <row r="45" spans="1:8">
      <c r="A45" s="7">
        <f t="shared" si="0"/>
        <v>41</v>
      </c>
      <c r="B45" s="29" t="s">
        <v>238</v>
      </c>
      <c r="C45" s="58"/>
      <c r="D45" s="51">
        <v>1191.03</v>
      </c>
      <c r="E45" s="29"/>
      <c r="H45" s="29" t="s">
        <v>238</v>
      </c>
    </row>
    <row r="46" spans="1:8">
      <c r="A46" s="7">
        <f t="shared" si="0"/>
        <v>42</v>
      </c>
      <c r="B46" s="29" t="s">
        <v>157</v>
      </c>
      <c r="C46" s="58"/>
      <c r="D46" s="51">
        <v>677.81</v>
      </c>
      <c r="E46" s="29"/>
      <c r="H46" s="29" t="s">
        <v>157</v>
      </c>
    </row>
    <row r="47" spans="1:8">
      <c r="A47" s="7">
        <f t="shared" si="0"/>
        <v>43</v>
      </c>
      <c r="B47" s="37" t="s">
        <v>150</v>
      </c>
      <c r="C47" s="58"/>
      <c r="D47" s="51">
        <v>549.29</v>
      </c>
      <c r="E47" s="29"/>
      <c r="H47" s="37" t="s">
        <v>150</v>
      </c>
    </row>
    <row r="48" spans="1:8">
      <c r="A48" s="7">
        <f t="shared" si="0"/>
        <v>44</v>
      </c>
      <c r="B48" s="29" t="s">
        <v>33</v>
      </c>
      <c r="C48" s="58">
        <v>1</v>
      </c>
      <c r="D48" s="51">
        <v>955.04</v>
      </c>
      <c r="E48" s="29"/>
      <c r="F48" s="67"/>
      <c r="H48" s="75" t="s">
        <v>33</v>
      </c>
    </row>
    <row r="49" spans="1:8">
      <c r="A49" s="7">
        <f t="shared" si="0"/>
        <v>45</v>
      </c>
      <c r="B49" s="37" t="s">
        <v>34</v>
      </c>
      <c r="C49" s="58"/>
      <c r="D49" s="53">
        <v>740.41</v>
      </c>
      <c r="E49" s="29"/>
      <c r="H49" s="37" t="s">
        <v>34</v>
      </c>
    </row>
    <row r="50" spans="1:8">
      <c r="A50" s="7">
        <f t="shared" si="0"/>
        <v>46</v>
      </c>
      <c r="B50" s="29" t="s">
        <v>91</v>
      </c>
      <c r="C50" s="7"/>
      <c r="D50" s="53">
        <v>490.43</v>
      </c>
      <c r="E50" s="29"/>
      <c r="H50" s="29" t="s">
        <v>91</v>
      </c>
    </row>
    <row r="51" spans="1:8">
      <c r="A51" s="7">
        <f t="shared" si="0"/>
        <v>47</v>
      </c>
      <c r="B51" s="37" t="s">
        <v>215</v>
      </c>
      <c r="C51" s="58"/>
      <c r="D51" s="54">
        <v>562.55999999999995</v>
      </c>
      <c r="E51" s="29"/>
      <c r="H51" s="37" t="s">
        <v>215</v>
      </c>
    </row>
    <row r="52" spans="1:8">
      <c r="A52" s="81"/>
      <c r="B52" s="82"/>
      <c r="C52" s="58"/>
      <c r="D52" s="54"/>
      <c r="E52" s="29"/>
    </row>
    <row r="53" spans="1:8">
      <c r="A53" s="428" t="s">
        <v>253</v>
      </c>
      <c r="B53" s="429"/>
      <c r="C53" s="430"/>
      <c r="D53" s="83">
        <f>SUM(D5:D51)</f>
        <v>38742.25</v>
      </c>
      <c r="E53" s="84"/>
    </row>
    <row r="54" spans="1:8">
      <c r="A54" s="431" t="s">
        <v>258</v>
      </c>
      <c r="B54" s="432"/>
      <c r="C54" s="7">
        <f>A51</f>
        <v>47</v>
      </c>
      <c r="D54" s="52"/>
      <c r="E54" s="29"/>
    </row>
    <row r="55" spans="1:8">
      <c r="A55" s="431" t="s">
        <v>242</v>
      </c>
      <c r="B55" s="432"/>
      <c r="C55" s="58">
        <f>SUM(C5:C51)</f>
        <v>13</v>
      </c>
      <c r="D55" s="52"/>
      <c r="E55" s="29"/>
    </row>
    <row r="56" spans="1:8">
      <c r="A56" s="433" t="s">
        <v>246</v>
      </c>
      <c r="B56" s="434"/>
      <c r="C56" s="86">
        <f>SUM(C54:C55)</f>
        <v>60</v>
      </c>
      <c r="D56" s="52"/>
      <c r="E56" s="29"/>
    </row>
    <row r="57" spans="1:8">
      <c r="A57" s="425" t="s">
        <v>257</v>
      </c>
      <c r="B57" s="426"/>
      <c r="C57" s="427"/>
      <c r="D57" s="77"/>
      <c r="E57" s="75"/>
    </row>
    <row r="58" spans="1:8">
      <c r="A58" s="86"/>
      <c r="B58" s="87"/>
      <c r="C58" s="58"/>
      <c r="D58" s="52"/>
      <c r="E58" s="29"/>
    </row>
    <row r="59" spans="1:8">
      <c r="A59" s="86"/>
      <c r="B59" s="87"/>
      <c r="C59" s="58"/>
      <c r="D59" s="52"/>
      <c r="E59" s="29"/>
    </row>
    <row r="60" spans="1:8">
      <c r="A60" s="428" t="s">
        <v>259</v>
      </c>
      <c r="B60" s="429"/>
      <c r="C60" s="430"/>
      <c r="D60" s="83">
        <f>SUM(D58:D59)</f>
        <v>0</v>
      </c>
      <c r="E60" s="75"/>
    </row>
    <row r="61" spans="1:8">
      <c r="A61" s="428" t="s">
        <v>265</v>
      </c>
      <c r="B61" s="429"/>
      <c r="C61" s="430"/>
      <c r="D61" s="83">
        <v>0</v>
      </c>
      <c r="E61" s="75"/>
    </row>
    <row r="62" spans="1:8">
      <c r="A62" s="422" t="s">
        <v>37</v>
      </c>
      <c r="B62" s="423"/>
      <c r="C62" s="424"/>
      <c r="D62" s="80">
        <f>SUM(D53+D60+D61)</f>
        <v>38742.25</v>
      </c>
      <c r="E62" s="84"/>
    </row>
    <row r="63" spans="1:8">
      <c r="D63" s="72" t="s">
        <v>250</v>
      </c>
      <c r="E63" s="90">
        <v>43620</v>
      </c>
    </row>
    <row r="64" spans="1:8">
      <c r="D64" s="73" t="s">
        <v>251</v>
      </c>
      <c r="E64" s="74" t="s">
        <v>252</v>
      </c>
    </row>
    <row r="65" spans="2:4" ht="21" customHeight="1"/>
    <row r="67" spans="2:4">
      <c r="B67" s="420"/>
      <c r="C67" s="420"/>
      <c r="D67" s="420"/>
    </row>
    <row r="68" spans="2:4">
      <c r="B68" s="12"/>
      <c r="C68" s="60"/>
    </row>
    <row r="69" spans="2:4">
      <c r="B69" s="12"/>
      <c r="C69" s="60"/>
    </row>
  </sheetData>
  <mergeCells count="9">
    <mergeCell ref="A61:C61"/>
    <mergeCell ref="A62:C62"/>
    <mergeCell ref="B67:D67"/>
    <mergeCell ref="A53:C53"/>
    <mergeCell ref="A54:B54"/>
    <mergeCell ref="A55:B55"/>
    <mergeCell ref="A56:B56"/>
    <mergeCell ref="A57:C57"/>
    <mergeCell ref="A60:C60"/>
  </mergeCells>
  <conditionalFormatting sqref="B1:B1048576 H1:H1048576">
    <cfRule type="duplicateValues" dxfId="1548" priority="1"/>
  </conditionalFormatting>
  <conditionalFormatting sqref="B5:B52">
    <cfRule type="duplicateValues" dxfId="1547" priority="31"/>
  </conditionalFormatting>
  <conditionalFormatting sqref="B30">
    <cfRule type="duplicateValues" dxfId="1546" priority="18"/>
    <cfRule type="duplicateValues" dxfId="1545" priority="19"/>
    <cfRule type="duplicateValues" dxfId="1544" priority="20"/>
  </conditionalFormatting>
  <conditionalFormatting sqref="B19:C19">
    <cfRule type="duplicateValues" dxfId="1543" priority="28"/>
    <cfRule type="duplicateValues" dxfId="1542" priority="29"/>
    <cfRule type="duplicateValues" dxfId="1541" priority="30"/>
  </conditionalFormatting>
  <conditionalFormatting sqref="B23:C23">
    <cfRule type="duplicateValues" dxfId="1540" priority="25"/>
    <cfRule type="duplicateValues" dxfId="1539" priority="26"/>
    <cfRule type="duplicateValues" dxfId="1538" priority="27"/>
  </conditionalFormatting>
  <conditionalFormatting sqref="B24:C24">
    <cfRule type="duplicateValues" dxfId="1537" priority="22"/>
    <cfRule type="duplicateValues" dxfId="1536" priority="23"/>
    <cfRule type="duplicateValues" dxfId="1535" priority="24"/>
  </conditionalFormatting>
  <conditionalFormatting sqref="C5:C52 C58:C59">
    <cfRule type="notContainsBlanks" dxfId="1534" priority="21">
      <formula>LEN(TRIM(C5))&gt;0</formula>
    </cfRule>
  </conditionalFormatting>
  <conditionalFormatting sqref="E5:E52 E58:E59">
    <cfRule type="notContainsBlanks" dxfId="1533" priority="17">
      <formula>LEN(TRIM(E5))&gt;0</formula>
    </cfRule>
  </conditionalFormatting>
  <conditionalFormatting sqref="H5:H51">
    <cfRule type="duplicateValues" dxfId="1532" priority="14"/>
  </conditionalFormatting>
  <conditionalFormatting sqref="H19">
    <cfRule type="duplicateValues" dxfId="1531" priority="11"/>
    <cfRule type="duplicateValues" dxfId="1530" priority="12"/>
    <cfRule type="duplicateValues" dxfId="1529" priority="13"/>
  </conditionalFormatting>
  <conditionalFormatting sqref="H23">
    <cfRule type="duplicateValues" dxfId="1528" priority="8"/>
    <cfRule type="duplicateValues" dxfId="1527" priority="9"/>
    <cfRule type="duplicateValues" dxfId="1526" priority="10"/>
  </conditionalFormatting>
  <conditionalFormatting sqref="H24">
    <cfRule type="duplicateValues" dxfId="1525" priority="5"/>
    <cfRule type="duplicateValues" dxfId="1524" priority="6"/>
    <cfRule type="duplicateValues" dxfId="1523" priority="7"/>
  </conditionalFormatting>
  <conditionalFormatting sqref="H30">
    <cfRule type="duplicateValues" dxfId="1522" priority="2"/>
    <cfRule type="duplicateValues" dxfId="1521" priority="3"/>
    <cfRule type="duplicateValues" dxfId="1520" priority="4"/>
  </conditionalFormatting>
  <pageMargins left="1" right="1" top="1" bottom="1" header="0.5" footer="0.5"/>
  <pageSetup scale="80" fitToWidth="0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9E08-7A4F-1D43-AB1D-CDF32D937864}">
  <sheetPr>
    <tabColor theme="9" tint="0.59999389629810485"/>
    <pageSetUpPr fitToPage="1"/>
  </sheetPr>
  <dimension ref="A1:F70"/>
  <sheetViews>
    <sheetView topLeftCell="A36" zoomScale="120" zoomScaleNormal="120" zoomScalePageLayoutView="140" workbookViewId="0">
      <selection activeCell="A34" sqref="A34"/>
    </sheetView>
  </sheetViews>
  <sheetFormatPr baseColWidth="10" defaultColWidth="8.83203125" defaultRowHeight="13"/>
  <cols>
    <col min="1" max="1" width="4.1640625" customWidth="1"/>
    <col min="2" max="2" width="23.5" customWidth="1"/>
    <col min="3" max="3" width="10.5" style="3" bestFit="1" customWidth="1"/>
    <col min="4" max="4" width="13.1640625" customWidth="1"/>
    <col min="5" max="5" width="15.83203125" customWidth="1"/>
    <col min="6" max="6" width="13.6640625" customWidth="1"/>
    <col min="8" max="8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89" t="s">
        <v>274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539.76</v>
      </c>
      <c r="E5" s="29"/>
    </row>
    <row r="6" spans="1:5">
      <c r="A6" s="7">
        <f>A5+1</f>
        <v>2</v>
      </c>
      <c r="B6" s="29" t="s">
        <v>72</v>
      </c>
      <c r="C6" s="7"/>
      <c r="D6" s="51">
        <v>1079.0999999999999</v>
      </c>
      <c r="E6" s="29"/>
    </row>
    <row r="7" spans="1:5">
      <c r="A7" s="7">
        <f>A6+1</f>
        <v>3</v>
      </c>
      <c r="B7" s="29" t="s">
        <v>254</v>
      </c>
      <c r="C7" s="7"/>
      <c r="D7" s="51">
        <v>424.51</v>
      </c>
      <c r="E7" s="29"/>
    </row>
    <row r="8" spans="1:5">
      <c r="A8" s="7">
        <f>A7+1</f>
        <v>4</v>
      </c>
      <c r="B8" s="29" t="s">
        <v>62</v>
      </c>
      <c r="C8" s="7"/>
      <c r="D8" s="51">
        <v>924.47</v>
      </c>
      <c r="E8" s="29"/>
    </row>
    <row r="9" spans="1:5">
      <c r="A9" s="7">
        <f t="shared" ref="A9:A47" si="0">A8+1</f>
        <v>5</v>
      </c>
      <c r="B9" s="37" t="s">
        <v>202</v>
      </c>
      <c r="C9" s="58"/>
      <c r="D9" s="51">
        <v>503.28</v>
      </c>
      <c r="E9" s="29"/>
    </row>
    <row r="10" spans="1:5">
      <c r="A10" s="7">
        <f t="shared" si="0"/>
        <v>6</v>
      </c>
      <c r="B10" s="37" t="s">
        <v>268</v>
      </c>
      <c r="C10" s="58"/>
      <c r="D10" s="51">
        <v>470.53</v>
      </c>
      <c r="E10" s="29"/>
    </row>
    <row r="11" spans="1:5">
      <c r="A11" s="7">
        <f t="shared" si="0"/>
        <v>7</v>
      </c>
      <c r="B11" s="29" t="s">
        <v>12</v>
      </c>
      <c r="C11" s="7">
        <v>1</v>
      </c>
      <c r="D11" s="51">
        <v>1369.29</v>
      </c>
      <c r="E11" s="29"/>
    </row>
    <row r="12" spans="1:5">
      <c r="A12" s="7">
        <f t="shared" si="0"/>
        <v>8</v>
      </c>
      <c r="B12" s="37" t="s">
        <v>48</v>
      </c>
      <c r="C12" s="58">
        <v>1</v>
      </c>
      <c r="D12" s="51">
        <v>801.66</v>
      </c>
      <c r="E12" s="29"/>
    </row>
    <row r="13" spans="1:5">
      <c r="A13" s="7">
        <f t="shared" si="0"/>
        <v>9</v>
      </c>
      <c r="B13" s="37" t="s">
        <v>269</v>
      </c>
      <c r="C13" s="58"/>
      <c r="D13" s="51">
        <v>598.63</v>
      </c>
      <c r="E13" s="29"/>
    </row>
    <row r="14" spans="1:5">
      <c r="A14" s="7">
        <f t="shared" si="0"/>
        <v>10</v>
      </c>
      <c r="B14" s="37" t="s">
        <v>205</v>
      </c>
      <c r="C14" s="58"/>
      <c r="D14" s="51">
        <v>434.46</v>
      </c>
      <c r="E14" s="29"/>
    </row>
    <row r="15" spans="1:5">
      <c r="A15" s="7">
        <f t="shared" si="0"/>
        <v>11</v>
      </c>
      <c r="B15" s="37" t="s">
        <v>236</v>
      </c>
      <c r="C15" s="58">
        <v>3</v>
      </c>
      <c r="D15" s="52">
        <v>1841.06</v>
      </c>
      <c r="E15" s="29"/>
    </row>
    <row r="16" spans="1:5">
      <c r="A16" s="7">
        <f t="shared" si="0"/>
        <v>12</v>
      </c>
      <c r="B16" s="61" t="s">
        <v>230</v>
      </c>
      <c r="C16" s="62"/>
      <c r="D16" s="51">
        <v>1243.68</v>
      </c>
      <c r="E16" s="29"/>
    </row>
    <row r="17" spans="1:5">
      <c r="A17" s="7">
        <f t="shared" si="0"/>
        <v>13</v>
      </c>
      <c r="B17" s="29" t="s">
        <v>234</v>
      </c>
      <c r="C17" s="7"/>
      <c r="D17" s="51">
        <v>1125.1199999999999</v>
      </c>
      <c r="E17" s="29"/>
    </row>
    <row r="18" spans="1:5">
      <c r="A18" s="7">
        <f t="shared" si="0"/>
        <v>14</v>
      </c>
      <c r="B18" s="29" t="s">
        <v>237</v>
      </c>
      <c r="C18" s="7">
        <v>1</v>
      </c>
      <c r="D18" s="51">
        <v>795.02</v>
      </c>
      <c r="E18" s="29"/>
    </row>
    <row r="19" spans="1:5">
      <c r="A19" s="7">
        <f t="shared" si="0"/>
        <v>15</v>
      </c>
      <c r="B19" s="29" t="s">
        <v>156</v>
      </c>
      <c r="C19" s="7"/>
      <c r="D19" s="51">
        <v>434.46</v>
      </c>
      <c r="E19" s="29"/>
    </row>
    <row r="20" spans="1:5">
      <c r="A20" s="7">
        <f t="shared" si="0"/>
        <v>16</v>
      </c>
      <c r="B20" s="61" t="s">
        <v>228</v>
      </c>
      <c r="C20" s="62"/>
      <c r="D20" s="51">
        <v>845.7</v>
      </c>
      <c r="E20" s="29"/>
    </row>
    <row r="21" spans="1:5">
      <c r="A21" s="7">
        <f t="shared" si="0"/>
        <v>17</v>
      </c>
      <c r="B21" s="61" t="s">
        <v>229</v>
      </c>
      <c r="C21" s="62"/>
      <c r="D21" s="51">
        <v>1191.03</v>
      </c>
      <c r="E21" s="29"/>
    </row>
    <row r="22" spans="1:5">
      <c r="A22" s="7">
        <f t="shared" si="0"/>
        <v>18</v>
      </c>
      <c r="B22" s="29" t="s">
        <v>235</v>
      </c>
      <c r="C22" s="7"/>
      <c r="D22" s="51">
        <v>707.24</v>
      </c>
      <c r="E22" s="29"/>
    </row>
    <row r="23" spans="1:5">
      <c r="A23" s="7">
        <f t="shared" si="0"/>
        <v>19</v>
      </c>
      <c r="B23" s="37" t="s">
        <v>63</v>
      </c>
      <c r="C23" s="58">
        <v>2</v>
      </c>
      <c r="D23" s="52">
        <v>1260.8900000000001</v>
      </c>
      <c r="E23" s="29"/>
    </row>
    <row r="24" spans="1:5">
      <c r="A24" s="7">
        <f t="shared" si="0"/>
        <v>20</v>
      </c>
      <c r="B24" s="37" t="s">
        <v>168</v>
      </c>
      <c r="C24" s="58"/>
      <c r="D24" s="51">
        <v>1125.1199999999999</v>
      </c>
      <c r="E24" s="29"/>
    </row>
    <row r="25" spans="1:5">
      <c r="A25" s="7">
        <f t="shared" si="0"/>
        <v>21</v>
      </c>
      <c r="B25" s="37" t="s">
        <v>88</v>
      </c>
      <c r="C25" s="58"/>
      <c r="D25" s="51">
        <v>1056.3</v>
      </c>
      <c r="E25" s="29"/>
    </row>
    <row r="26" spans="1:5">
      <c r="A26" s="7">
        <f t="shared" si="0"/>
        <v>22</v>
      </c>
      <c r="B26" s="55" t="s">
        <v>232</v>
      </c>
      <c r="C26" s="7"/>
      <c r="D26" s="51">
        <v>598.63</v>
      </c>
      <c r="E26" s="29"/>
    </row>
    <row r="27" spans="1:5">
      <c r="A27" s="7">
        <f t="shared" si="0"/>
        <v>23</v>
      </c>
      <c r="B27" s="37" t="s">
        <v>231</v>
      </c>
      <c r="C27" s="58">
        <v>1</v>
      </c>
      <c r="D27" s="51">
        <v>1008.94</v>
      </c>
      <c r="E27" s="29"/>
    </row>
    <row r="28" spans="1:5">
      <c r="A28" s="7">
        <f t="shared" si="0"/>
        <v>24</v>
      </c>
      <c r="B28" s="29" t="s">
        <v>270</v>
      </c>
      <c r="C28" s="7">
        <v>1</v>
      </c>
      <c r="D28" s="52">
        <v>811.61</v>
      </c>
      <c r="E28" s="29"/>
    </row>
    <row r="29" spans="1:5">
      <c r="A29" s="7">
        <f t="shared" si="0"/>
        <v>25</v>
      </c>
      <c r="B29" s="29" t="s">
        <v>239</v>
      </c>
      <c r="C29" s="7"/>
      <c r="D29" s="52">
        <v>463.89</v>
      </c>
      <c r="E29" s="29"/>
    </row>
    <row r="30" spans="1:5">
      <c r="A30" s="76">
        <f t="shared" si="0"/>
        <v>26</v>
      </c>
      <c r="B30" s="85" t="s">
        <v>133</v>
      </c>
      <c r="C30" s="78">
        <v>1</v>
      </c>
      <c r="D30" s="77">
        <v>1223.78</v>
      </c>
      <c r="E30" s="29" t="s">
        <v>277</v>
      </c>
    </row>
    <row r="31" spans="1:5">
      <c r="A31" s="7">
        <f t="shared" si="0"/>
        <v>27</v>
      </c>
      <c r="B31" s="37" t="s">
        <v>271</v>
      </c>
      <c r="C31" s="58">
        <v>1</v>
      </c>
      <c r="D31" s="52">
        <v>847.67</v>
      </c>
      <c r="E31" s="29"/>
    </row>
    <row r="32" spans="1:5">
      <c r="A32" s="7">
        <f t="shared" si="0"/>
        <v>28</v>
      </c>
      <c r="B32" s="29" t="s">
        <v>219</v>
      </c>
      <c r="C32" s="7"/>
      <c r="D32" s="51">
        <v>414.56</v>
      </c>
      <c r="E32" s="29"/>
    </row>
    <row r="33" spans="1:6">
      <c r="A33" s="7">
        <f t="shared" si="0"/>
        <v>29</v>
      </c>
      <c r="B33" s="37" t="s">
        <v>233</v>
      </c>
      <c r="C33" s="58"/>
      <c r="D33" s="51">
        <v>1243.68</v>
      </c>
      <c r="E33" s="29"/>
    </row>
    <row r="34" spans="1:6">
      <c r="A34" s="7">
        <f t="shared" si="0"/>
        <v>30</v>
      </c>
      <c r="B34" s="37" t="s">
        <v>214</v>
      </c>
      <c r="C34" s="58">
        <v>1</v>
      </c>
      <c r="D34" s="52">
        <v>1326.49</v>
      </c>
      <c r="E34" s="29"/>
    </row>
    <row r="35" spans="1:6">
      <c r="A35" s="7">
        <f t="shared" si="0"/>
        <v>31</v>
      </c>
      <c r="B35" s="29" t="s">
        <v>272</v>
      </c>
      <c r="C35" s="7"/>
      <c r="D35" s="52">
        <v>1079.0999999999999</v>
      </c>
      <c r="E35" s="29"/>
    </row>
    <row r="36" spans="1:6">
      <c r="A36" s="7">
        <f t="shared" si="0"/>
        <v>32</v>
      </c>
      <c r="B36" s="29" t="s">
        <v>207</v>
      </c>
      <c r="C36" s="7"/>
      <c r="D36" s="52">
        <v>416.22</v>
      </c>
      <c r="E36" s="29"/>
    </row>
    <row r="37" spans="1:6">
      <c r="A37" s="7">
        <f t="shared" si="0"/>
        <v>33</v>
      </c>
      <c r="B37" s="37" t="s">
        <v>90</v>
      </c>
      <c r="C37" s="58"/>
      <c r="D37" s="51">
        <v>845.7</v>
      </c>
      <c r="E37" s="29"/>
    </row>
    <row r="38" spans="1:6">
      <c r="A38" s="7">
        <f t="shared" si="0"/>
        <v>34</v>
      </c>
      <c r="B38" s="37" t="s">
        <v>134</v>
      </c>
      <c r="C38" s="58"/>
      <c r="D38" s="52">
        <v>470.53</v>
      </c>
      <c r="E38" s="29"/>
    </row>
    <row r="39" spans="1:6">
      <c r="A39" s="7">
        <f t="shared" si="0"/>
        <v>35</v>
      </c>
      <c r="B39" s="37" t="s">
        <v>273</v>
      </c>
      <c r="C39" s="58"/>
      <c r="D39" s="52">
        <v>621.84</v>
      </c>
      <c r="E39" s="29"/>
    </row>
    <row r="40" spans="1:6">
      <c r="A40" s="7">
        <f t="shared" si="0"/>
        <v>36</v>
      </c>
      <c r="B40" s="29" t="s">
        <v>41</v>
      </c>
      <c r="C40" s="58"/>
      <c r="D40" s="51">
        <v>1243.68</v>
      </c>
      <c r="E40" s="29"/>
    </row>
    <row r="41" spans="1:6">
      <c r="A41" s="7">
        <f t="shared" si="0"/>
        <v>37</v>
      </c>
      <c r="B41" s="29" t="s">
        <v>238</v>
      </c>
      <c r="C41" s="58"/>
      <c r="D41" s="51">
        <v>1191.03</v>
      </c>
      <c r="E41" s="29"/>
    </row>
    <row r="42" spans="1:6">
      <c r="A42" s="7">
        <f t="shared" si="0"/>
        <v>38</v>
      </c>
      <c r="B42" s="29" t="s">
        <v>157</v>
      </c>
      <c r="C42" s="58"/>
      <c r="D42" s="51">
        <v>677.81</v>
      </c>
      <c r="E42" s="29"/>
    </row>
    <row r="43" spans="1:6">
      <c r="A43" s="7">
        <f t="shared" si="0"/>
        <v>39</v>
      </c>
      <c r="B43" s="37" t="s">
        <v>150</v>
      </c>
      <c r="C43" s="58"/>
      <c r="D43" s="51">
        <v>549.29</v>
      </c>
      <c r="E43" s="29"/>
    </row>
    <row r="44" spans="1:6">
      <c r="A44" s="7">
        <f t="shared" si="0"/>
        <v>40</v>
      </c>
      <c r="B44" s="29" t="s">
        <v>33</v>
      </c>
      <c r="C44" s="58">
        <v>1</v>
      </c>
      <c r="D44" s="51">
        <v>955.04</v>
      </c>
      <c r="E44" s="29"/>
      <c r="F44" s="67"/>
    </row>
    <row r="45" spans="1:6">
      <c r="A45" s="7">
        <f t="shared" si="0"/>
        <v>41</v>
      </c>
      <c r="B45" s="37" t="s">
        <v>34</v>
      </c>
      <c r="C45" s="58"/>
      <c r="D45" s="53">
        <v>740.41</v>
      </c>
      <c r="E45" s="29"/>
    </row>
    <row r="46" spans="1:6">
      <c r="A46" s="7">
        <f t="shared" si="0"/>
        <v>42</v>
      </c>
      <c r="B46" s="29" t="s">
        <v>91</v>
      </c>
      <c r="C46" s="7"/>
      <c r="D46" s="53">
        <v>490.43</v>
      </c>
      <c r="E46" s="29"/>
    </row>
    <row r="47" spans="1:6">
      <c r="A47" s="7">
        <f t="shared" si="0"/>
        <v>43</v>
      </c>
      <c r="B47" s="37" t="s">
        <v>215</v>
      </c>
      <c r="C47" s="58"/>
      <c r="D47" s="54">
        <v>562.55999999999995</v>
      </c>
      <c r="E47" s="29"/>
    </row>
    <row r="48" spans="1:6">
      <c r="A48" s="81"/>
      <c r="B48" s="82"/>
      <c r="C48" s="58"/>
      <c r="D48" s="54"/>
      <c r="E48" s="29"/>
    </row>
    <row r="49" spans="1:5">
      <c r="A49" s="428" t="s">
        <v>253</v>
      </c>
      <c r="B49" s="429"/>
      <c r="C49" s="430"/>
      <c r="D49" s="83">
        <f>SUM(D5:D47)</f>
        <v>36554.199999999997</v>
      </c>
      <c r="E49" s="84"/>
    </row>
    <row r="50" spans="1:5">
      <c r="A50" s="431" t="s">
        <v>258</v>
      </c>
      <c r="B50" s="432"/>
      <c r="C50" s="7">
        <f>A47</f>
        <v>43</v>
      </c>
      <c r="D50" s="52"/>
      <c r="E50" s="29"/>
    </row>
    <row r="51" spans="1:5">
      <c r="A51" s="431" t="s">
        <v>242</v>
      </c>
      <c r="B51" s="432"/>
      <c r="C51" s="58">
        <f>SUM(C5:C47)</f>
        <v>14</v>
      </c>
      <c r="D51" s="52"/>
      <c r="E51" s="29"/>
    </row>
    <row r="52" spans="1:5">
      <c r="A52" s="433" t="s">
        <v>246</v>
      </c>
      <c r="B52" s="434"/>
      <c r="C52" s="86">
        <f>SUM(C50:C51)</f>
        <v>57</v>
      </c>
      <c r="D52" s="52"/>
      <c r="E52" s="29"/>
    </row>
    <row r="53" spans="1:5">
      <c r="A53" s="425" t="s">
        <v>257</v>
      </c>
      <c r="B53" s="426"/>
      <c r="C53" s="427"/>
      <c r="D53" s="77"/>
      <c r="E53" s="75"/>
    </row>
    <row r="54" spans="1:5">
      <c r="A54" s="86"/>
      <c r="B54" s="87"/>
      <c r="C54" s="58"/>
      <c r="D54" s="52"/>
      <c r="E54" s="29"/>
    </row>
    <row r="55" spans="1:5">
      <c r="A55" s="86"/>
      <c r="B55" s="87"/>
      <c r="C55" s="58"/>
      <c r="D55" s="52"/>
      <c r="E55" s="29"/>
    </row>
    <row r="56" spans="1:5">
      <c r="A56" s="428" t="s">
        <v>259</v>
      </c>
      <c r="B56" s="429"/>
      <c r="C56" s="430"/>
      <c r="D56" s="83">
        <f>SUM(D54:D55)</f>
        <v>0</v>
      </c>
      <c r="E56" s="75"/>
    </row>
    <row r="57" spans="1:5">
      <c r="A57" s="91"/>
      <c r="B57" s="93" t="s">
        <v>209</v>
      </c>
      <c r="C57" s="92"/>
      <c r="D57" s="94">
        <v>-434.46</v>
      </c>
      <c r="E57" s="29" t="s">
        <v>278</v>
      </c>
    </row>
    <row r="58" spans="1:5">
      <c r="A58" s="91"/>
      <c r="B58" s="93" t="s">
        <v>204</v>
      </c>
      <c r="C58" s="92"/>
      <c r="D58" s="94">
        <v>-414.56</v>
      </c>
      <c r="E58" s="29" t="s">
        <v>279</v>
      </c>
    </row>
    <row r="59" spans="1:5">
      <c r="A59" s="91"/>
      <c r="B59" s="93" t="s">
        <v>186</v>
      </c>
      <c r="C59" s="92"/>
      <c r="D59" s="94">
        <v>-509.91</v>
      </c>
      <c r="E59" s="29" t="s">
        <v>278</v>
      </c>
    </row>
    <row r="60" spans="1:5">
      <c r="A60" s="91"/>
      <c r="B60" s="93" t="s">
        <v>87</v>
      </c>
      <c r="C60" s="92"/>
      <c r="D60" s="94">
        <v>-1243.68</v>
      </c>
      <c r="E60" s="29" t="s">
        <v>276</v>
      </c>
    </row>
    <row r="61" spans="1:5">
      <c r="A61" s="91"/>
      <c r="B61" s="93" t="s">
        <v>133</v>
      </c>
      <c r="C61" s="92"/>
      <c r="D61" s="94">
        <v>829.12</v>
      </c>
      <c r="E61" s="29" t="s">
        <v>280</v>
      </c>
    </row>
    <row r="62" spans="1:5">
      <c r="A62" s="428" t="s">
        <v>265</v>
      </c>
      <c r="B62" s="429"/>
      <c r="C62" s="430"/>
      <c r="D62" s="83">
        <f>SUM(D57:D61)</f>
        <v>-1773.4900000000002</v>
      </c>
      <c r="E62" s="75"/>
    </row>
    <row r="63" spans="1:5">
      <c r="A63" s="422" t="s">
        <v>37</v>
      </c>
      <c r="B63" s="423"/>
      <c r="C63" s="424"/>
      <c r="D63" s="80">
        <f>SUM(D49+D56+D62)</f>
        <v>34780.71</v>
      </c>
      <c r="E63" s="84"/>
    </row>
    <row r="64" spans="1:5">
      <c r="D64" s="72" t="s">
        <v>250</v>
      </c>
      <c r="E64" s="90">
        <v>43652</v>
      </c>
    </row>
    <row r="65" spans="1:5">
      <c r="D65" s="73" t="s">
        <v>251</v>
      </c>
      <c r="E65" s="74" t="s">
        <v>252</v>
      </c>
    </row>
    <row r="66" spans="1:5">
      <c r="A66" s="7"/>
      <c r="B66" s="37" t="s">
        <v>209</v>
      </c>
      <c r="C66" s="58"/>
      <c r="D66" s="52">
        <f>434.46</f>
        <v>434.46</v>
      </c>
      <c r="E66" s="29" t="s">
        <v>275</v>
      </c>
    </row>
    <row r="67" spans="1:5">
      <c r="A67" s="7"/>
      <c r="B67" s="37" t="s">
        <v>204</v>
      </c>
      <c r="C67" s="58"/>
      <c r="D67" s="51">
        <v>414.56</v>
      </c>
      <c r="E67" s="29" t="s">
        <v>275</v>
      </c>
    </row>
    <row r="68" spans="1:5">
      <c r="A68" s="7"/>
      <c r="B68" s="37" t="s">
        <v>186</v>
      </c>
      <c r="C68" s="58"/>
      <c r="D68" s="52">
        <v>509.91</v>
      </c>
      <c r="E68" s="29" t="s">
        <v>275</v>
      </c>
    </row>
    <row r="69" spans="1:5">
      <c r="A69" s="7"/>
      <c r="B69" s="37" t="s">
        <v>87</v>
      </c>
      <c r="C69" s="58"/>
      <c r="D69" s="51">
        <v>1243.68</v>
      </c>
      <c r="E69" s="29" t="s">
        <v>276</v>
      </c>
    </row>
    <row r="70" spans="1:5">
      <c r="B70" s="12"/>
      <c r="C70" s="60"/>
    </row>
  </sheetData>
  <mergeCells count="8">
    <mergeCell ref="A62:C62"/>
    <mergeCell ref="A63:C63"/>
    <mergeCell ref="A49:C49"/>
    <mergeCell ref="A50:B50"/>
    <mergeCell ref="A51:B51"/>
    <mergeCell ref="A52:B52"/>
    <mergeCell ref="A53:C53"/>
    <mergeCell ref="A56:C56"/>
  </mergeCells>
  <conditionalFormatting sqref="B1:B1048576">
    <cfRule type="duplicateValues" dxfId="1519" priority="33"/>
  </conditionalFormatting>
  <conditionalFormatting sqref="B5:B48 B66:B69">
    <cfRule type="duplicateValues" dxfId="1518" priority="30"/>
  </conditionalFormatting>
  <conditionalFormatting sqref="B26">
    <cfRule type="duplicateValues" dxfId="1517" priority="17"/>
    <cfRule type="duplicateValues" dxfId="1516" priority="18"/>
    <cfRule type="duplicateValues" dxfId="1515" priority="19"/>
  </conditionalFormatting>
  <conditionalFormatting sqref="B16:C16">
    <cfRule type="duplicateValues" dxfId="1514" priority="27"/>
    <cfRule type="duplicateValues" dxfId="1513" priority="28"/>
    <cfRule type="duplicateValues" dxfId="1512" priority="29"/>
  </conditionalFormatting>
  <conditionalFormatting sqref="B20:C20">
    <cfRule type="duplicateValues" dxfId="1511" priority="24"/>
    <cfRule type="duplicateValues" dxfId="1510" priority="25"/>
    <cfRule type="duplicateValues" dxfId="1509" priority="26"/>
  </conditionalFormatting>
  <conditionalFormatting sqref="B21:C21">
    <cfRule type="duplicateValues" dxfId="1508" priority="21"/>
    <cfRule type="duplicateValues" dxfId="1507" priority="22"/>
    <cfRule type="duplicateValues" dxfId="1506" priority="23"/>
  </conditionalFormatting>
  <conditionalFormatting sqref="C5:C48 C54:C55 C66:C69">
    <cfRule type="notContainsBlanks" dxfId="1505" priority="20">
      <formula>LEN(TRIM(C5))&gt;0</formula>
    </cfRule>
  </conditionalFormatting>
  <conditionalFormatting sqref="E5:E63">
    <cfRule type="notContainsBlanks" dxfId="1504" priority="1">
      <formula>LEN(TRIM(E5))&gt;0</formula>
    </cfRule>
  </conditionalFormatting>
  <conditionalFormatting sqref="E66:E69">
    <cfRule type="notContainsBlanks" dxfId="1503" priority="16">
      <formula>LEN(TRIM(E66))&gt;0</formula>
    </cfRule>
  </conditionalFormatting>
  <pageMargins left="1" right="1" top="1" bottom="1" header="0.5" footer="0.5"/>
  <pageSetup scale="79" fitToWidth="0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7189-5CDA-E24D-938D-70C01481BB10}">
  <dimension ref="A1:T105"/>
  <sheetViews>
    <sheetView tabSelected="1" topLeftCell="A85" zoomScale="170" zoomScaleNormal="170" workbookViewId="0">
      <selection activeCell="K24" sqref="K24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18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45931</v>
      </c>
      <c r="K2" s="405"/>
      <c r="L2" s="315" t="s">
        <v>1167</v>
      </c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69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>
        <v>3</v>
      </c>
      <c r="B8" s="375">
        <v>2261</v>
      </c>
      <c r="C8" s="328" t="s">
        <v>744</v>
      </c>
      <c r="D8" s="329" t="s">
        <v>781</v>
      </c>
      <c r="E8" s="329" t="s">
        <v>853</v>
      </c>
      <c r="F8" s="330">
        <v>2</v>
      </c>
      <c r="G8" s="331">
        <v>2063.59</v>
      </c>
      <c r="H8" s="332" t="s">
        <v>1006</v>
      </c>
      <c r="I8" s="331">
        <v>2063.59</v>
      </c>
      <c r="J8" s="389">
        <v>2063.59</v>
      </c>
      <c r="K8" s="333">
        <f t="shared" si="0"/>
        <v>0</v>
      </c>
      <c r="L8" s="329"/>
    </row>
    <row r="9" spans="1:20">
      <c r="A9" s="334">
        <v>4</v>
      </c>
      <c r="B9" s="354">
        <v>2081</v>
      </c>
      <c r="C9" s="328" t="s">
        <v>462</v>
      </c>
      <c r="D9" s="328" t="s">
        <v>425</v>
      </c>
      <c r="E9" s="329" t="s">
        <v>854</v>
      </c>
      <c r="F9" s="330">
        <v>1</v>
      </c>
      <c r="G9" s="409">
        <v>1418.36</v>
      </c>
      <c r="H9" s="332" t="s">
        <v>1006</v>
      </c>
      <c r="I9" s="409">
        <v>1418.36</v>
      </c>
      <c r="J9" s="409">
        <v>1418.36</v>
      </c>
      <c r="K9" s="333">
        <f t="shared" si="0"/>
        <v>0</v>
      </c>
      <c r="L9" s="329"/>
    </row>
    <row r="10" spans="1:20">
      <c r="A10" s="334"/>
      <c r="B10" s="354">
        <v>2341</v>
      </c>
      <c r="C10" s="328" t="s">
        <v>460</v>
      </c>
      <c r="D10" s="328" t="s">
        <v>1102</v>
      </c>
      <c r="E10" s="329" t="s">
        <v>852</v>
      </c>
      <c r="F10" s="330"/>
      <c r="G10" s="331">
        <v>1035.3900000000001</v>
      </c>
      <c r="H10" s="332">
        <v>0</v>
      </c>
      <c r="I10" s="331">
        <v>1035.3900000000001</v>
      </c>
      <c r="J10" s="389">
        <v>1035.3900000000001</v>
      </c>
      <c r="K10" s="333">
        <f t="shared" si="0"/>
        <v>0</v>
      </c>
      <c r="L10" s="329"/>
    </row>
    <row r="11" spans="1:20">
      <c r="A11" s="334">
        <v>6</v>
      </c>
      <c r="B11" s="354">
        <v>1593</v>
      </c>
      <c r="C11" s="328" t="s">
        <v>460</v>
      </c>
      <c r="D11" s="328" t="s">
        <v>426</v>
      </c>
      <c r="E11" s="329" t="s">
        <v>852</v>
      </c>
      <c r="F11" s="330"/>
      <c r="G11" s="331">
        <v>1629.03</v>
      </c>
      <c r="H11" s="332" t="s">
        <v>1006</v>
      </c>
      <c r="I11" s="331">
        <v>1629.03</v>
      </c>
      <c r="J11" s="389">
        <v>1629.03</v>
      </c>
      <c r="K11" s="333">
        <f t="shared" si="0"/>
        <v>0</v>
      </c>
      <c r="L11" s="329"/>
    </row>
    <row r="12" spans="1:20">
      <c r="A12" s="334"/>
      <c r="B12" s="354">
        <v>2285</v>
      </c>
      <c r="C12" s="328" t="s">
        <v>745</v>
      </c>
      <c r="D12" s="328" t="s">
        <v>1117</v>
      </c>
      <c r="E12" s="329" t="s">
        <v>852</v>
      </c>
      <c r="F12" s="330"/>
      <c r="G12" s="331">
        <v>593.64</v>
      </c>
      <c r="H12" s="332"/>
      <c r="I12" s="331">
        <v>593.64</v>
      </c>
      <c r="J12" s="389">
        <v>593.64</v>
      </c>
      <c r="K12" s="333"/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703.79</v>
      </c>
      <c r="H13" s="332" t="s">
        <v>1006</v>
      </c>
      <c r="I13" s="331">
        <v>703.79</v>
      </c>
      <c r="J13" s="389">
        <v>703.79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989.01</v>
      </c>
      <c r="H14" s="332" t="s">
        <v>1006</v>
      </c>
      <c r="I14" s="331">
        <v>989.01</v>
      </c>
      <c r="J14" s="389">
        <v>989.01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740.89</v>
      </c>
      <c r="H15" s="332" t="s">
        <v>1006</v>
      </c>
      <c r="I15" s="331">
        <v>740.89</v>
      </c>
      <c r="J15" s="389">
        <v>740.89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717.7</v>
      </c>
      <c r="H16" s="332" t="s">
        <v>1006</v>
      </c>
      <c r="I16" s="331">
        <v>717.7</v>
      </c>
      <c r="J16" s="389">
        <v>717.7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1348.64</v>
      </c>
      <c r="H17" s="332">
        <v>604.79999999999995</v>
      </c>
      <c r="I17" s="332">
        <v>1953.45</v>
      </c>
      <c r="J17" s="333">
        <v>1953.45</v>
      </c>
      <c r="K17" s="333">
        <f t="shared" si="0"/>
        <v>0</v>
      </c>
      <c r="L17" s="329"/>
    </row>
    <row r="18" spans="1:20">
      <c r="A18" s="334"/>
      <c r="B18" s="354">
        <v>2308</v>
      </c>
      <c r="C18" s="328" t="s">
        <v>1118</v>
      </c>
      <c r="D18" s="328" t="s">
        <v>1119</v>
      </c>
      <c r="E18" s="382" t="s">
        <v>852</v>
      </c>
      <c r="F18" s="330"/>
      <c r="G18" s="331">
        <v>947.85</v>
      </c>
      <c r="H18" s="332">
        <v>0</v>
      </c>
      <c r="I18" s="332">
        <v>947.85</v>
      </c>
      <c r="J18" s="389">
        <v>947.85</v>
      </c>
      <c r="K18" s="333"/>
      <c r="L18" s="329"/>
    </row>
    <row r="19" spans="1:20">
      <c r="A19" s="334"/>
      <c r="B19" s="354">
        <v>2350</v>
      </c>
      <c r="C19" s="328" t="s">
        <v>1163</v>
      </c>
      <c r="D19" s="328" t="s">
        <v>1164</v>
      </c>
      <c r="E19" s="382" t="s">
        <v>852</v>
      </c>
      <c r="F19" s="330"/>
      <c r="G19" s="331">
        <v>630.16</v>
      </c>
      <c r="H19" s="332">
        <v>0</v>
      </c>
      <c r="I19" s="332">
        <v>630.16</v>
      </c>
      <c r="J19" s="389">
        <v>630.16</v>
      </c>
      <c r="K19" s="333"/>
      <c r="L19" s="329"/>
    </row>
    <row r="20" spans="1:20">
      <c r="A20" s="334">
        <v>11</v>
      </c>
      <c r="B20" s="354">
        <v>1721</v>
      </c>
      <c r="C20" s="328" t="s">
        <v>746</v>
      </c>
      <c r="D20" s="328" t="s">
        <v>785</v>
      </c>
      <c r="E20" s="329" t="s">
        <v>854</v>
      </c>
      <c r="F20" s="330">
        <v>1</v>
      </c>
      <c r="G20" s="331">
        <v>1665.55</v>
      </c>
      <c r="H20" s="332" t="s">
        <v>1006</v>
      </c>
      <c r="I20" s="331">
        <v>1665.55</v>
      </c>
      <c r="J20" s="389">
        <v>1665.55</v>
      </c>
      <c r="K20" s="333">
        <f t="shared" si="0"/>
        <v>0</v>
      </c>
      <c r="L20" s="161"/>
    </row>
    <row r="21" spans="1:20">
      <c r="A21" s="334">
        <v>12</v>
      </c>
      <c r="B21" s="354">
        <v>2123</v>
      </c>
      <c r="C21" s="328" t="s">
        <v>746</v>
      </c>
      <c r="D21" s="328" t="s">
        <v>786</v>
      </c>
      <c r="E21" s="329" t="s">
        <v>852</v>
      </c>
      <c r="F21" s="330"/>
      <c r="G21" s="331">
        <v>754.8</v>
      </c>
      <c r="H21" s="332" t="s">
        <v>1006</v>
      </c>
      <c r="I21" s="331">
        <v>754.8</v>
      </c>
      <c r="J21" s="389">
        <v>754.8</v>
      </c>
      <c r="K21" s="333">
        <f t="shared" si="0"/>
        <v>0</v>
      </c>
      <c r="L21" s="161"/>
    </row>
    <row r="22" spans="1:20">
      <c r="A22" s="334">
        <v>13</v>
      </c>
      <c r="B22" s="354">
        <v>1970</v>
      </c>
      <c r="C22" s="328" t="s">
        <v>747</v>
      </c>
      <c r="D22" s="338" t="s">
        <v>787</v>
      </c>
      <c r="E22" s="329" t="s">
        <v>854</v>
      </c>
      <c r="F22" s="330">
        <v>1</v>
      </c>
      <c r="G22" s="331">
        <v>1170.82</v>
      </c>
      <c r="H22" s="332">
        <v>0</v>
      </c>
      <c r="I22" s="331">
        <f>H22+G22</f>
        <v>1170.82</v>
      </c>
      <c r="J22" s="389">
        <v>1170.82</v>
      </c>
      <c r="K22" s="333">
        <f t="shared" si="0"/>
        <v>0</v>
      </c>
      <c r="L22" s="161" t="s">
        <v>1168</v>
      </c>
    </row>
    <row r="23" spans="1:20">
      <c r="A23" s="334">
        <v>14</v>
      </c>
      <c r="B23" s="376" t="s">
        <v>934</v>
      </c>
      <c r="C23" s="328" t="s">
        <v>932</v>
      </c>
      <c r="D23" s="338" t="s">
        <v>933</v>
      </c>
      <c r="E23" s="329" t="s">
        <v>851</v>
      </c>
      <c r="F23" s="330"/>
      <c r="G23" s="331">
        <v>808</v>
      </c>
      <c r="H23" s="332">
        <v>480.16</v>
      </c>
      <c r="I23" s="332">
        <f>SUM(G23:H23)</f>
        <v>1288.1600000000001</v>
      </c>
      <c r="J23" s="333">
        <v>1288.1500000000001</v>
      </c>
      <c r="K23" s="333">
        <f t="shared" si="0"/>
        <v>9.9999999999909051E-3</v>
      </c>
      <c r="L23" s="188"/>
    </row>
    <row r="24" spans="1:20">
      <c r="A24" s="334">
        <v>15</v>
      </c>
      <c r="B24" s="354">
        <v>1794</v>
      </c>
      <c r="C24" s="328" t="s">
        <v>466</v>
      </c>
      <c r="D24" s="328" t="s">
        <v>431</v>
      </c>
      <c r="E24" s="329" t="s">
        <v>854</v>
      </c>
      <c r="F24" s="330">
        <v>1</v>
      </c>
      <c r="G24" s="331">
        <v>1131.6199999999999</v>
      </c>
      <c r="H24" s="332" t="s">
        <v>1006</v>
      </c>
      <c r="I24" s="331">
        <v>1131.6199999999999</v>
      </c>
      <c r="J24" s="389">
        <v>1131.6199999999999</v>
      </c>
      <c r="K24" s="333">
        <f t="shared" si="0"/>
        <v>0</v>
      </c>
      <c r="L24" s="188" t="s">
        <v>1169</v>
      </c>
      <c r="P24" s="1"/>
      <c r="Q24" s="1"/>
      <c r="R24" s="1"/>
      <c r="S24" s="1"/>
      <c r="T24" s="1"/>
    </row>
    <row r="25" spans="1:20">
      <c r="A25" s="334">
        <v>16</v>
      </c>
      <c r="B25" s="354">
        <v>2201</v>
      </c>
      <c r="C25" s="328" t="s">
        <v>748</v>
      </c>
      <c r="D25" s="338" t="s">
        <v>788</v>
      </c>
      <c r="E25" s="329" t="s">
        <v>852</v>
      </c>
      <c r="F25" s="330"/>
      <c r="G25" s="331">
        <v>1412.79</v>
      </c>
      <c r="H25" s="332" t="s">
        <v>1006</v>
      </c>
      <c r="I25" s="331">
        <v>1412.79</v>
      </c>
      <c r="J25" s="389">
        <v>1412.79</v>
      </c>
      <c r="K25" s="333">
        <f t="shared" si="0"/>
        <v>0</v>
      </c>
      <c r="L25" s="161"/>
    </row>
    <row r="26" spans="1:20">
      <c r="A26" s="334">
        <v>18</v>
      </c>
      <c r="B26" s="354">
        <v>2289</v>
      </c>
      <c r="C26" s="328" t="s">
        <v>750</v>
      </c>
      <c r="D26" s="338" t="s">
        <v>790</v>
      </c>
      <c r="E26" s="329" t="s">
        <v>852</v>
      </c>
      <c r="F26" s="330"/>
      <c r="G26" s="331">
        <v>740.89</v>
      </c>
      <c r="H26" s="332" t="s">
        <v>1006</v>
      </c>
      <c r="I26" s="331">
        <v>740.89</v>
      </c>
      <c r="J26" s="389">
        <v>740.89</v>
      </c>
      <c r="K26" s="333">
        <f t="shared" si="0"/>
        <v>0</v>
      </c>
      <c r="L26" s="161"/>
    </row>
    <row r="27" spans="1:20">
      <c r="A27" s="334"/>
      <c r="B27" s="354">
        <v>2324</v>
      </c>
      <c r="C27" s="328" t="s">
        <v>1170</v>
      </c>
      <c r="D27" s="338" t="s">
        <v>1171</v>
      </c>
      <c r="E27" s="329" t="s">
        <v>852</v>
      </c>
      <c r="F27" s="330"/>
      <c r="G27" s="331">
        <v>582.04</v>
      </c>
      <c r="H27" s="332">
        <v>0</v>
      </c>
      <c r="I27" s="331">
        <v>582.04</v>
      </c>
      <c r="J27" s="335">
        <v>582.04</v>
      </c>
      <c r="K27" s="333">
        <f t="shared" si="0"/>
        <v>0</v>
      </c>
      <c r="L27" s="161" t="s">
        <v>1166</v>
      </c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582.04</v>
      </c>
      <c r="H28" s="332">
        <v>0</v>
      </c>
      <c r="I28" s="332">
        <v>582.04</v>
      </c>
      <c r="J28" s="335">
        <v>582.04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1709.74</v>
      </c>
      <c r="H29" s="332" t="s">
        <v>1006</v>
      </c>
      <c r="I29" s="331">
        <v>1709.74</v>
      </c>
      <c r="J29" s="389">
        <v>1709.74</v>
      </c>
      <c r="K29" s="333">
        <f t="shared" si="0"/>
        <v>0</v>
      </c>
      <c r="L29" s="161"/>
    </row>
    <row r="30" spans="1:20">
      <c r="A30" s="334"/>
      <c r="B30" s="354">
        <v>2298</v>
      </c>
      <c r="C30" s="328" t="s">
        <v>752</v>
      </c>
      <c r="D30" s="328" t="s">
        <v>1106</v>
      </c>
      <c r="E30" s="329" t="s">
        <v>852</v>
      </c>
      <c r="F30" s="330"/>
      <c r="G30" s="331">
        <v>685.81</v>
      </c>
      <c r="H30" s="332">
        <v>0</v>
      </c>
      <c r="I30" s="331">
        <v>685.81</v>
      </c>
      <c r="J30" s="389">
        <v>685.81</v>
      </c>
      <c r="K30" s="333">
        <f t="shared" si="0"/>
        <v>0</v>
      </c>
      <c r="L30" s="161"/>
    </row>
    <row r="31" spans="1:20">
      <c r="A31" s="334">
        <v>21</v>
      </c>
      <c r="B31" s="354">
        <v>2193</v>
      </c>
      <c r="C31" s="328" t="s">
        <v>753</v>
      </c>
      <c r="D31" s="328" t="s">
        <v>794</v>
      </c>
      <c r="E31" s="329" t="s">
        <v>852</v>
      </c>
      <c r="F31" s="330"/>
      <c r="G31" s="331">
        <v>713.06</v>
      </c>
      <c r="H31" s="332" t="s">
        <v>1006</v>
      </c>
      <c r="I31" s="331">
        <v>713.06</v>
      </c>
      <c r="J31" s="389">
        <v>713.06</v>
      </c>
      <c r="K31" s="333">
        <f t="shared" si="0"/>
        <v>0</v>
      </c>
      <c r="L31" s="161"/>
    </row>
    <row r="32" spans="1:20">
      <c r="A32" s="334"/>
      <c r="B32" s="354">
        <v>2223</v>
      </c>
      <c r="C32" s="328" t="s">
        <v>972</v>
      </c>
      <c r="D32" s="328" t="s">
        <v>973</v>
      </c>
      <c r="E32" s="329" t="s">
        <v>852</v>
      </c>
      <c r="F32" s="330"/>
      <c r="G32" s="331">
        <v>630.16</v>
      </c>
      <c r="H32" s="332"/>
      <c r="I32" s="331">
        <v>630.16</v>
      </c>
      <c r="J32" s="389">
        <v>630.16</v>
      </c>
      <c r="K32" s="333">
        <f t="shared" si="0"/>
        <v>0</v>
      </c>
      <c r="L32" s="161"/>
    </row>
    <row r="33" spans="1:20">
      <c r="A33" s="334">
        <v>22</v>
      </c>
      <c r="B33" s="354">
        <v>640</v>
      </c>
      <c r="C33" s="328" t="s">
        <v>754</v>
      </c>
      <c r="D33" s="339" t="s">
        <v>795</v>
      </c>
      <c r="E33" s="329" t="s">
        <v>852</v>
      </c>
      <c r="F33" s="330"/>
      <c r="G33" s="331">
        <v>1509.02</v>
      </c>
      <c r="H33" s="332" t="s">
        <v>1006</v>
      </c>
      <c r="I33" s="416">
        <v>1509.02</v>
      </c>
      <c r="J33" s="389">
        <v>1509.02</v>
      </c>
      <c r="K33" s="333">
        <f t="shared" si="0"/>
        <v>0</v>
      </c>
      <c r="L33" s="329"/>
    </row>
    <row r="34" spans="1:20">
      <c r="A34" s="334">
        <v>23</v>
      </c>
      <c r="B34" s="354">
        <v>901</v>
      </c>
      <c r="C34" s="328" t="s">
        <v>439</v>
      </c>
      <c r="D34" s="328" t="s">
        <v>505</v>
      </c>
      <c r="E34" s="329" t="s">
        <v>852</v>
      </c>
      <c r="F34" s="330"/>
      <c r="G34" s="331">
        <v>1739.16</v>
      </c>
      <c r="H34" s="332" t="s">
        <v>1006</v>
      </c>
      <c r="I34" s="331">
        <v>1739.16</v>
      </c>
      <c r="J34" s="389">
        <v>1739.16</v>
      </c>
      <c r="K34" s="333">
        <f t="shared" si="0"/>
        <v>0</v>
      </c>
      <c r="L34" s="329"/>
    </row>
    <row r="35" spans="1:20">
      <c r="A35" s="334">
        <v>24</v>
      </c>
      <c r="B35" s="376" t="s">
        <v>675</v>
      </c>
      <c r="C35" s="328" t="s">
        <v>755</v>
      </c>
      <c r="D35" s="328" t="s">
        <v>796</v>
      </c>
      <c r="E35" s="329" t="s">
        <v>852</v>
      </c>
      <c r="F35" s="330"/>
      <c r="G35" s="331">
        <v>786.69</v>
      </c>
      <c r="H35" s="332" t="s">
        <v>1006</v>
      </c>
      <c r="I35" s="332">
        <v>786.69</v>
      </c>
      <c r="J35" s="333">
        <v>786.69</v>
      </c>
      <c r="K35" s="333">
        <f t="shared" si="0"/>
        <v>0</v>
      </c>
      <c r="L35" s="329"/>
    </row>
    <row r="36" spans="1:20">
      <c r="A36" s="334">
        <v>26</v>
      </c>
      <c r="B36" s="354">
        <v>1741</v>
      </c>
      <c r="C36" s="328" t="s">
        <v>755</v>
      </c>
      <c r="D36" s="328" t="s">
        <v>797</v>
      </c>
      <c r="E36" s="329" t="s">
        <v>852</v>
      </c>
      <c r="F36" s="330"/>
      <c r="G36" s="331">
        <v>1292.79</v>
      </c>
      <c r="H36" s="332" t="s">
        <v>1006</v>
      </c>
      <c r="I36" s="331">
        <v>1292.79</v>
      </c>
      <c r="J36" s="389">
        <v>1292.79</v>
      </c>
      <c r="K36" s="333">
        <f t="shared" si="0"/>
        <v>0</v>
      </c>
      <c r="L36" s="329"/>
    </row>
    <row r="37" spans="1:20">
      <c r="A37" s="334">
        <v>25</v>
      </c>
      <c r="B37" s="354">
        <v>1757</v>
      </c>
      <c r="C37" s="328" t="s">
        <v>755</v>
      </c>
      <c r="D37" s="338" t="s">
        <v>798</v>
      </c>
      <c r="E37" s="329" t="s">
        <v>853</v>
      </c>
      <c r="F37" s="330">
        <v>2</v>
      </c>
      <c r="G37" s="331">
        <v>2170.85</v>
      </c>
      <c r="H37" s="332" t="s">
        <v>1006</v>
      </c>
      <c r="I37" s="331">
        <v>2170.85</v>
      </c>
      <c r="J37" s="389">
        <v>2170.85</v>
      </c>
      <c r="K37" s="333">
        <f t="shared" si="0"/>
        <v>0</v>
      </c>
      <c r="L37" s="329"/>
      <c r="N37" s="12"/>
      <c r="O37" s="12"/>
      <c r="P37" s="12"/>
      <c r="Q37" s="12"/>
      <c r="R37" s="12"/>
      <c r="S37" s="12"/>
      <c r="T37" s="12"/>
    </row>
    <row r="38" spans="1:20">
      <c r="A38" s="334">
        <v>28</v>
      </c>
      <c r="B38" s="354">
        <v>1210</v>
      </c>
      <c r="C38" s="328" t="s">
        <v>756</v>
      </c>
      <c r="D38" s="338" t="s">
        <v>800</v>
      </c>
      <c r="E38" s="329" t="s">
        <v>852</v>
      </c>
      <c r="F38" s="330"/>
      <c r="G38" s="331">
        <v>1739.16</v>
      </c>
      <c r="H38" s="332" t="s">
        <v>1006</v>
      </c>
      <c r="I38" s="331">
        <v>1739.16</v>
      </c>
      <c r="J38" s="389">
        <v>1739.16</v>
      </c>
      <c r="K38" s="333">
        <f t="shared" si="0"/>
        <v>0</v>
      </c>
      <c r="L38" s="329"/>
    </row>
    <row r="39" spans="1:20">
      <c r="A39" s="334"/>
      <c r="B39" s="354">
        <v>2310</v>
      </c>
      <c r="C39" s="328" t="s">
        <v>756</v>
      </c>
      <c r="D39" s="338" t="s">
        <v>977</v>
      </c>
      <c r="E39" s="329" t="s">
        <v>852</v>
      </c>
      <c r="F39" s="330"/>
      <c r="G39" s="331">
        <v>1035.3900000000001</v>
      </c>
      <c r="H39" s="332" t="s">
        <v>1006</v>
      </c>
      <c r="I39" s="331">
        <v>1035.3900000000001</v>
      </c>
      <c r="J39" s="389">
        <v>1035.3900000000001</v>
      </c>
      <c r="K39" s="333">
        <f t="shared" si="0"/>
        <v>0</v>
      </c>
      <c r="L39" s="329"/>
    </row>
    <row r="40" spans="1:20">
      <c r="A40" s="334">
        <v>29</v>
      </c>
      <c r="B40" s="354">
        <v>1460</v>
      </c>
      <c r="C40" s="328" t="s">
        <v>444</v>
      </c>
      <c r="D40" s="328" t="s">
        <v>506</v>
      </c>
      <c r="E40" s="329" t="s">
        <v>852</v>
      </c>
      <c r="F40" s="330"/>
      <c r="G40" s="331">
        <v>1081.19</v>
      </c>
      <c r="H40" s="332" t="s">
        <v>1006</v>
      </c>
      <c r="I40" s="331">
        <v>1081.19</v>
      </c>
      <c r="J40" s="389">
        <v>1081.19</v>
      </c>
      <c r="K40" s="333">
        <f t="shared" si="0"/>
        <v>0</v>
      </c>
      <c r="L40" s="329"/>
    </row>
    <row r="41" spans="1:20">
      <c r="A41" s="334">
        <v>32</v>
      </c>
      <c r="B41" s="354">
        <v>2248</v>
      </c>
      <c r="C41" s="328" t="s">
        <v>757</v>
      </c>
      <c r="D41" s="328" t="s">
        <v>801</v>
      </c>
      <c r="E41" s="341" t="s">
        <v>856</v>
      </c>
      <c r="F41" s="330">
        <v>2</v>
      </c>
      <c r="G41" s="331">
        <v>1778.57</v>
      </c>
      <c r="H41" s="332">
        <v>581.62</v>
      </c>
      <c r="I41" s="332">
        <f>SUM(G41:H41)</f>
        <v>2360.19</v>
      </c>
      <c r="J41" s="333">
        <v>2360.19</v>
      </c>
      <c r="K41" s="333">
        <f t="shared" si="0"/>
        <v>0</v>
      </c>
      <c r="L41" s="329"/>
    </row>
    <row r="42" spans="1:20">
      <c r="A42" s="334"/>
      <c r="B42" s="354">
        <v>2319</v>
      </c>
      <c r="C42" s="328" t="s">
        <v>757</v>
      </c>
      <c r="D42" s="328" t="s">
        <v>1026</v>
      </c>
      <c r="E42" s="382" t="s">
        <v>853</v>
      </c>
      <c r="F42" s="330">
        <v>2</v>
      </c>
      <c r="G42" s="331">
        <v>1623.94</v>
      </c>
      <c r="H42" s="332">
        <v>0</v>
      </c>
      <c r="I42" s="331">
        <v>1623.94</v>
      </c>
      <c r="J42" s="389">
        <v>1623.94</v>
      </c>
      <c r="K42" s="333">
        <f t="shared" si="0"/>
        <v>0</v>
      </c>
      <c r="L42" s="329"/>
    </row>
    <row r="43" spans="1:20">
      <c r="A43" s="334"/>
      <c r="B43" s="354">
        <v>1300</v>
      </c>
      <c r="C43" s="328" t="s">
        <v>757</v>
      </c>
      <c r="D43" s="328" t="s">
        <v>1037</v>
      </c>
      <c r="E43" s="382" t="s">
        <v>854</v>
      </c>
      <c r="F43" s="330">
        <v>1</v>
      </c>
      <c r="G43" s="331">
        <v>1783.23</v>
      </c>
      <c r="H43" s="332">
        <v>0</v>
      </c>
      <c r="I43" s="331">
        <v>1783.23</v>
      </c>
      <c r="J43" s="389">
        <v>1783.23</v>
      </c>
      <c r="K43" s="333">
        <f t="shared" si="0"/>
        <v>0</v>
      </c>
      <c r="L43" s="329"/>
    </row>
    <row r="44" spans="1:20">
      <c r="A44" s="334">
        <v>30</v>
      </c>
      <c r="B44" s="354">
        <v>2062</v>
      </c>
      <c r="C44" s="328" t="s">
        <v>757</v>
      </c>
      <c r="D44" s="328" t="s">
        <v>802</v>
      </c>
      <c r="E44" s="329" t="s">
        <v>853</v>
      </c>
      <c r="F44" s="330">
        <v>2</v>
      </c>
      <c r="G44" s="331">
        <v>1633.22</v>
      </c>
      <c r="H44" s="332" t="s">
        <v>1006</v>
      </c>
      <c r="I44" s="331">
        <v>1633.22</v>
      </c>
      <c r="J44" s="389">
        <v>1633.22</v>
      </c>
      <c r="K44" s="333">
        <f t="shared" si="0"/>
        <v>0</v>
      </c>
      <c r="L44" s="329"/>
    </row>
    <row r="45" spans="1:20">
      <c r="A45" s="334"/>
      <c r="B45" s="354">
        <v>2313</v>
      </c>
      <c r="C45" s="328" t="s">
        <v>1000</v>
      </c>
      <c r="D45" s="328" t="s">
        <v>1001</v>
      </c>
      <c r="E45" s="329" t="s">
        <v>853</v>
      </c>
      <c r="F45" s="330">
        <v>2</v>
      </c>
      <c r="G45" s="331">
        <v>1907.43</v>
      </c>
      <c r="H45" s="332" t="s">
        <v>1006</v>
      </c>
      <c r="I45" s="331">
        <v>1907.43</v>
      </c>
      <c r="J45" s="389">
        <v>1907.43</v>
      </c>
      <c r="K45" s="333">
        <f t="shared" si="0"/>
        <v>0</v>
      </c>
      <c r="L45" s="29"/>
    </row>
    <row r="46" spans="1:20">
      <c r="A46" s="334">
        <v>35</v>
      </c>
      <c r="B46" s="354">
        <v>2172</v>
      </c>
      <c r="C46" s="328" t="s">
        <v>478</v>
      </c>
      <c r="D46" s="328" t="s">
        <v>448</v>
      </c>
      <c r="E46" s="329" t="s">
        <v>852</v>
      </c>
      <c r="F46" s="330"/>
      <c r="G46" s="331">
        <v>1739.16</v>
      </c>
      <c r="H46" s="332" t="s">
        <v>1006</v>
      </c>
      <c r="I46" s="331">
        <v>1739.16</v>
      </c>
      <c r="J46" s="399">
        <v>1739.16</v>
      </c>
      <c r="K46" s="333">
        <f t="shared" si="0"/>
        <v>0</v>
      </c>
      <c r="L46" s="161"/>
    </row>
    <row r="47" spans="1:20">
      <c r="A47" s="334">
        <v>36</v>
      </c>
      <c r="B47" s="354">
        <v>2082</v>
      </c>
      <c r="C47" s="328" t="s">
        <v>759</v>
      </c>
      <c r="D47" s="338" t="s">
        <v>806</v>
      </c>
      <c r="E47" s="329" t="s">
        <v>852</v>
      </c>
      <c r="F47" s="330"/>
      <c r="G47" s="331">
        <v>713.06</v>
      </c>
      <c r="H47" s="332" t="s">
        <v>1006</v>
      </c>
      <c r="I47" s="331">
        <v>713.06</v>
      </c>
      <c r="J47" s="333">
        <v>713.06</v>
      </c>
      <c r="K47" s="333">
        <f t="shared" si="0"/>
        <v>0</v>
      </c>
      <c r="L47" s="329"/>
    </row>
    <row r="48" spans="1:20">
      <c r="A48" s="334">
        <v>37</v>
      </c>
      <c r="B48" s="354">
        <v>2119</v>
      </c>
      <c r="C48" s="328" t="s">
        <v>760</v>
      </c>
      <c r="D48" s="328" t="s">
        <v>807</v>
      </c>
      <c r="E48" s="329" t="s">
        <v>852</v>
      </c>
      <c r="F48" s="330"/>
      <c r="G48" s="331">
        <v>630.16</v>
      </c>
      <c r="H48" s="332" t="s">
        <v>1006</v>
      </c>
      <c r="I48" s="331">
        <v>630.16</v>
      </c>
      <c r="J48" s="389">
        <v>630.16</v>
      </c>
      <c r="K48" s="333">
        <f t="shared" si="0"/>
        <v>0</v>
      </c>
      <c r="L48" s="329"/>
    </row>
    <row r="49" spans="1:12">
      <c r="A49" s="334">
        <v>38</v>
      </c>
      <c r="B49" s="354">
        <v>2273</v>
      </c>
      <c r="C49" s="328" t="s">
        <v>761</v>
      </c>
      <c r="D49" s="328" t="s">
        <v>808</v>
      </c>
      <c r="E49" s="329" t="s">
        <v>852</v>
      </c>
      <c r="F49" s="330"/>
      <c r="G49" s="331">
        <v>657.99</v>
      </c>
      <c r="H49" s="332" t="s">
        <v>1006</v>
      </c>
      <c r="I49" s="331">
        <v>657.99</v>
      </c>
      <c r="J49" s="389">
        <v>657.99</v>
      </c>
      <c r="K49" s="333">
        <f t="shared" si="0"/>
        <v>0</v>
      </c>
      <c r="L49" s="329"/>
    </row>
    <row r="50" spans="1:12">
      <c r="A50" s="334">
        <v>40</v>
      </c>
      <c r="B50" s="354">
        <v>1975</v>
      </c>
      <c r="C50" s="328" t="s">
        <v>762</v>
      </c>
      <c r="D50" s="328" t="s">
        <v>810</v>
      </c>
      <c r="E50" s="329" t="s">
        <v>854</v>
      </c>
      <c r="F50" s="330">
        <v>1</v>
      </c>
      <c r="G50" s="331">
        <v>1647.13</v>
      </c>
      <c r="H50" s="332" t="s">
        <v>1006</v>
      </c>
      <c r="I50" s="331">
        <v>1647.13</v>
      </c>
      <c r="J50" s="389">
        <v>1647.13</v>
      </c>
      <c r="K50" s="333" t="e">
        <f>#REF!-#REF!</f>
        <v>#REF!</v>
      </c>
      <c r="L50" s="329"/>
    </row>
    <row r="51" spans="1:12">
      <c r="A51" s="334">
        <v>42</v>
      </c>
      <c r="B51" s="354">
        <v>2235</v>
      </c>
      <c r="C51" s="328" t="s">
        <v>764</v>
      </c>
      <c r="D51" s="328" t="s">
        <v>812</v>
      </c>
      <c r="E51" s="329" t="s">
        <v>854</v>
      </c>
      <c r="F51" s="330">
        <v>1</v>
      </c>
      <c r="G51" s="331">
        <v>1501.26</v>
      </c>
      <c r="H51" s="332" t="s">
        <v>1006</v>
      </c>
      <c r="I51" s="331">
        <v>1501.26</v>
      </c>
      <c r="J51" s="389">
        <v>1501.26</v>
      </c>
      <c r="K51" s="333">
        <f t="shared" si="0"/>
        <v>0</v>
      </c>
      <c r="L51" s="329"/>
    </row>
    <row r="52" spans="1:12">
      <c r="A52" s="334">
        <v>43</v>
      </c>
      <c r="B52" s="354">
        <v>2245</v>
      </c>
      <c r="C52" s="328" t="s">
        <v>765</v>
      </c>
      <c r="D52" s="328" t="s">
        <v>813</v>
      </c>
      <c r="E52" s="329" t="s">
        <v>854</v>
      </c>
      <c r="F52" s="330">
        <v>1</v>
      </c>
      <c r="G52" s="331">
        <v>1789.97</v>
      </c>
      <c r="H52" s="332" t="s">
        <v>1006</v>
      </c>
      <c r="I52" s="331">
        <v>1789.97</v>
      </c>
      <c r="J52" s="389">
        <v>1789.97</v>
      </c>
      <c r="K52" s="333">
        <f t="shared" si="0"/>
        <v>0</v>
      </c>
      <c r="L52" s="329"/>
    </row>
    <row r="53" spans="1:12">
      <c r="A53" s="334"/>
      <c r="B53" s="354">
        <v>2281</v>
      </c>
      <c r="C53" s="328" t="s">
        <v>1146</v>
      </c>
      <c r="D53" s="328" t="s">
        <v>1147</v>
      </c>
      <c r="E53" s="329" t="s">
        <v>855</v>
      </c>
      <c r="F53" s="330">
        <v>1</v>
      </c>
      <c r="G53" s="331">
        <v>2468.88</v>
      </c>
      <c r="H53" s="332">
        <v>1589.16</v>
      </c>
      <c r="I53" s="331">
        <f>SUM(G53:H53)</f>
        <v>4058.04</v>
      </c>
      <c r="J53" s="389">
        <v>4058.04</v>
      </c>
      <c r="K53" s="333"/>
      <c r="L53" s="329"/>
    </row>
    <row r="54" spans="1:12">
      <c r="A54" s="334">
        <v>44</v>
      </c>
      <c r="B54" s="354">
        <v>2001</v>
      </c>
      <c r="C54" s="328" t="s">
        <v>766</v>
      </c>
      <c r="D54" s="338" t="s">
        <v>814</v>
      </c>
      <c r="E54" s="329" t="s">
        <v>854</v>
      </c>
      <c r="F54" s="330">
        <v>1</v>
      </c>
      <c r="G54" s="331">
        <v>1934.9</v>
      </c>
      <c r="H54" s="332" t="s">
        <v>1006</v>
      </c>
      <c r="I54" s="331">
        <v>1934.9</v>
      </c>
      <c r="J54" s="389">
        <v>1934.9</v>
      </c>
      <c r="K54" s="333">
        <f t="shared" si="0"/>
        <v>0</v>
      </c>
      <c r="L54" s="329"/>
    </row>
    <row r="55" spans="1:12">
      <c r="A55" s="334">
        <v>48</v>
      </c>
      <c r="B55" s="354">
        <v>2246</v>
      </c>
      <c r="C55" s="328" t="s">
        <v>769</v>
      </c>
      <c r="D55" s="338" t="s">
        <v>817</v>
      </c>
      <c r="E55" s="329" t="s">
        <v>852</v>
      </c>
      <c r="F55" s="330"/>
      <c r="G55" s="331">
        <v>703.79</v>
      </c>
      <c r="H55" s="332" t="s">
        <v>1006</v>
      </c>
      <c r="I55" s="331">
        <v>703.79</v>
      </c>
      <c r="J55" s="389">
        <v>703.79</v>
      </c>
      <c r="K55" s="333">
        <f t="shared" si="0"/>
        <v>0</v>
      </c>
      <c r="L55" s="188"/>
    </row>
    <row r="56" spans="1:12">
      <c r="A56" s="334"/>
      <c r="B56" s="354">
        <v>2329</v>
      </c>
      <c r="C56" s="328" t="s">
        <v>1070</v>
      </c>
      <c r="D56" s="328" t="s">
        <v>1071</v>
      </c>
      <c r="E56" s="329" t="s">
        <v>854</v>
      </c>
      <c r="F56" s="330">
        <v>1</v>
      </c>
      <c r="G56" s="331">
        <v>579.72</v>
      </c>
      <c r="H56" s="332">
        <v>0</v>
      </c>
      <c r="I56" s="331">
        <v>579.72</v>
      </c>
      <c r="J56" s="389">
        <v>579.72</v>
      </c>
      <c r="K56" s="333">
        <f t="shared" si="0"/>
        <v>0</v>
      </c>
      <c r="L56" s="329"/>
    </row>
    <row r="57" spans="1:12">
      <c r="A57" s="334">
        <v>50</v>
      </c>
      <c r="B57" s="354">
        <v>1692</v>
      </c>
      <c r="C57" s="328" t="s">
        <v>771</v>
      </c>
      <c r="D57" s="338" t="s">
        <v>819</v>
      </c>
      <c r="E57" s="329" t="s">
        <v>852</v>
      </c>
      <c r="F57" s="330"/>
      <c r="G57" s="331">
        <v>2088.7399999999998</v>
      </c>
      <c r="H57" s="332" t="s">
        <v>1006</v>
      </c>
      <c r="I57" s="331">
        <v>2088.7399999999998</v>
      </c>
      <c r="J57" s="333">
        <v>2088.7399999999998</v>
      </c>
      <c r="K57" s="333">
        <f t="shared" si="0"/>
        <v>0</v>
      </c>
      <c r="L57" s="329"/>
    </row>
    <row r="58" spans="1:12">
      <c r="A58" s="334"/>
      <c r="B58" s="354">
        <v>2027</v>
      </c>
      <c r="C58" s="328" t="s">
        <v>771</v>
      </c>
      <c r="D58" s="338" t="s">
        <v>982</v>
      </c>
      <c r="E58" s="329" t="s">
        <v>852</v>
      </c>
      <c r="F58" s="330"/>
      <c r="G58" s="331">
        <v>713.06</v>
      </c>
      <c r="H58" s="332" t="s">
        <v>1006</v>
      </c>
      <c r="I58" s="331">
        <v>713.06</v>
      </c>
      <c r="J58" s="389">
        <v>713.06</v>
      </c>
      <c r="K58" s="333">
        <f t="shared" si="0"/>
        <v>0</v>
      </c>
      <c r="L58" s="329"/>
    </row>
    <row r="59" spans="1:12">
      <c r="A59" s="334"/>
      <c r="B59" s="354">
        <v>2288</v>
      </c>
      <c r="C59" s="328" t="s">
        <v>772</v>
      </c>
      <c r="D59" s="338" t="s">
        <v>820</v>
      </c>
      <c r="E59" s="329" t="s">
        <v>852</v>
      </c>
      <c r="F59" s="330"/>
      <c r="G59" s="331">
        <v>648.71</v>
      </c>
      <c r="H59" s="332" t="s">
        <v>1006</v>
      </c>
      <c r="I59" s="331">
        <v>648.71</v>
      </c>
      <c r="J59" s="389">
        <v>648.71</v>
      </c>
      <c r="K59" s="333">
        <f t="shared" si="0"/>
        <v>0</v>
      </c>
      <c r="L59" s="329" t="s">
        <v>1166</v>
      </c>
    </row>
    <row r="60" spans="1:12">
      <c r="A60" s="334">
        <v>52</v>
      </c>
      <c r="B60" s="354">
        <v>2060</v>
      </c>
      <c r="C60" s="328" t="s">
        <v>487</v>
      </c>
      <c r="D60" s="328" t="s">
        <v>516</v>
      </c>
      <c r="E60" s="329" t="s">
        <v>852</v>
      </c>
      <c r="F60" s="330"/>
      <c r="G60" s="331">
        <v>1182.6400000000001</v>
      </c>
      <c r="H60" s="332" t="s">
        <v>1006</v>
      </c>
      <c r="I60" s="331">
        <v>1182.6400000000001</v>
      </c>
      <c r="J60" s="389">
        <v>1182.6400000000001</v>
      </c>
      <c r="K60" s="333">
        <f t="shared" si="0"/>
        <v>0</v>
      </c>
      <c r="L60" s="329"/>
    </row>
    <row r="61" spans="1:12">
      <c r="A61" s="334">
        <v>54</v>
      </c>
      <c r="B61" s="354">
        <v>1050</v>
      </c>
      <c r="C61" s="328" t="s">
        <v>773</v>
      </c>
      <c r="D61" s="328" t="s">
        <v>821</v>
      </c>
      <c r="E61" s="329" t="s">
        <v>852</v>
      </c>
      <c r="F61" s="330"/>
      <c r="G61" s="331">
        <v>1739.16</v>
      </c>
      <c r="H61" s="332" t="s">
        <v>1006</v>
      </c>
      <c r="I61" s="331">
        <v>1739.16</v>
      </c>
      <c r="J61" s="389">
        <v>1739.16</v>
      </c>
      <c r="K61" s="333">
        <f t="shared" si="0"/>
        <v>0</v>
      </c>
      <c r="L61" s="329"/>
    </row>
    <row r="62" spans="1:12">
      <c r="A62" s="334">
        <v>55</v>
      </c>
      <c r="B62" s="354">
        <v>1964</v>
      </c>
      <c r="C62" s="328" t="s">
        <v>491</v>
      </c>
      <c r="D62" s="328" t="s">
        <v>456</v>
      </c>
      <c r="E62" s="329" t="s">
        <v>852</v>
      </c>
      <c r="F62" s="330"/>
      <c r="G62" s="331">
        <v>947.85</v>
      </c>
      <c r="H62" s="332" t="s">
        <v>1006</v>
      </c>
      <c r="I62" s="331">
        <v>947.85</v>
      </c>
      <c r="J62" s="389">
        <v>947.85</v>
      </c>
      <c r="K62" s="333">
        <f t="shared" si="0"/>
        <v>0</v>
      </c>
      <c r="L62" s="329"/>
    </row>
    <row r="63" spans="1:12">
      <c r="A63" s="334">
        <v>57</v>
      </c>
      <c r="B63" s="354">
        <v>1981</v>
      </c>
      <c r="C63" s="328" t="s">
        <v>774</v>
      </c>
      <c r="D63" s="338" t="s">
        <v>822</v>
      </c>
      <c r="E63" s="329" t="s">
        <v>852</v>
      </c>
      <c r="F63" s="330"/>
      <c r="G63" s="331">
        <v>740.89</v>
      </c>
      <c r="H63" s="332" t="s">
        <v>1006</v>
      </c>
      <c r="I63" s="331">
        <v>740.89</v>
      </c>
      <c r="J63" s="389">
        <v>740.89</v>
      </c>
      <c r="K63" s="333">
        <f t="shared" si="0"/>
        <v>0</v>
      </c>
      <c r="L63" s="329"/>
    </row>
    <row r="64" spans="1:12">
      <c r="A64" s="334">
        <v>56</v>
      </c>
      <c r="B64" s="354">
        <v>1662</v>
      </c>
      <c r="C64" s="328" t="s">
        <v>774</v>
      </c>
      <c r="D64" s="328" t="s">
        <v>823</v>
      </c>
      <c r="E64" s="329" t="s">
        <v>852</v>
      </c>
      <c r="F64" s="330"/>
      <c r="G64" s="331">
        <v>989.01</v>
      </c>
      <c r="H64" s="332" t="s">
        <v>1006</v>
      </c>
      <c r="I64" s="331">
        <v>989.01</v>
      </c>
      <c r="J64" s="389">
        <v>989.01</v>
      </c>
      <c r="K64" s="333">
        <f t="shared" si="0"/>
        <v>0</v>
      </c>
      <c r="L64" s="329"/>
    </row>
    <row r="65" spans="1:16">
      <c r="A65" s="334"/>
      <c r="B65" s="354">
        <v>2339</v>
      </c>
      <c r="C65" s="328" t="s">
        <v>775</v>
      </c>
      <c r="D65" s="328" t="s">
        <v>1110</v>
      </c>
      <c r="E65" s="329" t="s">
        <v>854</v>
      </c>
      <c r="F65" s="330">
        <v>1</v>
      </c>
      <c r="G65" s="331">
        <v>1568.73</v>
      </c>
      <c r="H65" s="332">
        <v>0</v>
      </c>
      <c r="I65" s="331">
        <v>1568.73</v>
      </c>
      <c r="J65" s="389">
        <v>1568.73</v>
      </c>
      <c r="K65" s="333">
        <f t="shared" si="0"/>
        <v>0</v>
      </c>
      <c r="L65" s="329"/>
    </row>
    <row r="66" spans="1:16">
      <c r="A66" s="334">
        <v>58</v>
      </c>
      <c r="B66" s="354">
        <v>1630</v>
      </c>
      <c r="C66" s="328" t="s">
        <v>775</v>
      </c>
      <c r="D66" s="338" t="s">
        <v>824</v>
      </c>
      <c r="E66" s="329" t="s">
        <v>852</v>
      </c>
      <c r="F66" s="330"/>
      <c r="G66" s="331">
        <v>1352.5</v>
      </c>
      <c r="H66" s="332" t="s">
        <v>1006</v>
      </c>
      <c r="I66" s="331">
        <v>1352.5</v>
      </c>
      <c r="J66" s="389">
        <v>1352.5</v>
      </c>
      <c r="K66" s="333">
        <f t="shared" si="0"/>
        <v>0</v>
      </c>
      <c r="L66" s="329"/>
    </row>
    <row r="67" spans="1:16">
      <c r="A67" s="334">
        <v>61</v>
      </c>
      <c r="B67" s="354">
        <v>2010</v>
      </c>
      <c r="C67" s="328" t="s">
        <v>777</v>
      </c>
      <c r="D67" s="328" t="s">
        <v>826</v>
      </c>
      <c r="E67" s="329" t="s">
        <v>852</v>
      </c>
      <c r="F67" s="330"/>
      <c r="G67" s="331">
        <v>1131.6199999999999</v>
      </c>
      <c r="H67" s="332" t="s">
        <v>1006</v>
      </c>
      <c r="I67" s="331">
        <v>1131.6199999999999</v>
      </c>
      <c r="J67" s="389">
        <v>1131.6199999999999</v>
      </c>
      <c r="K67" s="333">
        <f t="shared" si="0"/>
        <v>0</v>
      </c>
      <c r="L67" s="329"/>
    </row>
    <row r="68" spans="1:16">
      <c r="A68" s="334">
        <v>60</v>
      </c>
      <c r="B68" s="354">
        <v>2187</v>
      </c>
      <c r="C68" s="328" t="s">
        <v>777</v>
      </c>
      <c r="D68" s="328" t="s">
        <v>827</v>
      </c>
      <c r="E68" s="329" t="s">
        <v>853</v>
      </c>
      <c r="F68" s="330">
        <v>2</v>
      </c>
      <c r="G68" s="331">
        <v>2082.5100000000002</v>
      </c>
      <c r="H68" s="332" t="s">
        <v>1006</v>
      </c>
      <c r="I68" s="391">
        <v>2082.5100000000002</v>
      </c>
      <c r="J68" s="389">
        <v>2082.5100000000002</v>
      </c>
      <c r="K68" s="333">
        <f t="shared" si="0"/>
        <v>0</v>
      </c>
      <c r="L68" s="329"/>
    </row>
    <row r="69" spans="1:16">
      <c r="A69" s="334">
        <v>63</v>
      </c>
      <c r="B69" s="354">
        <v>2064</v>
      </c>
      <c r="C69" s="328" t="s">
        <v>778</v>
      </c>
      <c r="D69" s="338" t="s">
        <v>829</v>
      </c>
      <c r="E69" s="341" t="s">
        <v>856</v>
      </c>
      <c r="F69" s="330">
        <v>2</v>
      </c>
      <c r="G69" s="331">
        <v>1797.13</v>
      </c>
      <c r="H69" s="332">
        <v>659.88</v>
      </c>
      <c r="I69" s="332">
        <f>SUM(G69:H69)</f>
        <v>2457.0100000000002</v>
      </c>
      <c r="J69" s="333">
        <v>2457.0100000000002</v>
      </c>
      <c r="K69" s="333">
        <f t="shared" si="0"/>
        <v>0</v>
      </c>
      <c r="L69" s="329"/>
    </row>
    <row r="70" spans="1:16">
      <c r="A70" s="334"/>
      <c r="B70" s="354">
        <v>2335</v>
      </c>
      <c r="C70" s="328" t="s">
        <v>870</v>
      </c>
      <c r="D70" s="338" t="s">
        <v>1081</v>
      </c>
      <c r="E70" s="382" t="s">
        <v>852</v>
      </c>
      <c r="F70" s="330"/>
      <c r="G70" s="331">
        <v>607.54999999999995</v>
      </c>
      <c r="H70" s="332">
        <v>0</v>
      </c>
      <c r="I70" s="331">
        <v>607.54999999999995</v>
      </c>
      <c r="J70" s="389">
        <v>607.54999999999995</v>
      </c>
      <c r="K70" s="333">
        <v>0</v>
      </c>
      <c r="L70" s="329"/>
    </row>
    <row r="71" spans="1:16">
      <c r="A71" s="7"/>
      <c r="B71" s="66">
        <v>2089</v>
      </c>
      <c r="C71" s="29" t="s">
        <v>870</v>
      </c>
      <c r="D71" s="29" t="s">
        <v>1007</v>
      </c>
      <c r="E71" s="410" t="s">
        <v>852</v>
      </c>
      <c r="F71" s="411"/>
      <c r="G71" s="331">
        <v>703.79</v>
      </c>
      <c r="H71" s="331">
        <v>0</v>
      </c>
      <c r="I71" s="331">
        <v>703.79</v>
      </c>
      <c r="J71" s="389">
        <v>703.79</v>
      </c>
      <c r="K71" s="333">
        <v>0</v>
      </c>
      <c r="L71" s="418" t="s">
        <v>1166</v>
      </c>
      <c r="M71" s="216"/>
      <c r="O71" s="15"/>
      <c r="P71" s="15"/>
    </row>
    <row r="72" spans="1:16">
      <c r="A72" s="7"/>
      <c r="B72" s="66"/>
      <c r="C72" s="29"/>
      <c r="D72" s="29"/>
      <c r="E72" s="410"/>
      <c r="F72" s="411"/>
      <c r="G72" s="412"/>
      <c r="H72" s="413"/>
      <c r="I72" s="412"/>
      <c r="J72" s="414"/>
      <c r="K72" s="414"/>
      <c r="L72" s="385"/>
      <c r="M72" s="216"/>
      <c r="O72" s="15"/>
      <c r="P72" s="15"/>
    </row>
    <row r="73" spans="1:16">
      <c r="A73" s="7"/>
      <c r="B73" s="66"/>
      <c r="C73" s="29"/>
      <c r="D73" s="29"/>
      <c r="E73" s="410"/>
      <c r="F73" s="411"/>
      <c r="G73" s="412"/>
      <c r="H73" s="413"/>
      <c r="I73" s="412"/>
      <c r="J73" s="414"/>
      <c r="K73" s="414"/>
      <c r="L73" s="385"/>
      <c r="M73" s="216"/>
      <c r="O73" s="15"/>
      <c r="P73" s="15"/>
    </row>
    <row r="74" spans="1:16">
      <c r="A74" s="7"/>
      <c r="B74" s="354"/>
      <c r="C74" s="328"/>
      <c r="D74" s="338"/>
      <c r="E74" s="329"/>
      <c r="F74" s="330"/>
      <c r="G74" s="331"/>
      <c r="H74" s="412"/>
      <c r="I74" s="331"/>
      <c r="J74" s="331"/>
      <c r="K74" s="333"/>
      <c r="L74" s="196"/>
      <c r="M74" s="216"/>
      <c r="O74" s="15"/>
      <c r="P74" s="15"/>
    </row>
    <row r="75" spans="1:16">
      <c r="A75" s="7"/>
      <c r="B75" s="354"/>
      <c r="C75" s="328"/>
      <c r="D75" s="338"/>
      <c r="E75" s="329"/>
      <c r="F75" s="330"/>
      <c r="G75" s="331"/>
      <c r="H75" s="412"/>
      <c r="I75" s="331"/>
      <c r="J75" s="331"/>
      <c r="K75" s="333"/>
      <c r="L75" s="196"/>
      <c r="M75" s="216"/>
      <c r="O75" s="15"/>
      <c r="P75" s="15"/>
    </row>
    <row r="76" spans="1:16">
      <c r="A76" s="7"/>
      <c r="B76" s="354"/>
      <c r="C76" s="328"/>
      <c r="D76" s="338"/>
      <c r="E76" s="329"/>
      <c r="F76" s="330"/>
      <c r="G76" s="331"/>
      <c r="H76" s="413">
        <f>SUM(H13:H71)</f>
        <v>3915.62</v>
      </c>
      <c r="I76" s="331" t="s">
        <v>1113</v>
      </c>
      <c r="J76" s="415">
        <f>SUM(J74:J74)</f>
        <v>0</v>
      </c>
      <c r="K76" s="333"/>
      <c r="L76" s="385"/>
      <c r="M76" s="216"/>
      <c r="O76" s="15"/>
      <c r="P76" s="15"/>
    </row>
    <row r="77" spans="1:16">
      <c r="A77" s="438" t="s">
        <v>652</v>
      </c>
      <c r="B77" s="439"/>
      <c r="C77" s="439"/>
      <c r="D77" s="439"/>
      <c r="E77" s="439"/>
      <c r="F77" s="439"/>
      <c r="G77" s="440"/>
      <c r="H77" s="347"/>
      <c r="I77" s="348">
        <f>SUM(I5:I70)</f>
        <v>84091.160000000018</v>
      </c>
      <c r="J77" s="383">
        <f>SUM(J5:J71)</f>
        <v>84794.940000000017</v>
      </c>
      <c r="K77" s="383"/>
      <c r="L77" s="386"/>
    </row>
    <row r="78" spans="1:16">
      <c r="A78" s="441" t="s">
        <v>1028</v>
      </c>
      <c r="B78" s="442"/>
      <c r="C78" s="443"/>
      <c r="D78" s="351"/>
      <c r="E78" s="352" t="s">
        <v>258</v>
      </c>
      <c r="F78" s="334">
        <v>73</v>
      </c>
      <c r="G78" s="329" t="s">
        <v>1029</v>
      </c>
      <c r="H78" s="351"/>
      <c r="I78" s="352" t="s">
        <v>258</v>
      </c>
      <c r="J78" s="343">
        <v>74</v>
      </c>
      <c r="K78" s="343"/>
      <c r="L78" s="161"/>
    </row>
    <row r="79" spans="1:16">
      <c r="A79" s="353"/>
      <c r="B79" s="352"/>
      <c r="C79" s="351"/>
      <c r="D79" s="351"/>
      <c r="E79" s="351" t="s">
        <v>930</v>
      </c>
      <c r="F79" s="330">
        <v>4</v>
      </c>
      <c r="G79" s="329"/>
      <c r="H79" s="351"/>
      <c r="I79" s="351" t="s">
        <v>930</v>
      </c>
      <c r="J79" s="343">
        <v>4</v>
      </c>
      <c r="K79" s="343"/>
      <c r="L79" s="161"/>
    </row>
    <row r="80" spans="1:16">
      <c r="A80" s="441"/>
      <c r="B80" s="442"/>
      <c r="C80" s="443"/>
      <c r="D80" s="351"/>
      <c r="E80" s="352" t="s">
        <v>931</v>
      </c>
      <c r="F80" s="355">
        <v>26</v>
      </c>
      <c r="G80" s="329"/>
      <c r="H80" s="351"/>
      <c r="I80" s="352" t="s">
        <v>931</v>
      </c>
      <c r="J80" s="343">
        <v>26</v>
      </c>
      <c r="K80" s="343"/>
      <c r="L80" s="161"/>
    </row>
    <row r="81" spans="1:20">
      <c r="A81" s="444"/>
      <c r="B81" s="445"/>
      <c r="C81" s="446"/>
      <c r="D81" s="356"/>
      <c r="E81" s="357" t="s">
        <v>246</v>
      </c>
      <c r="F81" s="358">
        <v>103</v>
      </c>
      <c r="G81" s="329"/>
      <c r="H81" s="393"/>
      <c r="I81" s="394" t="s">
        <v>246</v>
      </c>
      <c r="J81" s="395">
        <v>104</v>
      </c>
      <c r="K81" s="395"/>
      <c r="L81" s="161"/>
    </row>
    <row r="82" spans="1:20">
      <c r="A82" s="447" t="s">
        <v>830</v>
      </c>
      <c r="B82" s="448"/>
      <c r="C82" s="448"/>
      <c r="D82" s="448"/>
      <c r="E82" s="448"/>
      <c r="F82" s="448"/>
      <c r="G82" s="448"/>
      <c r="H82" s="381"/>
      <c r="I82" s="381"/>
      <c r="J82" s="396"/>
      <c r="K82" s="396"/>
      <c r="L82" s="392"/>
      <c r="N82" s="15"/>
    </row>
    <row r="83" spans="1:20">
      <c r="A83" s="334"/>
      <c r="B83" s="354">
        <v>1970</v>
      </c>
      <c r="C83" s="328" t="s">
        <v>747</v>
      </c>
      <c r="D83" s="338" t="s">
        <v>787</v>
      </c>
      <c r="E83" s="329" t="s">
        <v>854</v>
      </c>
      <c r="F83" s="330">
        <v>1</v>
      </c>
      <c r="G83" s="331">
        <v>-150</v>
      </c>
      <c r="H83" s="332">
        <v>-618.14</v>
      </c>
      <c r="I83" s="331">
        <f>H83+G83</f>
        <v>-768.14</v>
      </c>
      <c r="J83" s="331">
        <v>-768.14</v>
      </c>
      <c r="K83" s="333">
        <f t="shared" ref="K83:K86" si="1">I83-J83</f>
        <v>0</v>
      </c>
      <c r="L83" s="161" t="s">
        <v>1168</v>
      </c>
      <c r="M83" s="362"/>
      <c r="N83" s="363"/>
      <c r="O83" s="362"/>
      <c r="P83" s="362"/>
      <c r="Q83" s="362"/>
      <c r="R83" s="362"/>
      <c r="S83" s="362"/>
      <c r="T83" s="362"/>
    </row>
    <row r="84" spans="1:20">
      <c r="A84" s="334"/>
      <c r="B84" s="354">
        <v>2324</v>
      </c>
      <c r="C84" s="328" t="s">
        <v>1170</v>
      </c>
      <c r="D84" s="338" t="s">
        <v>1171</v>
      </c>
      <c r="E84" s="329" t="s">
        <v>852</v>
      </c>
      <c r="F84" s="330"/>
      <c r="G84" s="331">
        <v>582.04</v>
      </c>
      <c r="H84" s="332">
        <v>0</v>
      </c>
      <c r="I84" s="331">
        <v>582.04</v>
      </c>
      <c r="J84" s="335">
        <v>582.04</v>
      </c>
      <c r="K84" s="333">
        <f t="shared" si="1"/>
        <v>0</v>
      </c>
      <c r="L84" s="161" t="s">
        <v>1166</v>
      </c>
      <c r="M84" s="362"/>
      <c r="N84" s="363"/>
      <c r="O84" s="362"/>
      <c r="P84" s="362"/>
      <c r="Q84" s="362"/>
      <c r="R84" s="362"/>
      <c r="S84" s="362"/>
      <c r="T84" s="362"/>
    </row>
    <row r="85" spans="1:20">
      <c r="A85" s="334"/>
      <c r="B85" s="354">
        <v>2288</v>
      </c>
      <c r="C85" s="328" t="s">
        <v>772</v>
      </c>
      <c r="D85" s="338" t="s">
        <v>820</v>
      </c>
      <c r="E85" s="329" t="s">
        <v>852</v>
      </c>
      <c r="F85" s="330"/>
      <c r="G85" s="331">
        <v>648.71</v>
      </c>
      <c r="H85" s="332" t="s">
        <v>1006</v>
      </c>
      <c r="I85" s="331">
        <v>648.71</v>
      </c>
      <c r="J85" s="389">
        <v>648.71</v>
      </c>
      <c r="K85" s="333">
        <f t="shared" si="1"/>
        <v>0</v>
      </c>
      <c r="L85" s="329" t="s">
        <v>1166</v>
      </c>
      <c r="M85" s="362"/>
      <c r="N85" s="363"/>
      <c r="O85" s="362"/>
      <c r="P85" s="362"/>
      <c r="Q85" s="362"/>
      <c r="R85" s="362"/>
      <c r="S85" s="362"/>
      <c r="T85" s="362"/>
    </row>
    <row r="86" spans="1:20">
      <c r="A86" s="334"/>
      <c r="B86" s="354">
        <v>2288</v>
      </c>
      <c r="C86" s="328" t="s">
        <v>772</v>
      </c>
      <c r="D86" s="338" t="s">
        <v>820</v>
      </c>
      <c r="E86" s="329" t="s">
        <v>852</v>
      </c>
      <c r="F86" s="330"/>
      <c r="G86" s="331">
        <v>-648.71</v>
      </c>
      <c r="H86" s="412"/>
      <c r="I86" s="331">
        <v>-648.71</v>
      </c>
      <c r="J86" s="331">
        <v>-648.71</v>
      </c>
      <c r="K86" s="333">
        <f t="shared" si="1"/>
        <v>0</v>
      </c>
      <c r="L86" s="196" t="s">
        <v>1172</v>
      </c>
      <c r="M86" s="362"/>
      <c r="N86" s="363"/>
      <c r="O86" s="362"/>
      <c r="P86" s="362"/>
      <c r="Q86" s="362"/>
      <c r="R86" s="362"/>
      <c r="S86" s="362"/>
      <c r="T86" s="362"/>
    </row>
    <row r="87" spans="1:20">
      <c r="A87" s="334"/>
      <c r="B87" s="66"/>
      <c r="C87" s="29"/>
      <c r="D87" s="29"/>
      <c r="E87" s="410"/>
      <c r="F87" s="411"/>
      <c r="G87" s="331"/>
      <c r="H87" s="331"/>
      <c r="I87" s="331"/>
      <c r="J87" s="389"/>
      <c r="K87" s="333"/>
      <c r="L87" s="418"/>
      <c r="M87" s="362"/>
      <c r="N87" s="363"/>
      <c r="O87" s="362"/>
      <c r="P87" s="362"/>
      <c r="Q87" s="362"/>
      <c r="R87" s="362"/>
      <c r="S87" s="362"/>
      <c r="T87" s="362"/>
    </row>
    <row r="88" spans="1:20">
      <c r="A88" s="334"/>
      <c r="B88" s="66"/>
      <c r="C88" s="29"/>
      <c r="D88" s="29"/>
      <c r="E88" s="410"/>
      <c r="F88" s="411"/>
      <c r="G88" s="331"/>
      <c r="H88" s="331"/>
      <c r="I88" s="331"/>
      <c r="J88" s="389"/>
      <c r="K88" s="333"/>
      <c r="L88" s="418"/>
      <c r="M88" s="362"/>
      <c r="N88" s="363"/>
      <c r="O88" s="362"/>
      <c r="P88" s="362"/>
      <c r="Q88" s="362"/>
      <c r="R88" s="362"/>
      <c r="S88" s="362"/>
      <c r="T88" s="362"/>
    </row>
    <row r="89" spans="1:20">
      <c r="A89" s="334"/>
      <c r="B89" s="354"/>
      <c r="C89" s="328"/>
      <c r="D89" s="328"/>
      <c r="E89" s="329"/>
      <c r="F89" s="330"/>
      <c r="G89" s="409"/>
      <c r="H89" s="332"/>
      <c r="I89" s="409"/>
      <c r="J89" s="409"/>
      <c r="K89" s="333"/>
      <c r="L89" s="196"/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/>
      <c r="C90" s="328"/>
      <c r="D90" s="328"/>
      <c r="E90" s="329"/>
      <c r="F90" s="330"/>
      <c r="G90" s="409"/>
      <c r="H90" s="332"/>
      <c r="I90" s="409"/>
      <c r="J90" s="409"/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28"/>
      <c r="E91" s="329"/>
      <c r="F91" s="330"/>
      <c r="G91" s="409"/>
      <c r="H91" s="332"/>
      <c r="I91" s="409"/>
      <c r="J91" s="409"/>
      <c r="K91" s="333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28"/>
      <c r="E92" s="329"/>
      <c r="F92" s="330"/>
      <c r="G92" s="409"/>
      <c r="H92" s="332"/>
      <c r="I92" s="409"/>
      <c r="J92" s="409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28"/>
      <c r="E93" s="329"/>
      <c r="F93" s="330"/>
      <c r="G93" s="409"/>
      <c r="H93" s="332"/>
      <c r="I93" s="409"/>
      <c r="J93" s="40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28"/>
      <c r="E94" s="329"/>
      <c r="F94" s="330"/>
      <c r="G94" s="409"/>
      <c r="H94" s="332"/>
      <c r="I94" s="409"/>
      <c r="J94" s="40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28"/>
      <c r="E95" s="329"/>
      <c r="F95" s="330"/>
      <c r="G95" s="331"/>
      <c r="H95" s="332"/>
      <c r="I95" s="332"/>
      <c r="J95" s="333"/>
      <c r="K95" s="333"/>
      <c r="L95" s="161"/>
      <c r="N95" s="15"/>
    </row>
    <row r="96" spans="1:20">
      <c r="A96" s="438" t="s">
        <v>846</v>
      </c>
      <c r="B96" s="439"/>
      <c r="C96" s="439"/>
      <c r="D96" s="439"/>
      <c r="E96" s="439"/>
      <c r="F96" s="439"/>
      <c r="G96" s="440"/>
      <c r="H96" s="348">
        <f>SUM(H83:H95)</f>
        <v>-618.14</v>
      </c>
      <c r="I96" s="347"/>
      <c r="J96" s="348">
        <f>SUM(J83:J95)</f>
        <v>-186.10000000000002</v>
      </c>
      <c r="K96" s="406"/>
      <c r="L96" s="402"/>
    </row>
    <row r="97" spans="1:20">
      <c r="A97" s="365"/>
      <c r="B97" s="366"/>
      <c r="C97" s="366"/>
      <c r="D97" s="366"/>
      <c r="E97" s="366"/>
      <c r="F97" s="367"/>
      <c r="G97" s="368"/>
      <c r="H97" s="368"/>
      <c r="I97" s="368"/>
      <c r="J97" s="349"/>
      <c r="K97" s="383"/>
      <c r="L97" s="364"/>
    </row>
    <row r="98" spans="1:20" ht="16">
      <c r="A98" s="435" t="s">
        <v>881</v>
      </c>
      <c r="B98" s="436"/>
      <c r="C98" s="436"/>
      <c r="D98" s="436"/>
      <c r="E98" s="436"/>
      <c r="F98" s="436"/>
      <c r="G98" s="437"/>
      <c r="H98" s="369"/>
      <c r="I98" s="369"/>
      <c r="J98" s="370">
        <f>SUM(J77,J96)</f>
        <v>84608.840000000011</v>
      </c>
      <c r="K98" s="407"/>
      <c r="L98" s="350"/>
    </row>
    <row r="99" spans="1:20" ht="18">
      <c r="F99" s="3"/>
      <c r="G99" s="371" t="s">
        <v>1013</v>
      </c>
      <c r="H99" s="372">
        <v>45980</v>
      </c>
    </row>
    <row r="100" spans="1:20" ht="18">
      <c r="F100" s="3"/>
      <c r="G100" s="371" t="s">
        <v>1014</v>
      </c>
      <c r="H100" s="373" t="s">
        <v>990</v>
      </c>
      <c r="I100" s="373"/>
    </row>
    <row r="101" spans="1:20">
      <c r="F101" s="3"/>
      <c r="G101" s="216"/>
      <c r="H101" s="216"/>
      <c r="I101" s="216"/>
      <c r="J101" s="3"/>
      <c r="K101" s="3"/>
      <c r="L101" s="15"/>
      <c r="M101" s="216"/>
    </row>
    <row r="102" spans="1:20">
      <c r="F102" s="3"/>
      <c r="G102" s="216"/>
      <c r="H102" s="269"/>
      <c r="I102" s="216"/>
      <c r="J102" s="270"/>
      <c r="K102" s="270"/>
      <c r="L102" s="15"/>
      <c r="M102" s="216"/>
    </row>
    <row r="103" spans="1:20">
      <c r="F103" s="3"/>
      <c r="G103" s="216"/>
      <c r="H103" s="269" t="s">
        <v>1145</v>
      </c>
      <c r="I103" s="216" t="s">
        <v>1144</v>
      </c>
      <c r="J103" s="270" t="s">
        <v>1112</v>
      </c>
      <c r="K103" s="270"/>
      <c r="L103" s="15"/>
      <c r="M103" s="216"/>
    </row>
    <row r="104" spans="1:20">
      <c r="F104" s="3"/>
      <c r="G104" s="216"/>
      <c r="H104" s="388">
        <f>SUM(H76,H96)</f>
        <v>3297.48</v>
      </c>
      <c r="I104" s="269">
        <f>J98-H104</f>
        <v>81311.360000000015</v>
      </c>
      <c r="J104" s="270">
        <f>SUM(J74:J74)</f>
        <v>0</v>
      </c>
      <c r="K104" s="3"/>
      <c r="L104" s="15"/>
      <c r="M104" s="216"/>
    </row>
    <row r="105" spans="1:20">
      <c r="F105" s="3"/>
      <c r="G105" s="216"/>
      <c r="H105" s="216"/>
      <c r="I105" s="216"/>
      <c r="J105" s="3"/>
      <c r="K105" s="3"/>
      <c r="L105" s="15"/>
      <c r="M105" s="216"/>
      <c r="Q105" s="3"/>
      <c r="R105" s="3"/>
      <c r="S105" s="3"/>
      <c r="T105" s="3"/>
    </row>
  </sheetData>
  <mergeCells count="7">
    <mergeCell ref="A98:G98"/>
    <mergeCell ref="A77:G77"/>
    <mergeCell ref="A78:C78"/>
    <mergeCell ref="A80:C80"/>
    <mergeCell ref="A81:C81"/>
    <mergeCell ref="A82:G82"/>
    <mergeCell ref="A96:G9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6C06-BAB3-9D4D-BBD3-7C9A825B0D6A}">
  <dimension ref="A1:T106"/>
  <sheetViews>
    <sheetView zoomScale="160" zoomScaleNormal="160" workbookViewId="0">
      <selection sqref="A1:XFD1048576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18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45931</v>
      </c>
      <c r="K2" s="405"/>
      <c r="L2" s="315" t="s">
        <v>1160</v>
      </c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67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>
        <v>3</v>
      </c>
      <c r="B8" s="375">
        <v>2261</v>
      </c>
      <c r="C8" s="328" t="s">
        <v>744</v>
      </c>
      <c r="D8" s="329" t="s">
        <v>781</v>
      </c>
      <c r="E8" s="329" t="s">
        <v>853</v>
      </c>
      <c r="F8" s="330">
        <v>2</v>
      </c>
      <c r="G8" s="331">
        <v>2063.59</v>
      </c>
      <c r="H8" s="332" t="s">
        <v>1006</v>
      </c>
      <c r="I8" s="331">
        <v>2063.59</v>
      </c>
      <c r="J8" s="389">
        <v>2063.59</v>
      </c>
      <c r="K8" s="333">
        <f t="shared" si="0"/>
        <v>0</v>
      </c>
      <c r="L8" s="329"/>
    </row>
    <row r="9" spans="1:20">
      <c r="A9" s="334">
        <v>4</v>
      </c>
      <c r="B9" s="354">
        <v>2081</v>
      </c>
      <c r="C9" s="328" t="s">
        <v>462</v>
      </c>
      <c r="D9" s="328" t="s">
        <v>425</v>
      </c>
      <c r="E9" s="329" t="s">
        <v>854</v>
      </c>
      <c r="F9" s="330">
        <v>1</v>
      </c>
      <c r="G9" s="409">
        <v>1418.36</v>
      </c>
      <c r="H9" s="332" t="s">
        <v>1006</v>
      </c>
      <c r="I9" s="409">
        <v>1418.36</v>
      </c>
      <c r="J9" s="409">
        <v>1418.36</v>
      </c>
      <c r="K9" s="333">
        <f t="shared" si="0"/>
        <v>0</v>
      </c>
      <c r="L9" s="329"/>
    </row>
    <row r="10" spans="1:20">
      <c r="A10" s="334"/>
      <c r="B10" s="354">
        <v>2341</v>
      </c>
      <c r="C10" s="328" t="s">
        <v>460</v>
      </c>
      <c r="D10" s="328" t="s">
        <v>1102</v>
      </c>
      <c r="E10" s="329" t="s">
        <v>852</v>
      </c>
      <c r="F10" s="330"/>
      <c r="G10" s="331">
        <v>1035.3900000000001</v>
      </c>
      <c r="H10" s="332">
        <v>0</v>
      </c>
      <c r="I10" s="331">
        <v>1035.3900000000001</v>
      </c>
      <c r="J10" s="389">
        <v>1035.3900000000001</v>
      </c>
      <c r="K10" s="333">
        <f t="shared" si="0"/>
        <v>0</v>
      </c>
      <c r="L10" s="329"/>
    </row>
    <row r="11" spans="1:20">
      <c r="A11" s="334">
        <v>6</v>
      </c>
      <c r="B11" s="354">
        <v>1593</v>
      </c>
      <c r="C11" s="328" t="s">
        <v>460</v>
      </c>
      <c r="D11" s="328" t="s">
        <v>426</v>
      </c>
      <c r="E11" s="329" t="s">
        <v>852</v>
      </c>
      <c r="F11" s="330"/>
      <c r="G11" s="331">
        <v>1629.03</v>
      </c>
      <c r="H11" s="332" t="s">
        <v>1006</v>
      </c>
      <c r="I11" s="331">
        <v>1629.03</v>
      </c>
      <c r="J11" s="389">
        <v>1629.03</v>
      </c>
      <c r="K11" s="333">
        <f t="shared" si="0"/>
        <v>0</v>
      </c>
      <c r="L11" s="329"/>
    </row>
    <row r="12" spans="1:20">
      <c r="A12" s="334"/>
      <c r="B12" s="354">
        <v>2285</v>
      </c>
      <c r="C12" s="328" t="s">
        <v>745</v>
      </c>
      <c r="D12" s="328" t="s">
        <v>1117</v>
      </c>
      <c r="E12" s="329" t="s">
        <v>852</v>
      </c>
      <c r="F12" s="330"/>
      <c r="G12" s="331">
        <v>593.64</v>
      </c>
      <c r="H12" s="332"/>
      <c r="I12" s="331">
        <v>593.64</v>
      </c>
      <c r="J12" s="389">
        <v>593.64</v>
      </c>
      <c r="K12" s="333"/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703.79</v>
      </c>
      <c r="H13" s="332" t="s">
        <v>1006</v>
      </c>
      <c r="I13" s="331">
        <v>703.79</v>
      </c>
      <c r="J13" s="389">
        <v>703.79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989.01</v>
      </c>
      <c r="H14" s="332" t="s">
        <v>1006</v>
      </c>
      <c r="I14" s="331">
        <v>989.01</v>
      </c>
      <c r="J14" s="389">
        <v>989.01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740.89</v>
      </c>
      <c r="H15" s="332" t="s">
        <v>1006</v>
      </c>
      <c r="I15" s="331">
        <v>740.89</v>
      </c>
      <c r="J15" s="389">
        <v>740.89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717.7</v>
      </c>
      <c r="H16" s="332" t="s">
        <v>1006</v>
      </c>
      <c r="I16" s="331">
        <v>717.7</v>
      </c>
      <c r="J16" s="389">
        <v>717.7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1348.64</v>
      </c>
      <c r="H17" s="332">
        <v>604.79999999999995</v>
      </c>
      <c r="I17" s="332">
        <v>1953.45</v>
      </c>
      <c r="J17" s="333">
        <v>1953.45</v>
      </c>
      <c r="K17" s="333">
        <f t="shared" si="0"/>
        <v>0</v>
      </c>
      <c r="L17" s="329"/>
    </row>
    <row r="18" spans="1:20">
      <c r="A18" s="334"/>
      <c r="B18" s="354">
        <v>2308</v>
      </c>
      <c r="C18" s="328" t="s">
        <v>1118</v>
      </c>
      <c r="D18" s="328" t="s">
        <v>1119</v>
      </c>
      <c r="E18" s="382" t="s">
        <v>852</v>
      </c>
      <c r="F18" s="330"/>
      <c r="G18" s="331">
        <v>947.85</v>
      </c>
      <c r="H18" s="332">
        <v>0</v>
      </c>
      <c r="I18" s="332">
        <v>947.85</v>
      </c>
      <c r="J18" s="389">
        <v>947.85</v>
      </c>
      <c r="K18" s="333"/>
      <c r="L18" s="329"/>
    </row>
    <row r="19" spans="1:20">
      <c r="A19" s="334"/>
      <c r="B19" s="354">
        <v>2350</v>
      </c>
      <c r="C19" s="328" t="s">
        <v>1163</v>
      </c>
      <c r="D19" s="328" t="s">
        <v>1164</v>
      </c>
      <c r="E19" s="382" t="s">
        <v>852</v>
      </c>
      <c r="F19" s="330"/>
      <c r="G19" s="331">
        <v>630.16</v>
      </c>
      <c r="H19" s="332">
        <v>0</v>
      </c>
      <c r="I19" s="332">
        <v>630.16</v>
      </c>
      <c r="J19" s="389">
        <v>630.16</v>
      </c>
      <c r="K19" s="333"/>
      <c r="L19" s="329" t="s">
        <v>1165</v>
      </c>
    </row>
    <row r="20" spans="1:20">
      <c r="A20" s="334">
        <v>11</v>
      </c>
      <c r="B20" s="354">
        <v>1721</v>
      </c>
      <c r="C20" s="328" t="s">
        <v>746</v>
      </c>
      <c r="D20" s="328" t="s">
        <v>785</v>
      </c>
      <c r="E20" s="329" t="s">
        <v>854</v>
      </c>
      <c r="F20" s="330">
        <v>1</v>
      </c>
      <c r="G20" s="331">
        <v>1665.55</v>
      </c>
      <c r="H20" s="332" t="s">
        <v>1006</v>
      </c>
      <c r="I20" s="331">
        <v>1665.55</v>
      </c>
      <c r="J20" s="389">
        <v>1665.55</v>
      </c>
      <c r="K20" s="333">
        <f t="shared" si="0"/>
        <v>0</v>
      </c>
      <c r="L20" s="161"/>
    </row>
    <row r="21" spans="1:20">
      <c r="A21" s="334">
        <v>12</v>
      </c>
      <c r="B21" s="354">
        <v>2123</v>
      </c>
      <c r="C21" s="328" t="s">
        <v>746</v>
      </c>
      <c r="D21" s="328" t="s">
        <v>786</v>
      </c>
      <c r="E21" s="329" t="s">
        <v>852</v>
      </c>
      <c r="F21" s="330"/>
      <c r="G21" s="331">
        <v>754.8</v>
      </c>
      <c r="H21" s="332" t="s">
        <v>1006</v>
      </c>
      <c r="I21" s="331">
        <v>754.8</v>
      </c>
      <c r="J21" s="389">
        <v>754.8</v>
      </c>
      <c r="K21" s="333">
        <f t="shared" si="0"/>
        <v>0</v>
      </c>
      <c r="L21" s="161"/>
    </row>
    <row r="22" spans="1:20">
      <c r="A22" s="334">
        <v>13</v>
      </c>
      <c r="B22" s="354">
        <v>1970</v>
      </c>
      <c r="C22" s="328" t="s">
        <v>747</v>
      </c>
      <c r="D22" s="338" t="s">
        <v>787</v>
      </c>
      <c r="E22" s="329" t="s">
        <v>854</v>
      </c>
      <c r="F22" s="330">
        <v>1</v>
      </c>
      <c r="G22" s="331">
        <v>1320.82</v>
      </c>
      <c r="H22" s="332">
        <v>618.14</v>
      </c>
      <c r="I22" s="331">
        <f>H22+G22</f>
        <v>1938.96</v>
      </c>
      <c r="J22" s="389">
        <v>1938.96</v>
      </c>
      <c r="K22" s="333">
        <f t="shared" si="0"/>
        <v>0</v>
      </c>
      <c r="L22" s="161"/>
    </row>
    <row r="23" spans="1:20">
      <c r="A23" s="334">
        <v>14</v>
      </c>
      <c r="B23" s="376" t="s">
        <v>934</v>
      </c>
      <c r="C23" s="328" t="s">
        <v>932</v>
      </c>
      <c r="D23" s="338" t="s">
        <v>933</v>
      </c>
      <c r="E23" s="329" t="s">
        <v>851</v>
      </c>
      <c r="F23" s="330"/>
      <c r="G23" s="331">
        <v>808</v>
      </c>
      <c r="H23" s="332">
        <v>480.16</v>
      </c>
      <c r="I23" s="332">
        <f>SUM(G23:H23)</f>
        <v>1288.1600000000001</v>
      </c>
      <c r="J23" s="333">
        <v>1288.1500000000001</v>
      </c>
      <c r="K23" s="333">
        <f t="shared" si="0"/>
        <v>9.9999999999909051E-3</v>
      </c>
      <c r="L23" s="188"/>
    </row>
    <row r="24" spans="1:20">
      <c r="A24" s="334">
        <v>15</v>
      </c>
      <c r="B24" s="354">
        <v>1794</v>
      </c>
      <c r="C24" s="328" t="s">
        <v>466</v>
      </c>
      <c r="D24" s="328" t="s">
        <v>431</v>
      </c>
      <c r="E24" s="329" t="s">
        <v>854</v>
      </c>
      <c r="F24" s="330">
        <v>1</v>
      </c>
      <c r="G24" s="331">
        <v>1713.66</v>
      </c>
      <c r="H24" s="332" t="s">
        <v>1006</v>
      </c>
      <c r="I24" s="331">
        <v>1713.66</v>
      </c>
      <c r="J24" s="389">
        <v>1713.66</v>
      </c>
      <c r="K24" s="333">
        <f t="shared" si="0"/>
        <v>0</v>
      </c>
      <c r="L24" s="161"/>
      <c r="P24" s="1"/>
      <c r="Q24" s="1"/>
      <c r="R24" s="1"/>
      <c r="S24" s="1"/>
      <c r="T24" s="1"/>
    </row>
    <row r="25" spans="1:20">
      <c r="A25" s="334">
        <v>16</v>
      </c>
      <c r="B25" s="354">
        <v>2201</v>
      </c>
      <c r="C25" s="328" t="s">
        <v>748</v>
      </c>
      <c r="D25" s="338" t="s">
        <v>788</v>
      </c>
      <c r="E25" s="329" t="s">
        <v>852</v>
      </c>
      <c r="F25" s="330"/>
      <c r="G25" s="331">
        <v>1412.79</v>
      </c>
      <c r="H25" s="332" t="s">
        <v>1006</v>
      </c>
      <c r="I25" s="331">
        <v>1412.79</v>
      </c>
      <c r="J25" s="389">
        <v>1412.79</v>
      </c>
      <c r="K25" s="333">
        <f t="shared" si="0"/>
        <v>0</v>
      </c>
      <c r="L25" s="161"/>
    </row>
    <row r="26" spans="1:20">
      <c r="A26" s="334">
        <v>18</v>
      </c>
      <c r="B26" s="354">
        <v>2289</v>
      </c>
      <c r="C26" s="328" t="s">
        <v>750</v>
      </c>
      <c r="D26" s="338" t="s">
        <v>790</v>
      </c>
      <c r="E26" s="329" t="s">
        <v>852</v>
      </c>
      <c r="F26" s="330"/>
      <c r="G26" s="331">
        <v>740.89</v>
      </c>
      <c r="H26" s="332" t="s">
        <v>1006</v>
      </c>
      <c r="I26" s="331">
        <v>740.89</v>
      </c>
      <c r="J26" s="389">
        <v>740.89</v>
      </c>
      <c r="K26" s="333">
        <f t="shared" si="0"/>
        <v>0</v>
      </c>
      <c r="L26" s="161"/>
    </row>
    <row r="27" spans="1:20">
      <c r="A27" s="334"/>
      <c r="B27" s="354">
        <v>2322</v>
      </c>
      <c r="C27" s="328" t="s">
        <v>1023</v>
      </c>
      <c r="D27" s="338" t="s">
        <v>1024</v>
      </c>
      <c r="E27" s="329" t="s">
        <v>852</v>
      </c>
      <c r="F27" s="330"/>
      <c r="G27" s="331">
        <v>582.04</v>
      </c>
      <c r="H27" s="332">
        <v>0</v>
      </c>
      <c r="I27" s="332">
        <v>582.04</v>
      </c>
      <c r="J27" s="335">
        <v>582.04</v>
      </c>
      <c r="K27" s="333">
        <f t="shared" si="0"/>
        <v>0</v>
      </c>
      <c r="L27" s="161"/>
    </row>
    <row r="28" spans="1:20">
      <c r="A28" s="334">
        <v>20</v>
      </c>
      <c r="B28" s="354">
        <v>2250</v>
      </c>
      <c r="C28" s="328" t="s">
        <v>752</v>
      </c>
      <c r="D28" s="328" t="s">
        <v>792</v>
      </c>
      <c r="E28" s="329" t="s">
        <v>853</v>
      </c>
      <c r="F28" s="330">
        <v>2</v>
      </c>
      <c r="G28" s="331">
        <v>1709.74</v>
      </c>
      <c r="H28" s="332" t="s">
        <v>1006</v>
      </c>
      <c r="I28" s="331">
        <v>1709.74</v>
      </c>
      <c r="J28" s="389">
        <v>1709.74</v>
      </c>
      <c r="K28" s="333">
        <f t="shared" si="0"/>
        <v>0</v>
      </c>
      <c r="L28" s="161"/>
    </row>
    <row r="29" spans="1:20">
      <c r="A29" s="334"/>
      <c r="B29" s="354">
        <v>2298</v>
      </c>
      <c r="C29" s="328" t="s">
        <v>752</v>
      </c>
      <c r="D29" s="328" t="s">
        <v>1106</v>
      </c>
      <c r="E29" s="329" t="s">
        <v>852</v>
      </c>
      <c r="F29" s="330"/>
      <c r="G29" s="331">
        <v>685.81</v>
      </c>
      <c r="H29" s="332">
        <v>0</v>
      </c>
      <c r="I29" s="331">
        <v>685.81</v>
      </c>
      <c r="J29" s="389">
        <v>685.81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713.06</v>
      </c>
      <c r="H30" s="332" t="s">
        <v>1006</v>
      </c>
      <c r="I30" s="331">
        <v>713.06</v>
      </c>
      <c r="J30" s="389">
        <v>713.06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630.16</v>
      </c>
      <c r="H31" s="332"/>
      <c r="I31" s="331">
        <v>630.16</v>
      </c>
      <c r="J31" s="389">
        <v>630.16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1509.02</v>
      </c>
      <c r="H32" s="332" t="s">
        <v>1006</v>
      </c>
      <c r="I32" s="416">
        <v>1509.02</v>
      </c>
      <c r="J32" s="389">
        <v>1509.02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1739.16</v>
      </c>
      <c r="H33" s="332" t="s">
        <v>1006</v>
      </c>
      <c r="I33" s="331">
        <v>1739.16</v>
      </c>
      <c r="J33" s="389">
        <v>1739.16</v>
      </c>
      <c r="K33" s="333">
        <f t="shared" si="0"/>
        <v>0</v>
      </c>
      <c r="L33" s="329"/>
    </row>
    <row r="34" spans="1:20">
      <c r="A34" s="334">
        <v>24</v>
      </c>
      <c r="B34" s="376" t="s">
        <v>675</v>
      </c>
      <c r="C34" s="328" t="s">
        <v>755</v>
      </c>
      <c r="D34" s="328" t="s">
        <v>796</v>
      </c>
      <c r="E34" s="329" t="s">
        <v>852</v>
      </c>
      <c r="F34" s="330"/>
      <c r="G34" s="331">
        <v>786.69</v>
      </c>
      <c r="H34" s="332" t="s">
        <v>1006</v>
      </c>
      <c r="I34" s="332">
        <v>786.69</v>
      </c>
      <c r="J34" s="333">
        <v>786.69</v>
      </c>
      <c r="K34" s="333">
        <f t="shared" si="0"/>
        <v>0</v>
      </c>
      <c r="L34" s="329"/>
    </row>
    <row r="35" spans="1:20">
      <c r="A35" s="334">
        <v>26</v>
      </c>
      <c r="B35" s="354">
        <v>1741</v>
      </c>
      <c r="C35" s="328" t="s">
        <v>755</v>
      </c>
      <c r="D35" s="328" t="s">
        <v>797</v>
      </c>
      <c r="E35" s="329" t="s">
        <v>852</v>
      </c>
      <c r="F35" s="330"/>
      <c r="G35" s="331">
        <v>1292.79</v>
      </c>
      <c r="H35" s="332" t="s">
        <v>1006</v>
      </c>
      <c r="I35" s="331">
        <v>1292.79</v>
      </c>
      <c r="J35" s="389">
        <v>1292.79</v>
      </c>
      <c r="K35" s="333">
        <f t="shared" si="0"/>
        <v>0</v>
      </c>
      <c r="L35" s="329"/>
    </row>
    <row r="36" spans="1:20">
      <c r="A36" s="334">
        <v>25</v>
      </c>
      <c r="B36" s="354">
        <v>1757</v>
      </c>
      <c r="C36" s="328" t="s">
        <v>755</v>
      </c>
      <c r="D36" s="338" t="s">
        <v>798</v>
      </c>
      <c r="E36" s="329" t="s">
        <v>853</v>
      </c>
      <c r="F36" s="330">
        <v>2</v>
      </c>
      <c r="G36" s="331">
        <v>2170.85</v>
      </c>
      <c r="H36" s="332" t="s">
        <v>1006</v>
      </c>
      <c r="I36" s="331">
        <v>2170.85</v>
      </c>
      <c r="J36" s="389">
        <v>2170.85</v>
      </c>
      <c r="K36" s="333">
        <f t="shared" si="0"/>
        <v>0</v>
      </c>
      <c r="L36" s="329"/>
      <c r="N36" s="12"/>
      <c r="O36" s="12"/>
      <c r="P36" s="12"/>
      <c r="Q36" s="12"/>
      <c r="R36" s="12"/>
      <c r="S36" s="12"/>
      <c r="T36" s="12"/>
    </row>
    <row r="37" spans="1:20">
      <c r="A37" s="334">
        <v>28</v>
      </c>
      <c r="B37" s="354">
        <v>1210</v>
      </c>
      <c r="C37" s="328" t="s">
        <v>756</v>
      </c>
      <c r="D37" s="338" t="s">
        <v>800</v>
      </c>
      <c r="E37" s="329" t="s">
        <v>852</v>
      </c>
      <c r="F37" s="330"/>
      <c r="G37" s="331">
        <v>1739.16</v>
      </c>
      <c r="H37" s="332" t="s">
        <v>1006</v>
      </c>
      <c r="I37" s="331">
        <v>1739.16</v>
      </c>
      <c r="J37" s="389">
        <v>1739.16</v>
      </c>
      <c r="K37" s="333">
        <f t="shared" si="0"/>
        <v>0</v>
      </c>
      <c r="L37" s="329"/>
    </row>
    <row r="38" spans="1:20">
      <c r="A38" s="334"/>
      <c r="B38" s="354">
        <v>2310</v>
      </c>
      <c r="C38" s="328" t="s">
        <v>756</v>
      </c>
      <c r="D38" s="338" t="s">
        <v>977</v>
      </c>
      <c r="E38" s="329" t="s">
        <v>852</v>
      </c>
      <c r="F38" s="330"/>
      <c r="G38" s="331">
        <v>1035.3900000000001</v>
      </c>
      <c r="H38" s="332" t="s">
        <v>1006</v>
      </c>
      <c r="I38" s="331">
        <v>1035.3900000000001</v>
      </c>
      <c r="J38" s="389">
        <v>1035.3900000000001</v>
      </c>
      <c r="K38" s="333">
        <f t="shared" si="0"/>
        <v>0</v>
      </c>
      <c r="L38" s="329"/>
    </row>
    <row r="39" spans="1:20">
      <c r="A39" s="334">
        <v>29</v>
      </c>
      <c r="B39" s="354">
        <v>1460</v>
      </c>
      <c r="C39" s="328" t="s">
        <v>444</v>
      </c>
      <c r="D39" s="328" t="s">
        <v>506</v>
      </c>
      <c r="E39" s="329" t="s">
        <v>852</v>
      </c>
      <c r="F39" s="330"/>
      <c r="G39" s="331">
        <v>1081.19</v>
      </c>
      <c r="H39" s="332" t="s">
        <v>1006</v>
      </c>
      <c r="I39" s="331">
        <v>1081.19</v>
      </c>
      <c r="J39" s="389">
        <v>1081.19</v>
      </c>
      <c r="K39" s="333">
        <f t="shared" si="0"/>
        <v>0</v>
      </c>
      <c r="L39" s="329"/>
    </row>
    <row r="40" spans="1:20">
      <c r="A40" s="334">
        <v>32</v>
      </c>
      <c r="B40" s="354">
        <v>2248</v>
      </c>
      <c r="C40" s="328" t="s">
        <v>757</v>
      </c>
      <c r="D40" s="328" t="s">
        <v>801</v>
      </c>
      <c r="E40" s="341" t="s">
        <v>856</v>
      </c>
      <c r="F40" s="330">
        <v>2</v>
      </c>
      <c r="G40" s="331">
        <v>1778.57</v>
      </c>
      <c r="H40" s="332">
        <v>581.62</v>
      </c>
      <c r="I40" s="332">
        <f>SUM(G40:H40)</f>
        <v>2360.19</v>
      </c>
      <c r="J40" s="333">
        <v>2360.19</v>
      </c>
      <c r="K40" s="333">
        <f t="shared" si="0"/>
        <v>0</v>
      </c>
      <c r="L40" s="329"/>
    </row>
    <row r="41" spans="1:20">
      <c r="A41" s="334"/>
      <c r="B41" s="354">
        <v>2319</v>
      </c>
      <c r="C41" s="328" t="s">
        <v>757</v>
      </c>
      <c r="D41" s="328" t="s">
        <v>1026</v>
      </c>
      <c r="E41" s="382" t="s">
        <v>853</v>
      </c>
      <c r="F41" s="330">
        <v>2</v>
      </c>
      <c r="G41" s="331">
        <v>1623.94</v>
      </c>
      <c r="H41" s="332">
        <v>0</v>
      </c>
      <c r="I41" s="331">
        <v>1623.94</v>
      </c>
      <c r="J41" s="389">
        <v>1623.94</v>
      </c>
      <c r="K41" s="333">
        <f t="shared" si="0"/>
        <v>0</v>
      </c>
      <c r="L41" s="329"/>
    </row>
    <row r="42" spans="1:20">
      <c r="A42" s="334"/>
      <c r="B42" s="354">
        <v>1300</v>
      </c>
      <c r="C42" s="328" t="s">
        <v>757</v>
      </c>
      <c r="D42" s="328" t="s">
        <v>1037</v>
      </c>
      <c r="E42" s="382" t="s">
        <v>854</v>
      </c>
      <c r="F42" s="330">
        <v>1</v>
      </c>
      <c r="G42" s="331">
        <v>1783.23</v>
      </c>
      <c r="H42" s="332">
        <v>0</v>
      </c>
      <c r="I42" s="331">
        <v>1783.23</v>
      </c>
      <c r="J42" s="389">
        <v>1783.23</v>
      </c>
      <c r="K42" s="333">
        <f t="shared" si="0"/>
        <v>0</v>
      </c>
      <c r="L42" s="329"/>
    </row>
    <row r="43" spans="1:20">
      <c r="A43" s="334">
        <v>30</v>
      </c>
      <c r="B43" s="354">
        <v>2062</v>
      </c>
      <c r="C43" s="328" t="s">
        <v>757</v>
      </c>
      <c r="D43" s="328" t="s">
        <v>802</v>
      </c>
      <c r="E43" s="329" t="s">
        <v>853</v>
      </c>
      <c r="F43" s="330">
        <v>2</v>
      </c>
      <c r="G43" s="331">
        <v>1633.22</v>
      </c>
      <c r="H43" s="332" t="s">
        <v>1006</v>
      </c>
      <c r="I43" s="331">
        <v>1633.22</v>
      </c>
      <c r="J43" s="389">
        <v>1633.22</v>
      </c>
      <c r="K43" s="333">
        <f t="shared" si="0"/>
        <v>0</v>
      </c>
      <c r="L43" s="329"/>
    </row>
    <row r="44" spans="1:20">
      <c r="A44" s="334"/>
      <c r="B44" s="354">
        <v>2313</v>
      </c>
      <c r="C44" s="328" t="s">
        <v>1000</v>
      </c>
      <c r="D44" s="328" t="s">
        <v>1001</v>
      </c>
      <c r="E44" s="329" t="s">
        <v>853</v>
      </c>
      <c r="F44" s="330">
        <v>2</v>
      </c>
      <c r="G44" s="331">
        <v>1907.43</v>
      </c>
      <c r="H44" s="332" t="s">
        <v>1006</v>
      </c>
      <c r="I44" s="331">
        <v>1907.43</v>
      </c>
      <c r="J44" s="389">
        <v>1907.43</v>
      </c>
      <c r="K44" s="333">
        <f t="shared" si="0"/>
        <v>0</v>
      </c>
      <c r="L44" s="29"/>
    </row>
    <row r="45" spans="1:20">
      <c r="A45" s="334">
        <v>35</v>
      </c>
      <c r="B45" s="354">
        <v>2172</v>
      </c>
      <c r="C45" s="328" t="s">
        <v>478</v>
      </c>
      <c r="D45" s="328" t="s">
        <v>448</v>
      </c>
      <c r="E45" s="329" t="s">
        <v>852</v>
      </c>
      <c r="F45" s="330"/>
      <c r="G45" s="331">
        <v>1739.16</v>
      </c>
      <c r="H45" s="332" t="s">
        <v>1006</v>
      </c>
      <c r="I45" s="331">
        <v>1739.16</v>
      </c>
      <c r="J45" s="399">
        <v>1739.16</v>
      </c>
      <c r="K45" s="333">
        <f t="shared" si="0"/>
        <v>0</v>
      </c>
      <c r="L45" s="161"/>
    </row>
    <row r="46" spans="1:20">
      <c r="A46" s="334">
        <v>36</v>
      </c>
      <c r="B46" s="354">
        <v>2082</v>
      </c>
      <c r="C46" s="328" t="s">
        <v>759</v>
      </c>
      <c r="D46" s="338" t="s">
        <v>806</v>
      </c>
      <c r="E46" s="329" t="s">
        <v>852</v>
      </c>
      <c r="F46" s="330"/>
      <c r="G46" s="331">
        <v>713.06</v>
      </c>
      <c r="H46" s="332" t="s">
        <v>1006</v>
      </c>
      <c r="I46" s="331">
        <v>713.06</v>
      </c>
      <c r="J46" s="333">
        <v>713.06</v>
      </c>
      <c r="K46" s="333">
        <f t="shared" si="0"/>
        <v>0</v>
      </c>
      <c r="L46" s="329"/>
    </row>
    <row r="47" spans="1:20">
      <c r="A47" s="334">
        <v>37</v>
      </c>
      <c r="B47" s="354">
        <v>2119</v>
      </c>
      <c r="C47" s="328" t="s">
        <v>760</v>
      </c>
      <c r="D47" s="328" t="s">
        <v>807</v>
      </c>
      <c r="E47" s="329" t="s">
        <v>852</v>
      </c>
      <c r="F47" s="330"/>
      <c r="G47" s="331">
        <v>630.16</v>
      </c>
      <c r="H47" s="332" t="s">
        <v>1006</v>
      </c>
      <c r="I47" s="331">
        <v>630.16</v>
      </c>
      <c r="J47" s="389">
        <v>630.16</v>
      </c>
      <c r="K47" s="333">
        <f t="shared" si="0"/>
        <v>0</v>
      </c>
      <c r="L47" s="329"/>
    </row>
    <row r="48" spans="1:20">
      <c r="A48" s="334">
        <v>38</v>
      </c>
      <c r="B48" s="354">
        <v>2273</v>
      </c>
      <c r="C48" s="328" t="s">
        <v>761</v>
      </c>
      <c r="D48" s="328" t="s">
        <v>808</v>
      </c>
      <c r="E48" s="329" t="s">
        <v>852</v>
      </c>
      <c r="F48" s="330"/>
      <c r="G48" s="331">
        <v>657.99</v>
      </c>
      <c r="H48" s="332" t="s">
        <v>1006</v>
      </c>
      <c r="I48" s="331">
        <v>657.99</v>
      </c>
      <c r="J48" s="389">
        <v>657.99</v>
      </c>
      <c r="K48" s="333">
        <f t="shared" si="0"/>
        <v>0</v>
      </c>
      <c r="L48" s="329"/>
    </row>
    <row r="49" spans="1:12">
      <c r="A49" s="334">
        <v>40</v>
      </c>
      <c r="B49" s="354">
        <v>1975</v>
      </c>
      <c r="C49" s="328" t="s">
        <v>762</v>
      </c>
      <c r="D49" s="328" t="s">
        <v>810</v>
      </c>
      <c r="E49" s="329" t="s">
        <v>854</v>
      </c>
      <c r="F49" s="330">
        <v>1</v>
      </c>
      <c r="G49" s="331">
        <v>1647.13</v>
      </c>
      <c r="H49" s="332" t="s">
        <v>1006</v>
      </c>
      <c r="I49" s="331">
        <v>1647.13</v>
      </c>
      <c r="J49" s="389">
        <v>1647.13</v>
      </c>
      <c r="K49" s="333" t="e">
        <f>#REF!-#REF!</f>
        <v>#REF!</v>
      </c>
      <c r="L49" s="329"/>
    </row>
    <row r="50" spans="1:12">
      <c r="A50" s="334">
        <v>42</v>
      </c>
      <c r="B50" s="354">
        <v>2235</v>
      </c>
      <c r="C50" s="328" t="s">
        <v>764</v>
      </c>
      <c r="D50" s="328" t="s">
        <v>812</v>
      </c>
      <c r="E50" s="329" t="s">
        <v>854</v>
      </c>
      <c r="F50" s="330">
        <v>1</v>
      </c>
      <c r="G50" s="331">
        <v>1501.26</v>
      </c>
      <c r="H50" s="332" t="s">
        <v>1006</v>
      </c>
      <c r="I50" s="331">
        <v>1501.26</v>
      </c>
      <c r="J50" s="389">
        <v>1501.26</v>
      </c>
      <c r="K50" s="333">
        <f t="shared" si="0"/>
        <v>0</v>
      </c>
      <c r="L50" s="329"/>
    </row>
    <row r="51" spans="1:12">
      <c r="A51" s="334">
        <v>43</v>
      </c>
      <c r="B51" s="354">
        <v>2245</v>
      </c>
      <c r="C51" s="328" t="s">
        <v>765</v>
      </c>
      <c r="D51" s="328" t="s">
        <v>813</v>
      </c>
      <c r="E51" s="329" t="s">
        <v>854</v>
      </c>
      <c r="F51" s="330">
        <v>1</v>
      </c>
      <c r="G51" s="331">
        <v>1789.97</v>
      </c>
      <c r="H51" s="332" t="s">
        <v>1006</v>
      </c>
      <c r="I51" s="331">
        <v>1789.97</v>
      </c>
      <c r="J51" s="389">
        <v>1789.97</v>
      </c>
      <c r="K51" s="333">
        <f t="shared" si="0"/>
        <v>0</v>
      </c>
      <c r="L51" s="329"/>
    </row>
    <row r="52" spans="1:12">
      <c r="A52" s="334"/>
      <c r="B52" s="354">
        <v>2281</v>
      </c>
      <c r="C52" s="328" t="s">
        <v>1146</v>
      </c>
      <c r="D52" s="328" t="s">
        <v>1147</v>
      </c>
      <c r="E52" s="329" t="s">
        <v>855</v>
      </c>
      <c r="F52" s="330">
        <v>1</v>
      </c>
      <c r="G52" s="331">
        <v>2468.88</v>
      </c>
      <c r="H52" s="332">
        <v>1589.16</v>
      </c>
      <c r="I52" s="331">
        <f>SUM(G52:H52)</f>
        <v>4058.04</v>
      </c>
      <c r="J52" s="389">
        <v>4058.04</v>
      </c>
      <c r="K52" s="333"/>
      <c r="L52" s="329"/>
    </row>
    <row r="53" spans="1:12">
      <c r="A53" s="334">
        <v>44</v>
      </c>
      <c r="B53" s="354">
        <v>2001</v>
      </c>
      <c r="C53" s="328" t="s">
        <v>766</v>
      </c>
      <c r="D53" s="338" t="s">
        <v>814</v>
      </c>
      <c r="E53" s="329" t="s">
        <v>854</v>
      </c>
      <c r="F53" s="330">
        <v>1</v>
      </c>
      <c r="G53" s="331">
        <v>1934.9</v>
      </c>
      <c r="H53" s="332" t="s">
        <v>1006</v>
      </c>
      <c r="I53" s="331">
        <v>1934.9</v>
      </c>
      <c r="J53" s="389">
        <v>1934.9</v>
      </c>
      <c r="K53" s="333">
        <f t="shared" si="0"/>
        <v>0</v>
      </c>
      <c r="L53" s="329"/>
    </row>
    <row r="54" spans="1:12">
      <c r="A54" s="334">
        <v>48</v>
      </c>
      <c r="B54" s="354">
        <v>2246</v>
      </c>
      <c r="C54" s="328" t="s">
        <v>769</v>
      </c>
      <c r="D54" s="338" t="s">
        <v>817</v>
      </c>
      <c r="E54" s="329" t="s">
        <v>852</v>
      </c>
      <c r="F54" s="330"/>
      <c r="G54" s="331">
        <v>703.79</v>
      </c>
      <c r="H54" s="332" t="s">
        <v>1006</v>
      </c>
      <c r="I54" s="331">
        <v>703.79</v>
      </c>
      <c r="J54" s="389">
        <v>703.79</v>
      </c>
      <c r="K54" s="333">
        <f t="shared" si="0"/>
        <v>0</v>
      </c>
      <c r="L54" s="188"/>
    </row>
    <row r="55" spans="1:12">
      <c r="A55" s="334"/>
      <c r="B55" s="354">
        <v>2329</v>
      </c>
      <c r="C55" s="328" t="s">
        <v>1070</v>
      </c>
      <c r="D55" s="328" t="s">
        <v>1071</v>
      </c>
      <c r="E55" s="329" t="s">
        <v>854</v>
      </c>
      <c r="F55" s="330">
        <v>1</v>
      </c>
      <c r="G55" s="331">
        <v>579.72</v>
      </c>
      <c r="H55" s="332">
        <v>0</v>
      </c>
      <c r="I55" s="331">
        <v>579.72</v>
      </c>
      <c r="J55" s="389">
        <v>579.72</v>
      </c>
      <c r="K55" s="333">
        <f t="shared" si="0"/>
        <v>0</v>
      </c>
      <c r="L55" s="329"/>
    </row>
    <row r="56" spans="1:12">
      <c r="A56" s="334">
        <v>50</v>
      </c>
      <c r="B56" s="354">
        <v>1692</v>
      </c>
      <c r="C56" s="328" t="s">
        <v>771</v>
      </c>
      <c r="D56" s="338" t="s">
        <v>819</v>
      </c>
      <c r="E56" s="329" t="s">
        <v>852</v>
      </c>
      <c r="F56" s="330"/>
      <c r="G56" s="331">
        <v>2088.7399999999998</v>
      </c>
      <c r="H56" s="332" t="s">
        <v>1006</v>
      </c>
      <c r="I56" s="331">
        <v>2088.7399999999998</v>
      </c>
      <c r="J56" s="333">
        <v>2088.7399999999998</v>
      </c>
      <c r="K56" s="333">
        <f t="shared" si="0"/>
        <v>0</v>
      </c>
      <c r="L56" s="329"/>
    </row>
    <row r="57" spans="1:12">
      <c r="A57" s="334"/>
      <c r="B57" s="354">
        <v>2027</v>
      </c>
      <c r="C57" s="328" t="s">
        <v>771</v>
      </c>
      <c r="D57" s="338" t="s">
        <v>982</v>
      </c>
      <c r="E57" s="329" t="s">
        <v>852</v>
      </c>
      <c r="F57" s="330"/>
      <c r="G57" s="331">
        <v>713.06</v>
      </c>
      <c r="H57" s="332" t="s">
        <v>1006</v>
      </c>
      <c r="I57" s="331">
        <v>713.06</v>
      </c>
      <c r="J57" s="389">
        <v>713.06</v>
      </c>
      <c r="K57" s="333">
        <f t="shared" si="0"/>
        <v>0</v>
      </c>
      <c r="L57" s="329"/>
    </row>
    <row r="58" spans="1:12">
      <c r="A58" s="334">
        <v>52</v>
      </c>
      <c r="B58" s="354">
        <v>2060</v>
      </c>
      <c r="C58" s="328" t="s">
        <v>487</v>
      </c>
      <c r="D58" s="328" t="s">
        <v>516</v>
      </c>
      <c r="E58" s="329" t="s">
        <v>852</v>
      </c>
      <c r="F58" s="330"/>
      <c r="G58" s="331">
        <v>1182.6400000000001</v>
      </c>
      <c r="H58" s="332" t="s">
        <v>1006</v>
      </c>
      <c r="I58" s="331">
        <v>1182.6400000000001</v>
      </c>
      <c r="J58" s="389">
        <v>1182.6400000000001</v>
      </c>
      <c r="K58" s="333">
        <f t="shared" si="0"/>
        <v>0</v>
      </c>
      <c r="L58" s="329"/>
    </row>
    <row r="59" spans="1:12">
      <c r="A59" s="334">
        <v>54</v>
      </c>
      <c r="B59" s="354">
        <v>1050</v>
      </c>
      <c r="C59" s="328" t="s">
        <v>773</v>
      </c>
      <c r="D59" s="328" t="s">
        <v>821</v>
      </c>
      <c r="E59" s="329" t="s">
        <v>852</v>
      </c>
      <c r="F59" s="330"/>
      <c r="G59" s="331">
        <v>1739.16</v>
      </c>
      <c r="H59" s="332" t="s">
        <v>1006</v>
      </c>
      <c r="I59" s="331">
        <v>1739.16</v>
      </c>
      <c r="J59" s="389">
        <v>1739.16</v>
      </c>
      <c r="K59" s="333">
        <f t="shared" si="0"/>
        <v>0</v>
      </c>
      <c r="L59" s="329"/>
    </row>
    <row r="60" spans="1:12">
      <c r="A60" s="334">
        <v>55</v>
      </c>
      <c r="B60" s="354">
        <v>1964</v>
      </c>
      <c r="C60" s="328" t="s">
        <v>491</v>
      </c>
      <c r="D60" s="328" t="s">
        <v>456</v>
      </c>
      <c r="E60" s="329" t="s">
        <v>852</v>
      </c>
      <c r="F60" s="330"/>
      <c r="G60" s="331">
        <v>947.85</v>
      </c>
      <c r="H60" s="332" t="s">
        <v>1006</v>
      </c>
      <c r="I60" s="331">
        <v>947.85</v>
      </c>
      <c r="J60" s="389">
        <v>947.85</v>
      </c>
      <c r="K60" s="333">
        <f t="shared" si="0"/>
        <v>0</v>
      </c>
      <c r="L60" s="329"/>
    </row>
    <row r="61" spans="1:12">
      <c r="A61" s="334">
        <v>57</v>
      </c>
      <c r="B61" s="354">
        <v>1981</v>
      </c>
      <c r="C61" s="328" t="s">
        <v>774</v>
      </c>
      <c r="D61" s="338" t="s">
        <v>822</v>
      </c>
      <c r="E61" s="329" t="s">
        <v>852</v>
      </c>
      <c r="F61" s="330"/>
      <c r="G61" s="331">
        <v>740.89</v>
      </c>
      <c r="H61" s="332" t="s">
        <v>1006</v>
      </c>
      <c r="I61" s="331">
        <v>740.89</v>
      </c>
      <c r="J61" s="389">
        <v>740.89</v>
      </c>
      <c r="K61" s="333">
        <f t="shared" si="0"/>
        <v>0</v>
      </c>
      <c r="L61" s="329"/>
    </row>
    <row r="62" spans="1:12">
      <c r="A62" s="334">
        <v>56</v>
      </c>
      <c r="B62" s="354">
        <v>1662</v>
      </c>
      <c r="C62" s="328" t="s">
        <v>774</v>
      </c>
      <c r="D62" s="328" t="s">
        <v>823</v>
      </c>
      <c r="E62" s="329" t="s">
        <v>852</v>
      </c>
      <c r="F62" s="330"/>
      <c r="G62" s="331">
        <v>989.01</v>
      </c>
      <c r="H62" s="332" t="s">
        <v>1006</v>
      </c>
      <c r="I62" s="331">
        <v>989.01</v>
      </c>
      <c r="J62" s="389">
        <v>989.01</v>
      </c>
      <c r="K62" s="333">
        <f t="shared" si="0"/>
        <v>0</v>
      </c>
      <c r="L62" s="329"/>
    </row>
    <row r="63" spans="1:12">
      <c r="A63" s="334"/>
      <c r="B63" s="354">
        <v>2339</v>
      </c>
      <c r="C63" s="328" t="s">
        <v>775</v>
      </c>
      <c r="D63" s="328" t="s">
        <v>1110</v>
      </c>
      <c r="E63" s="329" t="s">
        <v>854</v>
      </c>
      <c r="F63" s="330">
        <v>1</v>
      </c>
      <c r="G63" s="331">
        <v>1568.73</v>
      </c>
      <c r="H63" s="332">
        <v>0</v>
      </c>
      <c r="I63" s="331">
        <v>1568.73</v>
      </c>
      <c r="J63" s="389">
        <v>1568.73</v>
      </c>
      <c r="K63" s="333">
        <f t="shared" si="0"/>
        <v>0</v>
      </c>
      <c r="L63" s="329"/>
    </row>
    <row r="64" spans="1:12">
      <c r="A64" s="334">
        <v>58</v>
      </c>
      <c r="B64" s="354">
        <v>1630</v>
      </c>
      <c r="C64" s="328" t="s">
        <v>775</v>
      </c>
      <c r="D64" s="338" t="s">
        <v>824</v>
      </c>
      <c r="E64" s="329" t="s">
        <v>852</v>
      </c>
      <c r="F64" s="330"/>
      <c r="G64" s="331">
        <v>1352.5</v>
      </c>
      <c r="H64" s="332" t="s">
        <v>1006</v>
      </c>
      <c r="I64" s="331">
        <v>1352.5</v>
      </c>
      <c r="J64" s="389">
        <v>1352.5</v>
      </c>
      <c r="K64" s="333">
        <f t="shared" si="0"/>
        <v>0</v>
      </c>
      <c r="L64" s="329"/>
    </row>
    <row r="65" spans="1:16">
      <c r="A65" s="334">
        <v>61</v>
      </c>
      <c r="B65" s="354">
        <v>2010</v>
      </c>
      <c r="C65" s="328" t="s">
        <v>777</v>
      </c>
      <c r="D65" s="328" t="s">
        <v>826</v>
      </c>
      <c r="E65" s="329" t="s">
        <v>852</v>
      </c>
      <c r="F65" s="330"/>
      <c r="G65" s="331">
        <v>1131.6199999999999</v>
      </c>
      <c r="H65" s="332" t="s">
        <v>1006</v>
      </c>
      <c r="I65" s="331">
        <v>1131.6199999999999</v>
      </c>
      <c r="J65" s="389">
        <v>1131.6199999999999</v>
      </c>
      <c r="K65" s="333">
        <f t="shared" si="0"/>
        <v>0</v>
      </c>
      <c r="L65" s="329"/>
    </row>
    <row r="66" spans="1:16">
      <c r="A66" s="334">
        <v>60</v>
      </c>
      <c r="B66" s="354">
        <v>2187</v>
      </c>
      <c r="C66" s="328" t="s">
        <v>777</v>
      </c>
      <c r="D66" s="328" t="s">
        <v>827</v>
      </c>
      <c r="E66" s="329" t="s">
        <v>853</v>
      </c>
      <c r="F66" s="330">
        <v>2</v>
      </c>
      <c r="G66" s="331">
        <v>2082.5100000000002</v>
      </c>
      <c r="H66" s="332" t="s">
        <v>1006</v>
      </c>
      <c r="I66" s="391">
        <v>2082.5100000000002</v>
      </c>
      <c r="J66" s="389">
        <v>2082.5100000000002</v>
      </c>
      <c r="K66" s="333">
        <f t="shared" si="0"/>
        <v>0</v>
      </c>
      <c r="L66" s="329"/>
    </row>
    <row r="67" spans="1:16">
      <c r="A67" s="334">
        <v>63</v>
      </c>
      <c r="B67" s="354">
        <v>2064</v>
      </c>
      <c r="C67" s="328" t="s">
        <v>778</v>
      </c>
      <c r="D67" s="338" t="s">
        <v>829</v>
      </c>
      <c r="E67" s="341" t="s">
        <v>856</v>
      </c>
      <c r="F67" s="330">
        <v>2</v>
      </c>
      <c r="G67" s="331">
        <v>1797.13</v>
      </c>
      <c r="H67" s="332">
        <v>659.88</v>
      </c>
      <c r="I67" s="332">
        <f>SUM(G67:H67)</f>
        <v>2457.0100000000002</v>
      </c>
      <c r="J67" s="333">
        <v>2457.0100000000002</v>
      </c>
      <c r="K67" s="333">
        <f t="shared" si="0"/>
        <v>0</v>
      </c>
      <c r="L67" s="329"/>
    </row>
    <row r="68" spans="1:16">
      <c r="A68" s="334"/>
      <c r="B68" s="354">
        <v>2335</v>
      </c>
      <c r="C68" s="328" t="s">
        <v>870</v>
      </c>
      <c r="D68" s="338" t="s">
        <v>1081</v>
      </c>
      <c r="E68" s="382" t="s">
        <v>852</v>
      </c>
      <c r="F68" s="330"/>
      <c r="G68" s="331">
        <v>607.54999999999995</v>
      </c>
      <c r="H68" s="332">
        <v>0</v>
      </c>
      <c r="I68" s="331">
        <v>607.54999999999995</v>
      </c>
      <c r="J68" s="389">
        <v>607.54999999999995</v>
      </c>
      <c r="K68" s="333">
        <v>0</v>
      </c>
      <c r="L68" s="329"/>
    </row>
    <row r="69" spans="1:16">
      <c r="A69" s="7"/>
      <c r="B69" s="66">
        <v>2089</v>
      </c>
      <c r="C69" s="29" t="s">
        <v>870</v>
      </c>
      <c r="D69" s="29" t="s">
        <v>1007</v>
      </c>
      <c r="E69" s="410" t="s">
        <v>852</v>
      </c>
      <c r="F69" s="411"/>
      <c r="G69" s="331">
        <v>703.79</v>
      </c>
      <c r="H69" s="331">
        <v>0</v>
      </c>
      <c r="I69" s="331">
        <v>703.79</v>
      </c>
      <c r="J69" s="389">
        <v>703.79</v>
      </c>
      <c r="K69" s="333">
        <v>0</v>
      </c>
      <c r="L69" s="418" t="s">
        <v>1166</v>
      </c>
      <c r="M69" s="216"/>
      <c r="O69" s="15"/>
      <c r="P69" s="15"/>
    </row>
    <row r="70" spans="1:16">
      <c r="A70" s="7"/>
      <c r="B70" s="66"/>
      <c r="C70" s="29"/>
      <c r="D70" s="29"/>
      <c r="E70" s="410"/>
      <c r="F70" s="411"/>
      <c r="G70" s="412"/>
      <c r="H70" s="413"/>
      <c r="I70" s="412"/>
      <c r="J70" s="414"/>
      <c r="K70" s="414"/>
      <c r="L70" s="385"/>
      <c r="M70" s="216"/>
      <c r="O70" s="15"/>
      <c r="P70" s="15"/>
    </row>
    <row r="71" spans="1:16">
      <c r="A71" s="7"/>
      <c r="B71" s="66"/>
      <c r="C71" s="29"/>
      <c r="D71" s="29"/>
      <c r="E71" s="410"/>
      <c r="F71" s="411"/>
      <c r="G71" s="412"/>
      <c r="H71" s="413"/>
      <c r="I71" s="412"/>
      <c r="J71" s="414"/>
      <c r="K71" s="414"/>
      <c r="L71" s="385"/>
      <c r="M71" s="216"/>
      <c r="O71" s="15"/>
      <c r="P71" s="15"/>
    </row>
    <row r="72" spans="1:16">
      <c r="A72" s="7"/>
      <c r="B72" s="354">
        <v>2288</v>
      </c>
      <c r="C72" s="328" t="s">
        <v>772</v>
      </c>
      <c r="D72" s="338" t="s">
        <v>820</v>
      </c>
      <c r="E72" s="329" t="s">
        <v>852</v>
      </c>
      <c r="F72" s="330"/>
      <c r="G72" s="331">
        <v>648.71</v>
      </c>
      <c r="H72" s="412"/>
      <c r="I72" s="331">
        <v>648.71</v>
      </c>
      <c r="J72" s="331">
        <v>648.71</v>
      </c>
      <c r="K72" s="333">
        <f t="shared" ref="K72" si="1">I72-J72</f>
        <v>0</v>
      </c>
      <c r="L72" s="196" t="s">
        <v>1128</v>
      </c>
      <c r="M72" s="216"/>
      <c r="O72" s="15"/>
      <c r="P72" s="15"/>
    </row>
    <row r="73" spans="1:16">
      <c r="A73" s="7"/>
      <c r="B73" s="354"/>
      <c r="C73" s="328"/>
      <c r="D73" s="338"/>
      <c r="E73" s="329"/>
      <c r="F73" s="330"/>
      <c r="G73" s="331"/>
      <c r="H73" s="412"/>
      <c r="I73" s="331"/>
      <c r="J73" s="331"/>
      <c r="K73" s="333"/>
      <c r="L73" s="196"/>
      <c r="M73" s="216"/>
      <c r="O73" s="15"/>
      <c r="P73" s="15"/>
    </row>
    <row r="74" spans="1:16">
      <c r="A74" s="7"/>
      <c r="B74" s="354"/>
      <c r="C74" s="328"/>
      <c r="D74" s="338"/>
      <c r="E74" s="329"/>
      <c r="F74" s="330"/>
      <c r="G74" s="331"/>
      <c r="H74" s="412"/>
      <c r="I74" s="331"/>
      <c r="J74" s="331"/>
      <c r="K74" s="333"/>
      <c r="L74" s="196"/>
      <c r="M74" s="216"/>
      <c r="O74" s="15"/>
      <c r="P74" s="15"/>
    </row>
    <row r="75" spans="1:16">
      <c r="A75" s="7"/>
      <c r="B75" s="354"/>
      <c r="C75" s="328"/>
      <c r="D75" s="338"/>
      <c r="E75" s="329"/>
      <c r="F75" s="330"/>
      <c r="G75" s="331"/>
      <c r="H75" s="412"/>
      <c r="I75" s="331"/>
      <c r="J75" s="331"/>
      <c r="K75" s="333"/>
      <c r="L75" s="196"/>
      <c r="M75" s="216"/>
      <c r="O75" s="15"/>
      <c r="P75" s="15"/>
    </row>
    <row r="76" spans="1:16">
      <c r="A76" s="7"/>
      <c r="B76" s="354"/>
      <c r="C76" s="328"/>
      <c r="D76" s="338"/>
      <c r="E76" s="329"/>
      <c r="F76" s="330"/>
      <c r="G76" s="331"/>
      <c r="H76" s="412"/>
      <c r="I76" s="331"/>
      <c r="J76" s="331"/>
      <c r="K76" s="333"/>
      <c r="L76" s="196"/>
      <c r="M76" s="216"/>
      <c r="O76" s="15"/>
      <c r="P76" s="15"/>
    </row>
    <row r="77" spans="1:16">
      <c r="A77" s="7"/>
      <c r="B77" s="354"/>
      <c r="C77" s="328"/>
      <c r="D77" s="338"/>
      <c r="E77" s="329"/>
      <c r="F77" s="330"/>
      <c r="G77" s="331"/>
      <c r="H77" s="413">
        <f>SUM(H13:H69)</f>
        <v>4533.76</v>
      </c>
      <c r="I77" s="331" t="s">
        <v>1113</v>
      </c>
      <c r="J77" s="415">
        <f>SUM(J72:J75)</f>
        <v>648.71</v>
      </c>
      <c r="K77" s="333"/>
      <c r="L77" s="385"/>
      <c r="M77" s="216"/>
      <c r="O77" s="15"/>
      <c r="P77" s="15"/>
    </row>
    <row r="78" spans="1:16">
      <c r="A78" s="438" t="s">
        <v>652</v>
      </c>
      <c r="B78" s="439"/>
      <c r="C78" s="439"/>
      <c r="D78" s="439"/>
      <c r="E78" s="439"/>
      <c r="F78" s="439"/>
      <c r="G78" s="440"/>
      <c r="H78" s="347"/>
      <c r="I78" s="348">
        <f>SUM(I5:I68)</f>
        <v>84210.590000000011</v>
      </c>
      <c r="J78" s="383">
        <f>SUM(J5:J69)</f>
        <v>84914.37000000001</v>
      </c>
      <c r="K78" s="383"/>
      <c r="L78" s="386"/>
    </row>
    <row r="79" spans="1:16">
      <c r="A79" s="441" t="s">
        <v>1028</v>
      </c>
      <c r="B79" s="442"/>
      <c r="C79" s="443"/>
      <c r="D79" s="351"/>
      <c r="E79" s="352" t="s">
        <v>258</v>
      </c>
      <c r="F79" s="334">
        <v>73</v>
      </c>
      <c r="G79" s="329" t="s">
        <v>1029</v>
      </c>
      <c r="H79" s="351"/>
      <c r="I79" s="352" t="s">
        <v>258</v>
      </c>
      <c r="J79" s="343">
        <v>74</v>
      </c>
      <c r="K79" s="343"/>
      <c r="L79" s="161"/>
    </row>
    <row r="80" spans="1:16">
      <c r="A80" s="353"/>
      <c r="B80" s="352"/>
      <c r="C80" s="351"/>
      <c r="D80" s="351"/>
      <c r="E80" s="351" t="s">
        <v>930</v>
      </c>
      <c r="F80" s="330">
        <v>4</v>
      </c>
      <c r="G80" s="329"/>
      <c r="H80" s="351"/>
      <c r="I80" s="351" t="s">
        <v>930</v>
      </c>
      <c r="J80" s="343">
        <v>4</v>
      </c>
      <c r="K80" s="343"/>
      <c r="L80" s="161"/>
    </row>
    <row r="81" spans="1:20">
      <c r="A81" s="441"/>
      <c r="B81" s="442"/>
      <c r="C81" s="443"/>
      <c r="D81" s="351"/>
      <c r="E81" s="352" t="s">
        <v>931</v>
      </c>
      <c r="F81" s="355">
        <v>26</v>
      </c>
      <c r="G81" s="329"/>
      <c r="H81" s="351"/>
      <c r="I81" s="352" t="s">
        <v>931</v>
      </c>
      <c r="J81" s="343">
        <v>26</v>
      </c>
      <c r="K81" s="343"/>
      <c r="L81" s="161"/>
    </row>
    <row r="82" spans="1:20">
      <c r="A82" s="444"/>
      <c r="B82" s="445"/>
      <c r="C82" s="446"/>
      <c r="D82" s="356"/>
      <c r="E82" s="357" t="s">
        <v>246</v>
      </c>
      <c r="F82" s="358">
        <v>103</v>
      </c>
      <c r="G82" s="329"/>
      <c r="H82" s="393"/>
      <c r="I82" s="394" t="s">
        <v>246</v>
      </c>
      <c r="J82" s="395">
        <v>104</v>
      </c>
      <c r="K82" s="395"/>
      <c r="L82" s="161"/>
    </row>
    <row r="83" spans="1:20">
      <c r="A83" s="447" t="s">
        <v>830</v>
      </c>
      <c r="B83" s="448"/>
      <c r="C83" s="448"/>
      <c r="D83" s="448"/>
      <c r="E83" s="448"/>
      <c r="F83" s="448"/>
      <c r="G83" s="448"/>
      <c r="H83" s="381"/>
      <c r="I83" s="381"/>
      <c r="J83" s="396"/>
      <c r="K83" s="396"/>
      <c r="L83" s="392"/>
      <c r="N83" s="15"/>
    </row>
    <row r="84" spans="1:20">
      <c r="A84" s="334"/>
      <c r="B84" s="354">
        <v>2350</v>
      </c>
      <c r="C84" s="328" t="s">
        <v>1163</v>
      </c>
      <c r="D84" s="328" t="s">
        <v>1164</v>
      </c>
      <c r="E84" s="382" t="s">
        <v>852</v>
      </c>
      <c r="F84" s="330"/>
      <c r="G84" s="331">
        <v>630.16</v>
      </c>
      <c r="H84" s="332">
        <v>0</v>
      </c>
      <c r="I84" s="332">
        <v>630.16</v>
      </c>
      <c r="J84" s="389">
        <v>630.16</v>
      </c>
      <c r="K84" s="333"/>
      <c r="L84" s="329" t="s">
        <v>1165</v>
      </c>
      <c r="M84" s="362"/>
      <c r="N84" s="363"/>
      <c r="O84" s="362"/>
      <c r="P84" s="362"/>
      <c r="Q84" s="362"/>
      <c r="R84" s="362"/>
      <c r="S84" s="362"/>
      <c r="T84" s="362"/>
    </row>
    <row r="85" spans="1:20">
      <c r="A85" s="334"/>
      <c r="B85" s="354">
        <v>2057</v>
      </c>
      <c r="C85" s="328" t="s">
        <v>756</v>
      </c>
      <c r="D85" s="338" t="s">
        <v>799</v>
      </c>
      <c r="E85" s="329" t="s">
        <v>852</v>
      </c>
      <c r="F85" s="330"/>
      <c r="G85" s="331">
        <v>-1739.16</v>
      </c>
      <c r="H85" s="332" t="s">
        <v>1006</v>
      </c>
      <c r="I85" s="331">
        <v>-1739.16</v>
      </c>
      <c r="J85" s="331">
        <v>-1739.16</v>
      </c>
      <c r="K85" s="333">
        <f t="shared" ref="K85" si="2">I85-J85</f>
        <v>0</v>
      </c>
      <c r="L85" s="329" t="s">
        <v>275</v>
      </c>
      <c r="M85" s="362"/>
      <c r="N85" s="363"/>
      <c r="O85" s="362"/>
      <c r="P85" s="362"/>
      <c r="Q85" s="362"/>
      <c r="R85" s="362"/>
      <c r="S85" s="362"/>
      <c r="T85" s="362"/>
    </row>
    <row r="86" spans="1:20">
      <c r="A86" s="334"/>
      <c r="B86" s="354">
        <v>2057</v>
      </c>
      <c r="C86" s="328" t="s">
        <v>756</v>
      </c>
      <c r="D86" s="338" t="s">
        <v>799</v>
      </c>
      <c r="E86" s="329" t="s">
        <v>852</v>
      </c>
      <c r="F86" s="330"/>
      <c r="G86" s="331">
        <v>-1739.16</v>
      </c>
      <c r="H86" s="332" t="s">
        <v>1006</v>
      </c>
      <c r="I86" s="331">
        <v>-1739.16</v>
      </c>
      <c r="J86" s="331">
        <v>-1739.16</v>
      </c>
      <c r="K86" s="333">
        <f t="shared" ref="K86:K87" si="3">I86-J86</f>
        <v>0</v>
      </c>
      <c r="L86" s="329" t="s">
        <v>275</v>
      </c>
      <c r="M86" s="362"/>
      <c r="N86" s="363"/>
      <c r="O86" s="362"/>
      <c r="P86" s="362"/>
      <c r="Q86" s="362"/>
      <c r="R86" s="362"/>
      <c r="S86" s="362"/>
      <c r="T86" s="362"/>
    </row>
    <row r="87" spans="1:20">
      <c r="A87" s="334"/>
      <c r="B87" s="354">
        <v>2333</v>
      </c>
      <c r="C87" s="328" t="s">
        <v>1078</v>
      </c>
      <c r="D87" s="328" t="s">
        <v>1079</v>
      </c>
      <c r="E87" s="329" t="s">
        <v>854</v>
      </c>
      <c r="F87" s="330">
        <v>1</v>
      </c>
      <c r="G87" s="331">
        <v>-1166.18</v>
      </c>
      <c r="H87" s="332">
        <v>0</v>
      </c>
      <c r="I87" s="331">
        <v>-1166.18</v>
      </c>
      <c r="J87" s="331">
        <v>-1166.18</v>
      </c>
      <c r="K87" s="333">
        <f t="shared" si="3"/>
        <v>0</v>
      </c>
      <c r="L87" s="329" t="s">
        <v>1151</v>
      </c>
      <c r="M87" s="362"/>
      <c r="N87" s="363"/>
      <c r="O87" s="362"/>
      <c r="P87" s="362"/>
      <c r="Q87" s="362"/>
      <c r="R87" s="362"/>
      <c r="S87" s="362"/>
      <c r="T87" s="362"/>
    </row>
    <row r="88" spans="1:20">
      <c r="A88" s="334"/>
      <c r="B88" s="66">
        <v>2089</v>
      </c>
      <c r="C88" s="29" t="s">
        <v>870</v>
      </c>
      <c r="D88" s="29" t="s">
        <v>1007</v>
      </c>
      <c r="E88" s="410" t="s">
        <v>852</v>
      </c>
      <c r="F88" s="411"/>
      <c r="G88" s="331">
        <v>703.79</v>
      </c>
      <c r="H88" s="331">
        <v>0</v>
      </c>
      <c r="I88" s="331">
        <v>703.79</v>
      </c>
      <c r="J88" s="389">
        <v>703.79</v>
      </c>
      <c r="K88" s="333">
        <v>0</v>
      </c>
      <c r="L88" s="418" t="s">
        <v>1166</v>
      </c>
      <c r="M88" s="362"/>
      <c r="N88" s="363"/>
      <c r="O88" s="362"/>
      <c r="P88" s="362"/>
      <c r="Q88" s="362"/>
      <c r="R88" s="362"/>
      <c r="S88" s="362"/>
      <c r="T88" s="362"/>
    </row>
    <row r="89" spans="1:20">
      <c r="A89" s="334"/>
      <c r="B89" s="66">
        <v>2089</v>
      </c>
      <c r="C89" s="29" t="s">
        <v>870</v>
      </c>
      <c r="D89" s="29" t="s">
        <v>1007</v>
      </c>
      <c r="E89" s="410" t="s">
        <v>852</v>
      </c>
      <c r="F89" s="411"/>
      <c r="G89" s="331">
        <v>703.79</v>
      </c>
      <c r="H89" s="331">
        <v>0</v>
      </c>
      <c r="I89" s="331">
        <v>703.79</v>
      </c>
      <c r="J89" s="389">
        <v>703.79</v>
      </c>
      <c r="K89" s="333">
        <v>0</v>
      </c>
      <c r="L89" s="418" t="s">
        <v>1166</v>
      </c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/>
      <c r="C90" s="328"/>
      <c r="D90" s="328"/>
      <c r="E90" s="329"/>
      <c r="F90" s="330"/>
      <c r="G90" s="409"/>
      <c r="H90" s="332"/>
      <c r="I90" s="409"/>
      <c r="J90" s="409"/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28"/>
      <c r="E91" s="329"/>
      <c r="F91" s="330"/>
      <c r="G91" s="409"/>
      <c r="H91" s="332"/>
      <c r="I91" s="409"/>
      <c r="J91" s="409"/>
      <c r="K91" s="333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28"/>
      <c r="E92" s="329"/>
      <c r="F92" s="330"/>
      <c r="G92" s="409"/>
      <c r="H92" s="332"/>
      <c r="I92" s="409"/>
      <c r="J92" s="409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28"/>
      <c r="E93" s="329"/>
      <c r="F93" s="330"/>
      <c r="G93" s="409"/>
      <c r="H93" s="332"/>
      <c r="I93" s="409"/>
      <c r="J93" s="40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28"/>
      <c r="E94" s="329"/>
      <c r="F94" s="330"/>
      <c r="G94" s="409"/>
      <c r="H94" s="332"/>
      <c r="I94" s="409"/>
      <c r="J94" s="40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28"/>
      <c r="E95" s="329"/>
      <c r="F95" s="330"/>
      <c r="G95" s="409"/>
      <c r="H95" s="332"/>
      <c r="I95" s="409"/>
      <c r="J95" s="40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29"/>
      <c r="F96" s="330"/>
      <c r="G96" s="331"/>
      <c r="H96" s="332"/>
      <c r="I96" s="332"/>
      <c r="J96" s="333"/>
      <c r="K96" s="333"/>
      <c r="L96" s="161"/>
      <c r="N96" s="15"/>
    </row>
    <row r="97" spans="1:20">
      <c r="A97" s="438" t="s">
        <v>846</v>
      </c>
      <c r="B97" s="439"/>
      <c r="C97" s="439"/>
      <c r="D97" s="439"/>
      <c r="E97" s="439"/>
      <c r="F97" s="439"/>
      <c r="G97" s="440"/>
      <c r="H97" s="348">
        <f>SUM(H84:H96)</f>
        <v>0</v>
      </c>
      <c r="I97" s="347"/>
      <c r="J97" s="348">
        <f>SUM(J84:J96)</f>
        <v>-2606.7600000000002</v>
      </c>
      <c r="K97" s="406"/>
      <c r="L97" s="402"/>
    </row>
    <row r="98" spans="1:20">
      <c r="A98" s="365"/>
      <c r="B98" s="366"/>
      <c r="C98" s="366"/>
      <c r="D98" s="366"/>
      <c r="E98" s="366"/>
      <c r="F98" s="367"/>
      <c r="G98" s="368"/>
      <c r="H98" s="368"/>
      <c r="I98" s="368"/>
      <c r="J98" s="349"/>
      <c r="K98" s="383"/>
      <c r="L98" s="364"/>
    </row>
    <row r="99" spans="1:20" ht="16">
      <c r="A99" s="435" t="s">
        <v>881</v>
      </c>
      <c r="B99" s="436"/>
      <c r="C99" s="436"/>
      <c r="D99" s="436"/>
      <c r="E99" s="436"/>
      <c r="F99" s="436"/>
      <c r="G99" s="437"/>
      <c r="H99" s="369"/>
      <c r="I99" s="369"/>
      <c r="J99" s="370">
        <f>SUM(J78,J97)</f>
        <v>82307.610000000015</v>
      </c>
      <c r="K99" s="407"/>
      <c r="L99" s="350"/>
    </row>
    <row r="100" spans="1:20" ht="18">
      <c r="F100" s="3"/>
      <c r="G100" s="371" t="s">
        <v>1013</v>
      </c>
      <c r="H100" s="372">
        <v>45917</v>
      </c>
    </row>
    <row r="101" spans="1:20" ht="18">
      <c r="F101" s="3"/>
      <c r="G101" s="371" t="s">
        <v>1014</v>
      </c>
      <c r="H101" s="373" t="s">
        <v>990</v>
      </c>
      <c r="I101" s="373"/>
    </row>
    <row r="102" spans="1:20">
      <c r="F102" s="3"/>
      <c r="G102" s="216"/>
      <c r="H102" s="216"/>
      <c r="I102" s="216"/>
      <c r="J102" s="3"/>
      <c r="K102" s="3"/>
      <c r="L102" s="15"/>
      <c r="M102" s="216"/>
    </row>
    <row r="103" spans="1:20">
      <c r="F103" s="3"/>
      <c r="G103" s="216"/>
      <c r="H103" s="269"/>
      <c r="I103" s="216"/>
      <c r="J103" s="270"/>
      <c r="K103" s="270"/>
      <c r="L103" s="15"/>
      <c r="M103" s="216"/>
    </row>
    <row r="104" spans="1:20">
      <c r="F104" s="3"/>
      <c r="G104" s="216"/>
      <c r="H104" s="269" t="s">
        <v>1145</v>
      </c>
      <c r="I104" s="216" t="s">
        <v>1144</v>
      </c>
      <c r="J104" s="270" t="s">
        <v>1112</v>
      </c>
      <c r="K104" s="270"/>
      <c r="L104" s="15"/>
      <c r="M104" s="216"/>
    </row>
    <row r="105" spans="1:20">
      <c r="F105" s="3"/>
      <c r="G105" s="216"/>
      <c r="H105" s="388">
        <f>SUM(H77,H97)</f>
        <v>4533.76</v>
      </c>
      <c r="I105" s="269">
        <f>J99-H105</f>
        <v>77773.85000000002</v>
      </c>
      <c r="J105" s="270">
        <f>SUM(J72:J75)</f>
        <v>648.71</v>
      </c>
      <c r="K105" s="3"/>
      <c r="L105" s="15"/>
      <c r="M105" s="216"/>
    </row>
    <row r="106" spans="1:20">
      <c r="F106" s="3"/>
      <c r="G106" s="216"/>
      <c r="H106" s="216"/>
      <c r="I106" s="216"/>
      <c r="J106" s="3"/>
      <c r="K106" s="3"/>
      <c r="L106" s="15"/>
      <c r="M106" s="216"/>
      <c r="Q106" s="3"/>
      <c r="R106" s="3"/>
      <c r="S106" s="3"/>
      <c r="T106" s="3"/>
    </row>
  </sheetData>
  <mergeCells count="7">
    <mergeCell ref="A99:G99"/>
    <mergeCell ref="A78:G78"/>
    <mergeCell ref="A79:C79"/>
    <mergeCell ref="A81:C81"/>
    <mergeCell ref="A82:C82"/>
    <mergeCell ref="A83:G83"/>
    <mergeCell ref="A97:G9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AC5DD-87DA-2F44-B8BC-867EADB7E952}">
  <dimension ref="A1:T111"/>
  <sheetViews>
    <sheetView topLeftCell="A85" zoomScale="180" zoomScaleNormal="180" workbookViewId="0">
      <selection activeCell="A85" sqref="A1:XFD1048576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18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45931</v>
      </c>
      <c r="K2" s="405"/>
      <c r="L2" s="315" t="s">
        <v>1160</v>
      </c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67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>
        <v>3</v>
      </c>
      <c r="B8" s="375">
        <v>2261</v>
      </c>
      <c r="C8" s="328" t="s">
        <v>744</v>
      </c>
      <c r="D8" s="329" t="s">
        <v>781</v>
      </c>
      <c r="E8" s="329" t="s">
        <v>853</v>
      </c>
      <c r="F8" s="330">
        <v>2</v>
      </c>
      <c r="G8" s="331">
        <v>2063.59</v>
      </c>
      <c r="H8" s="332" t="s">
        <v>1006</v>
      </c>
      <c r="I8" s="331">
        <v>2063.59</v>
      </c>
      <c r="J8" s="389">
        <v>2063.59</v>
      </c>
      <c r="K8" s="333">
        <f t="shared" si="0"/>
        <v>0</v>
      </c>
      <c r="L8" s="329"/>
    </row>
    <row r="9" spans="1:20">
      <c r="A9" s="334">
        <v>4</v>
      </c>
      <c r="B9" s="354">
        <v>2081</v>
      </c>
      <c r="C9" s="328" t="s">
        <v>462</v>
      </c>
      <c r="D9" s="328" t="s">
        <v>425</v>
      </c>
      <c r="E9" s="329" t="s">
        <v>854</v>
      </c>
      <c r="F9" s="330">
        <v>1</v>
      </c>
      <c r="G9" s="409">
        <v>1418.36</v>
      </c>
      <c r="H9" s="332" t="s">
        <v>1006</v>
      </c>
      <c r="I9" s="409">
        <v>1418.36</v>
      </c>
      <c r="J9" s="409">
        <v>1418.36</v>
      </c>
      <c r="K9" s="333">
        <f t="shared" si="0"/>
        <v>0</v>
      </c>
      <c r="L9" s="329"/>
    </row>
    <row r="10" spans="1:20">
      <c r="A10" s="334"/>
      <c r="B10" s="354">
        <v>2341</v>
      </c>
      <c r="C10" s="328" t="s">
        <v>460</v>
      </c>
      <c r="D10" s="328" t="s">
        <v>1102</v>
      </c>
      <c r="E10" s="329" t="s">
        <v>852</v>
      </c>
      <c r="F10" s="330"/>
      <c r="G10" s="331">
        <v>1035.3900000000001</v>
      </c>
      <c r="H10" s="332">
        <v>0</v>
      </c>
      <c r="I10" s="331">
        <v>1035.3900000000001</v>
      </c>
      <c r="J10" s="389">
        <v>1035.3900000000001</v>
      </c>
      <c r="K10" s="333">
        <f t="shared" si="0"/>
        <v>0</v>
      </c>
      <c r="L10" s="329"/>
    </row>
    <row r="11" spans="1:20">
      <c r="A11" s="334">
        <v>6</v>
      </c>
      <c r="B11" s="354">
        <v>1593</v>
      </c>
      <c r="C11" s="328" t="s">
        <v>460</v>
      </c>
      <c r="D11" s="328" t="s">
        <v>426</v>
      </c>
      <c r="E11" s="329" t="s">
        <v>852</v>
      </c>
      <c r="F11" s="330"/>
      <c r="G11" s="331">
        <v>1629.03</v>
      </c>
      <c r="H11" s="332" t="s">
        <v>1006</v>
      </c>
      <c r="I11" s="331">
        <v>1629.03</v>
      </c>
      <c r="J11" s="389">
        <v>1629.03</v>
      </c>
      <c r="K11" s="333">
        <f t="shared" si="0"/>
        <v>0</v>
      </c>
      <c r="L11" s="329"/>
    </row>
    <row r="12" spans="1:20">
      <c r="A12" s="334"/>
      <c r="B12" s="354">
        <v>2285</v>
      </c>
      <c r="C12" s="328" t="s">
        <v>745</v>
      </c>
      <c r="D12" s="328" t="s">
        <v>1117</v>
      </c>
      <c r="E12" s="329" t="s">
        <v>852</v>
      </c>
      <c r="F12" s="330"/>
      <c r="G12" s="331">
        <v>593.64</v>
      </c>
      <c r="H12" s="332"/>
      <c r="I12" s="331">
        <v>593.64</v>
      </c>
      <c r="J12" s="389">
        <v>593.64</v>
      </c>
      <c r="K12" s="333"/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703.79</v>
      </c>
      <c r="H13" s="332" t="s">
        <v>1006</v>
      </c>
      <c r="I13" s="331">
        <v>703.79</v>
      </c>
      <c r="J13" s="389">
        <v>703.79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989.01</v>
      </c>
      <c r="H14" s="332" t="s">
        <v>1006</v>
      </c>
      <c r="I14" s="331">
        <v>989.01</v>
      </c>
      <c r="J14" s="389">
        <v>989.01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740.89</v>
      </c>
      <c r="H15" s="332" t="s">
        <v>1006</v>
      </c>
      <c r="I15" s="331">
        <v>740.89</v>
      </c>
      <c r="J15" s="389">
        <v>740.89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717.7</v>
      </c>
      <c r="H16" s="332" t="s">
        <v>1006</v>
      </c>
      <c r="I16" s="331">
        <v>717.7</v>
      </c>
      <c r="J16" s="389">
        <v>717.7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1348.64</v>
      </c>
      <c r="H17" s="332">
        <v>604.79999999999995</v>
      </c>
      <c r="I17" s="332">
        <v>1953.45</v>
      </c>
      <c r="J17" s="333">
        <v>1953.45</v>
      </c>
      <c r="K17" s="333">
        <f t="shared" si="0"/>
        <v>0</v>
      </c>
      <c r="L17" s="329"/>
    </row>
    <row r="18" spans="1:20">
      <c r="A18" s="334"/>
      <c r="B18" s="354">
        <v>2308</v>
      </c>
      <c r="C18" s="328" t="s">
        <v>1118</v>
      </c>
      <c r="D18" s="328" t="s">
        <v>1119</v>
      </c>
      <c r="E18" s="382" t="s">
        <v>852</v>
      </c>
      <c r="F18" s="330"/>
      <c r="G18" s="331">
        <v>947.85</v>
      </c>
      <c r="H18" s="332">
        <v>0</v>
      </c>
      <c r="I18" s="332">
        <v>947.85</v>
      </c>
      <c r="J18" s="389">
        <v>947.85</v>
      </c>
      <c r="K18" s="333"/>
      <c r="L18" s="329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1665.55</v>
      </c>
      <c r="H19" s="332" t="s">
        <v>1006</v>
      </c>
      <c r="I19" s="331">
        <v>1665.55</v>
      </c>
      <c r="J19" s="389">
        <v>1665.55</v>
      </c>
      <c r="K19" s="333">
        <f t="shared" si="0"/>
        <v>0</v>
      </c>
      <c r="L19" s="161"/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754.8</v>
      </c>
      <c r="H20" s="332" t="s">
        <v>1006</v>
      </c>
      <c r="I20" s="331">
        <v>754.8</v>
      </c>
      <c r="J20" s="389">
        <v>754.8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1320.82</v>
      </c>
      <c r="H21" s="332">
        <v>618.14</v>
      </c>
      <c r="I21" s="331">
        <f>H21+G21</f>
        <v>1938.96</v>
      </c>
      <c r="J21" s="389">
        <v>1938.96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808</v>
      </c>
      <c r="H22" s="332">
        <v>480.16</v>
      </c>
      <c r="I22" s="332">
        <f>SUM(G22:H22)</f>
        <v>1288.1600000000001</v>
      </c>
      <c r="J22" s="333">
        <v>1288.1500000000001</v>
      </c>
      <c r="K22" s="333">
        <f t="shared" si="0"/>
        <v>9.9999999999909051E-3</v>
      </c>
      <c r="L22" s="188"/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1713.66</v>
      </c>
      <c r="H23" s="332" t="s">
        <v>1006</v>
      </c>
      <c r="I23" s="331">
        <v>1713.66</v>
      </c>
      <c r="J23" s="389">
        <v>1713.66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1412.79</v>
      </c>
      <c r="H24" s="332" t="s">
        <v>1006</v>
      </c>
      <c r="I24" s="331">
        <v>1412.79</v>
      </c>
      <c r="J24" s="389">
        <v>1412.79</v>
      </c>
      <c r="K24" s="333">
        <f t="shared" si="0"/>
        <v>0</v>
      </c>
      <c r="L24" s="161"/>
    </row>
    <row r="25" spans="1:20">
      <c r="A25" s="334">
        <v>18</v>
      </c>
      <c r="B25" s="354">
        <v>2289</v>
      </c>
      <c r="C25" s="328" t="s">
        <v>750</v>
      </c>
      <c r="D25" s="338" t="s">
        <v>790</v>
      </c>
      <c r="E25" s="329" t="s">
        <v>852</v>
      </c>
      <c r="F25" s="330"/>
      <c r="G25" s="331">
        <v>740.89</v>
      </c>
      <c r="H25" s="332" t="s">
        <v>1006</v>
      </c>
      <c r="I25" s="331">
        <v>740.89</v>
      </c>
      <c r="J25" s="389">
        <v>740.89</v>
      </c>
      <c r="K25" s="333">
        <f t="shared" si="0"/>
        <v>0</v>
      </c>
      <c r="L25" s="161"/>
    </row>
    <row r="26" spans="1:20">
      <c r="A26" s="334"/>
      <c r="B26" s="354">
        <v>2322</v>
      </c>
      <c r="C26" s="328" t="s">
        <v>1023</v>
      </c>
      <c r="D26" s="338" t="s">
        <v>1024</v>
      </c>
      <c r="E26" s="329" t="s">
        <v>852</v>
      </c>
      <c r="F26" s="330"/>
      <c r="G26" s="331">
        <v>582.04</v>
      </c>
      <c r="H26" s="332">
        <v>0</v>
      </c>
      <c r="I26" s="332">
        <v>582.04</v>
      </c>
      <c r="J26" s="335">
        <v>582.04</v>
      </c>
      <c r="K26" s="333">
        <f t="shared" si="0"/>
        <v>0</v>
      </c>
      <c r="L26" s="161"/>
    </row>
    <row r="27" spans="1:20">
      <c r="A27" s="334">
        <v>20</v>
      </c>
      <c r="B27" s="354">
        <v>2250</v>
      </c>
      <c r="C27" s="328" t="s">
        <v>752</v>
      </c>
      <c r="D27" s="328" t="s">
        <v>792</v>
      </c>
      <c r="E27" s="329" t="s">
        <v>853</v>
      </c>
      <c r="F27" s="330">
        <v>2</v>
      </c>
      <c r="G27" s="331">
        <v>1709.74</v>
      </c>
      <c r="H27" s="332" t="s">
        <v>1006</v>
      </c>
      <c r="I27" s="331">
        <v>1709.74</v>
      </c>
      <c r="J27" s="389">
        <v>1709.74</v>
      </c>
      <c r="K27" s="333">
        <f t="shared" si="0"/>
        <v>0</v>
      </c>
      <c r="L27" s="161"/>
    </row>
    <row r="28" spans="1:20">
      <c r="A28" s="334"/>
      <c r="B28" s="354">
        <v>2298</v>
      </c>
      <c r="C28" s="328" t="s">
        <v>752</v>
      </c>
      <c r="D28" s="328" t="s">
        <v>1106</v>
      </c>
      <c r="E28" s="329" t="s">
        <v>852</v>
      </c>
      <c r="F28" s="330"/>
      <c r="G28" s="331">
        <v>685.81</v>
      </c>
      <c r="H28" s="332">
        <v>0</v>
      </c>
      <c r="I28" s="331">
        <v>685.81</v>
      </c>
      <c r="J28" s="389">
        <v>685.81</v>
      </c>
      <c r="K28" s="333">
        <f t="shared" si="0"/>
        <v>0</v>
      </c>
      <c r="L28" s="161"/>
    </row>
    <row r="29" spans="1:20">
      <c r="A29" s="334">
        <v>21</v>
      </c>
      <c r="B29" s="354">
        <v>2193</v>
      </c>
      <c r="C29" s="328" t="s">
        <v>753</v>
      </c>
      <c r="D29" s="328" t="s">
        <v>794</v>
      </c>
      <c r="E29" s="329" t="s">
        <v>852</v>
      </c>
      <c r="F29" s="330"/>
      <c r="G29" s="331">
        <v>713.06</v>
      </c>
      <c r="H29" s="332" t="s">
        <v>1006</v>
      </c>
      <c r="I29" s="331">
        <v>713.06</v>
      </c>
      <c r="J29" s="389">
        <v>713.06</v>
      </c>
      <c r="K29" s="333">
        <f t="shared" si="0"/>
        <v>0</v>
      </c>
      <c r="L29" s="161"/>
    </row>
    <row r="30" spans="1:20">
      <c r="A30" s="334"/>
      <c r="B30" s="354">
        <v>2223</v>
      </c>
      <c r="C30" s="328" t="s">
        <v>972</v>
      </c>
      <c r="D30" s="328" t="s">
        <v>973</v>
      </c>
      <c r="E30" s="329" t="s">
        <v>852</v>
      </c>
      <c r="F30" s="330"/>
      <c r="G30" s="331">
        <v>630.16</v>
      </c>
      <c r="H30" s="332"/>
      <c r="I30" s="331">
        <v>630.16</v>
      </c>
      <c r="J30" s="389">
        <v>630.16</v>
      </c>
      <c r="K30" s="333">
        <f t="shared" si="0"/>
        <v>0</v>
      </c>
      <c r="L30" s="161"/>
    </row>
    <row r="31" spans="1:20">
      <c r="A31" s="334">
        <v>22</v>
      </c>
      <c r="B31" s="354">
        <v>640</v>
      </c>
      <c r="C31" s="328" t="s">
        <v>754</v>
      </c>
      <c r="D31" s="339" t="s">
        <v>795</v>
      </c>
      <c r="E31" s="329" t="s">
        <v>852</v>
      </c>
      <c r="F31" s="330"/>
      <c r="G31" s="331">
        <v>1509.02</v>
      </c>
      <c r="H31" s="332" t="s">
        <v>1006</v>
      </c>
      <c r="I31" s="416">
        <v>1509.02</v>
      </c>
      <c r="J31" s="389">
        <v>1509.02</v>
      </c>
      <c r="K31" s="333">
        <f t="shared" si="0"/>
        <v>0</v>
      </c>
      <c r="L31" s="329"/>
    </row>
    <row r="32" spans="1:20">
      <c r="A32" s="334">
        <v>23</v>
      </c>
      <c r="B32" s="354">
        <v>901</v>
      </c>
      <c r="C32" s="328" t="s">
        <v>439</v>
      </c>
      <c r="D32" s="328" t="s">
        <v>505</v>
      </c>
      <c r="E32" s="329" t="s">
        <v>852</v>
      </c>
      <c r="F32" s="330"/>
      <c r="G32" s="331">
        <v>1739.16</v>
      </c>
      <c r="H32" s="332" t="s">
        <v>1006</v>
      </c>
      <c r="I32" s="331">
        <v>1739.16</v>
      </c>
      <c r="J32" s="389">
        <v>1739.16</v>
      </c>
      <c r="K32" s="333">
        <f t="shared" si="0"/>
        <v>0</v>
      </c>
      <c r="L32" s="329"/>
    </row>
    <row r="33" spans="1:20">
      <c r="A33" s="334">
        <v>24</v>
      </c>
      <c r="B33" s="376" t="s">
        <v>675</v>
      </c>
      <c r="C33" s="328" t="s">
        <v>755</v>
      </c>
      <c r="D33" s="328" t="s">
        <v>796</v>
      </c>
      <c r="E33" s="329" t="s">
        <v>852</v>
      </c>
      <c r="F33" s="330"/>
      <c r="G33" s="331">
        <v>786.69</v>
      </c>
      <c r="H33" s="332" t="s">
        <v>1006</v>
      </c>
      <c r="I33" s="332">
        <v>786.69</v>
      </c>
      <c r="J33" s="333">
        <v>786.69</v>
      </c>
      <c r="K33" s="333">
        <f t="shared" si="0"/>
        <v>0</v>
      </c>
      <c r="L33" s="329"/>
    </row>
    <row r="34" spans="1:20">
      <c r="A34" s="334">
        <v>26</v>
      </c>
      <c r="B34" s="354">
        <v>1741</v>
      </c>
      <c r="C34" s="328" t="s">
        <v>755</v>
      </c>
      <c r="D34" s="328" t="s">
        <v>797</v>
      </c>
      <c r="E34" s="329" t="s">
        <v>852</v>
      </c>
      <c r="F34" s="330"/>
      <c r="G34" s="331">
        <v>1292.79</v>
      </c>
      <c r="H34" s="332" t="s">
        <v>1006</v>
      </c>
      <c r="I34" s="331">
        <v>1292.79</v>
      </c>
      <c r="J34" s="389">
        <v>1292.79</v>
      </c>
      <c r="K34" s="333">
        <f t="shared" si="0"/>
        <v>0</v>
      </c>
      <c r="L34" s="329"/>
    </row>
    <row r="35" spans="1:20">
      <c r="A35" s="334">
        <v>25</v>
      </c>
      <c r="B35" s="354">
        <v>1757</v>
      </c>
      <c r="C35" s="328" t="s">
        <v>755</v>
      </c>
      <c r="D35" s="338" t="s">
        <v>798</v>
      </c>
      <c r="E35" s="329" t="s">
        <v>853</v>
      </c>
      <c r="F35" s="330">
        <v>2</v>
      </c>
      <c r="G35" s="331">
        <v>2170.85</v>
      </c>
      <c r="H35" s="332" t="s">
        <v>1006</v>
      </c>
      <c r="I35" s="331">
        <v>2170.85</v>
      </c>
      <c r="J35" s="389">
        <v>2170.85</v>
      </c>
      <c r="K35" s="333">
        <f t="shared" si="0"/>
        <v>0</v>
      </c>
      <c r="L35" s="329"/>
      <c r="N35" s="12"/>
      <c r="O35" s="12"/>
      <c r="P35" s="12"/>
      <c r="Q35" s="12"/>
      <c r="R35" s="12"/>
      <c r="S35" s="12"/>
      <c r="T35" s="12"/>
    </row>
    <row r="36" spans="1:20">
      <c r="A36" s="334">
        <v>27</v>
      </c>
      <c r="B36" s="354">
        <v>2057</v>
      </c>
      <c r="C36" s="328" t="s">
        <v>756</v>
      </c>
      <c r="D36" s="338" t="s">
        <v>799</v>
      </c>
      <c r="E36" s="329" t="s">
        <v>852</v>
      </c>
      <c r="F36" s="330"/>
      <c r="G36" s="331">
        <v>1739.16</v>
      </c>
      <c r="H36" s="332" t="s">
        <v>1006</v>
      </c>
      <c r="I36" s="331">
        <v>1739.16</v>
      </c>
      <c r="J36" s="389">
        <v>1739.16</v>
      </c>
      <c r="K36" s="333">
        <f t="shared" si="0"/>
        <v>0</v>
      </c>
      <c r="L36" s="329" t="s">
        <v>275</v>
      </c>
    </row>
    <row r="37" spans="1:20">
      <c r="A37" s="334">
        <v>28</v>
      </c>
      <c r="B37" s="354">
        <v>1210</v>
      </c>
      <c r="C37" s="328" t="s">
        <v>756</v>
      </c>
      <c r="D37" s="338" t="s">
        <v>800</v>
      </c>
      <c r="E37" s="329" t="s">
        <v>852</v>
      </c>
      <c r="F37" s="330"/>
      <c r="G37" s="331">
        <v>1739.16</v>
      </c>
      <c r="H37" s="332" t="s">
        <v>1006</v>
      </c>
      <c r="I37" s="331">
        <v>1739.16</v>
      </c>
      <c r="J37" s="389">
        <v>1739.16</v>
      </c>
      <c r="K37" s="333">
        <f t="shared" si="0"/>
        <v>0</v>
      </c>
      <c r="L37" s="329"/>
    </row>
    <row r="38" spans="1:20">
      <c r="A38" s="334"/>
      <c r="B38" s="354">
        <v>2310</v>
      </c>
      <c r="C38" s="328" t="s">
        <v>756</v>
      </c>
      <c r="D38" s="338" t="s">
        <v>977</v>
      </c>
      <c r="E38" s="329" t="s">
        <v>852</v>
      </c>
      <c r="F38" s="330"/>
      <c r="G38" s="331">
        <v>1035.3900000000001</v>
      </c>
      <c r="H38" s="332" t="s">
        <v>1006</v>
      </c>
      <c r="I38" s="331">
        <v>1035.3900000000001</v>
      </c>
      <c r="J38" s="389">
        <v>1035.3900000000001</v>
      </c>
      <c r="K38" s="333">
        <f t="shared" si="0"/>
        <v>0</v>
      </c>
      <c r="L38" s="329"/>
    </row>
    <row r="39" spans="1:20">
      <c r="A39" s="334">
        <v>29</v>
      </c>
      <c r="B39" s="354">
        <v>1460</v>
      </c>
      <c r="C39" s="328" t="s">
        <v>444</v>
      </c>
      <c r="D39" s="328" t="s">
        <v>506</v>
      </c>
      <c r="E39" s="329" t="s">
        <v>852</v>
      </c>
      <c r="F39" s="330"/>
      <c r="G39" s="331">
        <v>1081.19</v>
      </c>
      <c r="H39" s="332" t="s">
        <v>1006</v>
      </c>
      <c r="I39" s="331">
        <v>1081.19</v>
      </c>
      <c r="J39" s="389">
        <v>1081.19</v>
      </c>
      <c r="K39" s="333">
        <f t="shared" si="0"/>
        <v>0</v>
      </c>
      <c r="L39" s="329"/>
    </row>
    <row r="40" spans="1:20">
      <c r="A40" s="334">
        <v>32</v>
      </c>
      <c r="B40" s="354">
        <v>2248</v>
      </c>
      <c r="C40" s="328" t="s">
        <v>757</v>
      </c>
      <c r="D40" s="328" t="s">
        <v>801</v>
      </c>
      <c r="E40" s="341" t="s">
        <v>856</v>
      </c>
      <c r="F40" s="330">
        <v>2</v>
      </c>
      <c r="G40" s="331">
        <v>1778.57</v>
      </c>
      <c r="H40" s="332">
        <v>581.62</v>
      </c>
      <c r="I40" s="332">
        <f>SUM(G40:H40)</f>
        <v>2360.19</v>
      </c>
      <c r="J40" s="333">
        <v>2360.19</v>
      </c>
      <c r="K40" s="333">
        <f t="shared" si="0"/>
        <v>0</v>
      </c>
      <c r="L40" s="329"/>
    </row>
    <row r="41" spans="1:20">
      <c r="A41" s="334"/>
      <c r="B41" s="354">
        <v>2319</v>
      </c>
      <c r="C41" s="328" t="s">
        <v>757</v>
      </c>
      <c r="D41" s="328" t="s">
        <v>1026</v>
      </c>
      <c r="E41" s="382" t="s">
        <v>853</v>
      </c>
      <c r="F41" s="330">
        <v>2</v>
      </c>
      <c r="G41" s="331">
        <v>1623.94</v>
      </c>
      <c r="H41" s="332">
        <v>0</v>
      </c>
      <c r="I41" s="331">
        <v>1623.94</v>
      </c>
      <c r="J41" s="389">
        <v>1623.94</v>
      </c>
      <c r="K41" s="333">
        <f t="shared" si="0"/>
        <v>0</v>
      </c>
      <c r="L41" s="329"/>
    </row>
    <row r="42" spans="1:20">
      <c r="A42" s="334"/>
      <c r="B42" s="354">
        <v>1300</v>
      </c>
      <c r="C42" s="328" t="s">
        <v>757</v>
      </c>
      <c r="D42" s="328" t="s">
        <v>1037</v>
      </c>
      <c r="E42" s="382" t="s">
        <v>854</v>
      </c>
      <c r="F42" s="330">
        <v>1</v>
      </c>
      <c r="G42" s="331">
        <v>1783.23</v>
      </c>
      <c r="H42" s="332">
        <v>0</v>
      </c>
      <c r="I42" s="331">
        <v>1783.23</v>
      </c>
      <c r="J42" s="389">
        <v>1783.23</v>
      </c>
      <c r="K42" s="333">
        <f t="shared" si="0"/>
        <v>0</v>
      </c>
      <c r="L42" s="329"/>
    </row>
    <row r="43" spans="1:20">
      <c r="A43" s="334">
        <v>30</v>
      </c>
      <c r="B43" s="354">
        <v>2062</v>
      </c>
      <c r="C43" s="328" t="s">
        <v>757</v>
      </c>
      <c r="D43" s="328" t="s">
        <v>802</v>
      </c>
      <c r="E43" s="329" t="s">
        <v>853</v>
      </c>
      <c r="F43" s="330">
        <v>2</v>
      </c>
      <c r="G43" s="331">
        <v>1633.22</v>
      </c>
      <c r="H43" s="332" t="s">
        <v>1006</v>
      </c>
      <c r="I43" s="331">
        <v>1633.22</v>
      </c>
      <c r="J43" s="389">
        <v>1633.22</v>
      </c>
      <c r="K43" s="333">
        <f t="shared" si="0"/>
        <v>0</v>
      </c>
      <c r="L43" s="329"/>
    </row>
    <row r="44" spans="1:20">
      <c r="A44" s="334"/>
      <c r="B44" s="354">
        <v>2313</v>
      </c>
      <c r="C44" s="328" t="s">
        <v>1000</v>
      </c>
      <c r="D44" s="328" t="s">
        <v>1001</v>
      </c>
      <c r="E44" s="329" t="s">
        <v>853</v>
      </c>
      <c r="F44" s="330">
        <v>2</v>
      </c>
      <c r="G44" s="331">
        <v>1907.43</v>
      </c>
      <c r="H44" s="332" t="s">
        <v>1006</v>
      </c>
      <c r="I44" s="331">
        <v>1907.43</v>
      </c>
      <c r="J44" s="389">
        <v>1907.43</v>
      </c>
      <c r="K44" s="333">
        <f t="shared" si="0"/>
        <v>0</v>
      </c>
      <c r="L44" s="29"/>
    </row>
    <row r="45" spans="1:20">
      <c r="A45" s="334">
        <v>35</v>
      </c>
      <c r="B45" s="354">
        <v>2172</v>
      </c>
      <c r="C45" s="328" t="s">
        <v>478</v>
      </c>
      <c r="D45" s="328" t="s">
        <v>448</v>
      </c>
      <c r="E45" s="329" t="s">
        <v>852</v>
      </c>
      <c r="F45" s="330"/>
      <c r="G45" s="331">
        <v>1739.16</v>
      </c>
      <c r="H45" s="332" t="s">
        <v>1006</v>
      </c>
      <c r="I45" s="331">
        <v>1739.16</v>
      </c>
      <c r="J45" s="399">
        <v>1739.16</v>
      </c>
      <c r="K45" s="333">
        <f t="shared" si="0"/>
        <v>0</v>
      </c>
      <c r="L45" s="161"/>
    </row>
    <row r="46" spans="1:20">
      <c r="A46" s="334">
        <v>36</v>
      </c>
      <c r="B46" s="354">
        <v>2082</v>
      </c>
      <c r="C46" s="328" t="s">
        <v>759</v>
      </c>
      <c r="D46" s="338" t="s">
        <v>806</v>
      </c>
      <c r="E46" s="329" t="s">
        <v>852</v>
      </c>
      <c r="F46" s="330"/>
      <c r="G46" s="331">
        <v>713.06</v>
      </c>
      <c r="H46" s="332" t="s">
        <v>1006</v>
      </c>
      <c r="I46" s="331">
        <v>713.06</v>
      </c>
      <c r="J46" s="333">
        <v>713.06</v>
      </c>
      <c r="K46" s="333">
        <f t="shared" si="0"/>
        <v>0</v>
      </c>
      <c r="L46" s="329"/>
    </row>
    <row r="47" spans="1:20">
      <c r="A47" s="334">
        <v>37</v>
      </c>
      <c r="B47" s="354">
        <v>2119</v>
      </c>
      <c r="C47" s="328" t="s">
        <v>760</v>
      </c>
      <c r="D47" s="328" t="s">
        <v>807</v>
      </c>
      <c r="E47" s="329" t="s">
        <v>852</v>
      </c>
      <c r="F47" s="330"/>
      <c r="G47" s="331">
        <v>630.16</v>
      </c>
      <c r="H47" s="332" t="s">
        <v>1006</v>
      </c>
      <c r="I47" s="331">
        <v>630.16</v>
      </c>
      <c r="J47" s="389">
        <v>630.16</v>
      </c>
      <c r="K47" s="333">
        <f t="shared" si="0"/>
        <v>0</v>
      </c>
      <c r="L47" s="329"/>
    </row>
    <row r="48" spans="1:20">
      <c r="A48" s="334">
        <v>38</v>
      </c>
      <c r="B48" s="354">
        <v>2273</v>
      </c>
      <c r="C48" s="328" t="s">
        <v>761</v>
      </c>
      <c r="D48" s="328" t="s">
        <v>808</v>
      </c>
      <c r="E48" s="329" t="s">
        <v>852</v>
      </c>
      <c r="F48" s="330"/>
      <c r="G48" s="331">
        <v>657.99</v>
      </c>
      <c r="H48" s="332" t="s">
        <v>1006</v>
      </c>
      <c r="I48" s="331">
        <v>657.99</v>
      </c>
      <c r="J48" s="389">
        <v>657.99</v>
      </c>
      <c r="K48" s="333">
        <f t="shared" si="0"/>
        <v>0</v>
      </c>
      <c r="L48" s="329"/>
    </row>
    <row r="49" spans="1:12">
      <c r="A49" s="334">
        <v>40</v>
      </c>
      <c r="B49" s="354">
        <v>1975</v>
      </c>
      <c r="C49" s="328" t="s">
        <v>762</v>
      </c>
      <c r="D49" s="328" t="s">
        <v>810</v>
      </c>
      <c r="E49" s="329" t="s">
        <v>854</v>
      </c>
      <c r="F49" s="330">
        <v>1</v>
      </c>
      <c r="G49" s="331">
        <v>1647.13</v>
      </c>
      <c r="H49" s="332" t="s">
        <v>1006</v>
      </c>
      <c r="I49" s="331">
        <v>1647.13</v>
      </c>
      <c r="J49" s="389">
        <v>1647.13</v>
      </c>
      <c r="K49" s="333" t="e">
        <f>#REF!-#REF!</f>
        <v>#REF!</v>
      </c>
      <c r="L49" s="329"/>
    </row>
    <row r="50" spans="1:12">
      <c r="A50" s="334">
        <v>42</v>
      </c>
      <c r="B50" s="354">
        <v>2235</v>
      </c>
      <c r="C50" s="328" t="s">
        <v>764</v>
      </c>
      <c r="D50" s="328" t="s">
        <v>812</v>
      </c>
      <c r="E50" s="329" t="s">
        <v>854</v>
      </c>
      <c r="F50" s="330">
        <v>1</v>
      </c>
      <c r="G50" s="331">
        <v>1501.26</v>
      </c>
      <c r="H50" s="332" t="s">
        <v>1006</v>
      </c>
      <c r="I50" s="331">
        <v>1501.26</v>
      </c>
      <c r="J50" s="389">
        <v>1501.26</v>
      </c>
      <c r="K50" s="333">
        <f t="shared" si="0"/>
        <v>0</v>
      </c>
      <c r="L50" s="329"/>
    </row>
    <row r="51" spans="1:12">
      <c r="A51" s="334">
        <v>43</v>
      </c>
      <c r="B51" s="354">
        <v>2245</v>
      </c>
      <c r="C51" s="328" t="s">
        <v>765</v>
      </c>
      <c r="D51" s="328" t="s">
        <v>813</v>
      </c>
      <c r="E51" s="329" t="s">
        <v>854</v>
      </c>
      <c r="F51" s="330">
        <v>1</v>
      </c>
      <c r="G51" s="331">
        <v>1789.97</v>
      </c>
      <c r="H51" s="332" t="s">
        <v>1006</v>
      </c>
      <c r="I51" s="331">
        <v>1789.97</v>
      </c>
      <c r="J51" s="389">
        <v>1789.97</v>
      </c>
      <c r="K51" s="333">
        <f t="shared" si="0"/>
        <v>0</v>
      </c>
      <c r="L51" s="329"/>
    </row>
    <row r="52" spans="1:12">
      <c r="A52" s="334"/>
      <c r="B52" s="354">
        <v>2281</v>
      </c>
      <c r="C52" s="328" t="s">
        <v>1146</v>
      </c>
      <c r="D52" s="328" t="s">
        <v>1147</v>
      </c>
      <c r="E52" s="329" t="s">
        <v>855</v>
      </c>
      <c r="F52" s="330">
        <v>1</v>
      </c>
      <c r="G52" s="331">
        <v>2468.88</v>
      </c>
      <c r="H52" s="332">
        <v>1589.16</v>
      </c>
      <c r="I52" s="331">
        <f>SUM(G52:H52)</f>
        <v>4058.04</v>
      </c>
      <c r="J52" s="389">
        <v>4058.04</v>
      </c>
      <c r="K52" s="333"/>
      <c r="L52" s="329"/>
    </row>
    <row r="53" spans="1:12">
      <c r="A53" s="334">
        <v>44</v>
      </c>
      <c r="B53" s="354">
        <v>2001</v>
      </c>
      <c r="C53" s="328" t="s">
        <v>766</v>
      </c>
      <c r="D53" s="338" t="s">
        <v>814</v>
      </c>
      <c r="E53" s="329" t="s">
        <v>854</v>
      </c>
      <c r="F53" s="330">
        <v>1</v>
      </c>
      <c r="G53" s="331">
        <v>1934.9</v>
      </c>
      <c r="H53" s="332" t="s">
        <v>1006</v>
      </c>
      <c r="I53" s="331">
        <v>1934.9</v>
      </c>
      <c r="J53" s="389">
        <v>1934.9</v>
      </c>
      <c r="K53" s="333">
        <f t="shared" si="0"/>
        <v>0</v>
      </c>
      <c r="L53" s="329"/>
    </row>
    <row r="54" spans="1:12">
      <c r="A54" s="334">
        <v>48</v>
      </c>
      <c r="B54" s="354">
        <v>2246</v>
      </c>
      <c r="C54" s="328" t="s">
        <v>769</v>
      </c>
      <c r="D54" s="338" t="s">
        <v>817</v>
      </c>
      <c r="E54" s="329" t="s">
        <v>852</v>
      </c>
      <c r="F54" s="330"/>
      <c r="G54" s="331">
        <v>703.79</v>
      </c>
      <c r="H54" s="332" t="s">
        <v>1006</v>
      </c>
      <c r="I54" s="331">
        <v>703.79</v>
      </c>
      <c r="J54" s="389">
        <v>703.79</v>
      </c>
      <c r="K54" s="333">
        <f t="shared" si="0"/>
        <v>0</v>
      </c>
      <c r="L54" s="188"/>
    </row>
    <row r="55" spans="1:12">
      <c r="A55" s="334"/>
      <c r="B55" s="354">
        <v>2329</v>
      </c>
      <c r="C55" s="328" t="s">
        <v>1070</v>
      </c>
      <c r="D55" s="328" t="s">
        <v>1071</v>
      </c>
      <c r="E55" s="329" t="s">
        <v>854</v>
      </c>
      <c r="F55" s="330">
        <v>1</v>
      </c>
      <c r="G55" s="331">
        <v>579.72</v>
      </c>
      <c r="H55" s="332">
        <v>0</v>
      </c>
      <c r="I55" s="331">
        <v>579.72</v>
      </c>
      <c r="J55" s="389">
        <v>579.72</v>
      </c>
      <c r="K55" s="333">
        <f t="shared" si="0"/>
        <v>0</v>
      </c>
      <c r="L55" s="329"/>
    </row>
    <row r="56" spans="1:12">
      <c r="A56" s="334">
        <v>50</v>
      </c>
      <c r="B56" s="354">
        <v>1692</v>
      </c>
      <c r="C56" s="328" t="s">
        <v>771</v>
      </c>
      <c r="D56" s="338" t="s">
        <v>819</v>
      </c>
      <c r="E56" s="329" t="s">
        <v>852</v>
      </c>
      <c r="F56" s="330"/>
      <c r="G56" s="331">
        <v>2088.7399999999998</v>
      </c>
      <c r="H56" s="332" t="s">
        <v>1006</v>
      </c>
      <c r="I56" s="331">
        <v>2088.7399999999998</v>
      </c>
      <c r="J56" s="333">
        <v>2088.7399999999998</v>
      </c>
      <c r="K56" s="333">
        <f t="shared" si="0"/>
        <v>0</v>
      </c>
      <c r="L56" s="329"/>
    </row>
    <row r="57" spans="1:12">
      <c r="A57" s="334"/>
      <c r="B57" s="354">
        <v>2027</v>
      </c>
      <c r="C57" s="328" t="s">
        <v>771</v>
      </c>
      <c r="D57" s="338" t="s">
        <v>982</v>
      </c>
      <c r="E57" s="329" t="s">
        <v>852</v>
      </c>
      <c r="F57" s="330"/>
      <c r="G57" s="331">
        <v>713.06</v>
      </c>
      <c r="H57" s="332" t="s">
        <v>1006</v>
      </c>
      <c r="I57" s="331">
        <v>713.06</v>
      </c>
      <c r="J57" s="389">
        <v>713.06</v>
      </c>
      <c r="K57" s="333">
        <f t="shared" si="0"/>
        <v>0</v>
      </c>
      <c r="L57" s="329"/>
    </row>
    <row r="58" spans="1:12">
      <c r="A58" s="334">
        <v>52</v>
      </c>
      <c r="B58" s="354">
        <v>2060</v>
      </c>
      <c r="C58" s="328" t="s">
        <v>487</v>
      </c>
      <c r="D58" s="328" t="s">
        <v>516</v>
      </c>
      <c r="E58" s="329" t="s">
        <v>852</v>
      </c>
      <c r="F58" s="330"/>
      <c r="G58" s="331">
        <v>1182.6400000000001</v>
      </c>
      <c r="H58" s="332" t="s">
        <v>1006</v>
      </c>
      <c r="I58" s="331">
        <v>1182.6400000000001</v>
      </c>
      <c r="J58" s="389">
        <v>1182.6400000000001</v>
      </c>
      <c r="K58" s="333">
        <f t="shared" si="0"/>
        <v>0</v>
      </c>
      <c r="L58" s="329"/>
    </row>
    <row r="59" spans="1:12">
      <c r="A59" s="334"/>
      <c r="B59" s="354">
        <v>2333</v>
      </c>
      <c r="C59" s="328" t="s">
        <v>1078</v>
      </c>
      <c r="D59" s="328" t="s">
        <v>1079</v>
      </c>
      <c r="E59" s="329" t="s">
        <v>854</v>
      </c>
      <c r="F59" s="330">
        <v>1</v>
      </c>
      <c r="G59" s="331">
        <v>1166.18</v>
      </c>
      <c r="H59" s="332">
        <v>0</v>
      </c>
      <c r="I59" s="331">
        <v>1166.18</v>
      </c>
      <c r="J59" s="389">
        <v>1166.18</v>
      </c>
      <c r="K59" s="333">
        <f t="shared" si="0"/>
        <v>0</v>
      </c>
      <c r="L59" s="329" t="s">
        <v>1151</v>
      </c>
    </row>
    <row r="60" spans="1:12">
      <c r="A60" s="334">
        <v>54</v>
      </c>
      <c r="B60" s="354">
        <v>1050</v>
      </c>
      <c r="C60" s="328" t="s">
        <v>773</v>
      </c>
      <c r="D60" s="328" t="s">
        <v>821</v>
      </c>
      <c r="E60" s="329" t="s">
        <v>852</v>
      </c>
      <c r="F60" s="330"/>
      <c r="G60" s="331">
        <v>1739.16</v>
      </c>
      <c r="H60" s="332" t="s">
        <v>1006</v>
      </c>
      <c r="I60" s="331">
        <v>1739.16</v>
      </c>
      <c r="J60" s="389">
        <v>1739.16</v>
      </c>
      <c r="K60" s="333">
        <f t="shared" si="0"/>
        <v>0</v>
      </c>
      <c r="L60" s="329"/>
    </row>
    <row r="61" spans="1:12">
      <c r="A61" s="334">
        <v>55</v>
      </c>
      <c r="B61" s="354">
        <v>1964</v>
      </c>
      <c r="C61" s="328" t="s">
        <v>491</v>
      </c>
      <c r="D61" s="328" t="s">
        <v>456</v>
      </c>
      <c r="E61" s="329" t="s">
        <v>852</v>
      </c>
      <c r="F61" s="330"/>
      <c r="G61" s="331">
        <v>947.85</v>
      </c>
      <c r="H61" s="332" t="s">
        <v>1006</v>
      </c>
      <c r="I61" s="331">
        <v>947.85</v>
      </c>
      <c r="J61" s="389">
        <v>947.85</v>
      </c>
      <c r="K61" s="333">
        <f t="shared" si="0"/>
        <v>0</v>
      </c>
      <c r="L61" s="329"/>
    </row>
    <row r="62" spans="1:12">
      <c r="A62" s="334">
        <v>57</v>
      </c>
      <c r="B62" s="354">
        <v>1981</v>
      </c>
      <c r="C62" s="328" t="s">
        <v>774</v>
      </c>
      <c r="D62" s="338" t="s">
        <v>822</v>
      </c>
      <c r="E62" s="329" t="s">
        <v>852</v>
      </c>
      <c r="F62" s="330"/>
      <c r="G62" s="331">
        <v>740.89</v>
      </c>
      <c r="H62" s="332" t="s">
        <v>1006</v>
      </c>
      <c r="I62" s="331">
        <v>740.89</v>
      </c>
      <c r="J62" s="389">
        <v>740.89</v>
      </c>
      <c r="K62" s="333">
        <f t="shared" si="0"/>
        <v>0</v>
      </c>
      <c r="L62" s="329"/>
    </row>
    <row r="63" spans="1:12">
      <c r="A63" s="334">
        <v>56</v>
      </c>
      <c r="B63" s="354">
        <v>1662</v>
      </c>
      <c r="C63" s="328" t="s">
        <v>774</v>
      </c>
      <c r="D63" s="328" t="s">
        <v>823</v>
      </c>
      <c r="E63" s="329" t="s">
        <v>852</v>
      </c>
      <c r="F63" s="330"/>
      <c r="G63" s="331">
        <v>989.01</v>
      </c>
      <c r="H63" s="332" t="s">
        <v>1006</v>
      </c>
      <c r="I63" s="331">
        <v>989.01</v>
      </c>
      <c r="J63" s="389">
        <v>989.01</v>
      </c>
      <c r="K63" s="333">
        <f t="shared" si="0"/>
        <v>0</v>
      </c>
      <c r="L63" s="329"/>
    </row>
    <row r="64" spans="1:12">
      <c r="A64" s="334"/>
      <c r="B64" s="354">
        <v>2339</v>
      </c>
      <c r="C64" s="328" t="s">
        <v>775</v>
      </c>
      <c r="D64" s="328" t="s">
        <v>1110</v>
      </c>
      <c r="E64" s="329" t="s">
        <v>854</v>
      </c>
      <c r="F64" s="330">
        <v>1</v>
      </c>
      <c r="G64" s="331">
        <v>1568.73</v>
      </c>
      <c r="H64" s="332">
        <v>0</v>
      </c>
      <c r="I64" s="331">
        <v>1568.73</v>
      </c>
      <c r="J64" s="389">
        <v>1568.73</v>
      </c>
      <c r="K64" s="333">
        <f t="shared" si="0"/>
        <v>0</v>
      </c>
      <c r="L64" s="329"/>
    </row>
    <row r="65" spans="1:16">
      <c r="A65" s="334">
        <v>58</v>
      </c>
      <c r="B65" s="354">
        <v>1630</v>
      </c>
      <c r="C65" s="328" t="s">
        <v>775</v>
      </c>
      <c r="D65" s="338" t="s">
        <v>824</v>
      </c>
      <c r="E65" s="329" t="s">
        <v>852</v>
      </c>
      <c r="F65" s="330"/>
      <c r="G65" s="331">
        <v>1352.5</v>
      </c>
      <c r="H65" s="332" t="s">
        <v>1006</v>
      </c>
      <c r="I65" s="331">
        <v>1352.5</v>
      </c>
      <c r="J65" s="389">
        <v>1352.5</v>
      </c>
      <c r="K65" s="333">
        <f t="shared" si="0"/>
        <v>0</v>
      </c>
      <c r="L65" s="329"/>
    </row>
    <row r="66" spans="1:16">
      <c r="A66" s="334">
        <v>61</v>
      </c>
      <c r="B66" s="354">
        <v>2010</v>
      </c>
      <c r="C66" s="328" t="s">
        <v>777</v>
      </c>
      <c r="D66" s="328" t="s">
        <v>826</v>
      </c>
      <c r="E66" s="329" t="s">
        <v>852</v>
      </c>
      <c r="F66" s="330"/>
      <c r="G66" s="331">
        <v>1131.6199999999999</v>
      </c>
      <c r="H66" s="332" t="s">
        <v>1006</v>
      </c>
      <c r="I66" s="331">
        <v>1131.6199999999999</v>
      </c>
      <c r="J66" s="389">
        <v>1131.6199999999999</v>
      </c>
      <c r="K66" s="333">
        <f t="shared" si="0"/>
        <v>0</v>
      </c>
      <c r="L66" s="329"/>
    </row>
    <row r="67" spans="1:16">
      <c r="A67" s="334">
        <v>60</v>
      </c>
      <c r="B67" s="354">
        <v>2187</v>
      </c>
      <c r="C67" s="328" t="s">
        <v>777</v>
      </c>
      <c r="D67" s="328" t="s">
        <v>827</v>
      </c>
      <c r="E67" s="329" t="s">
        <v>853</v>
      </c>
      <c r="F67" s="330">
        <v>2</v>
      </c>
      <c r="G67" s="331">
        <v>2082.5100000000002</v>
      </c>
      <c r="H67" s="332" t="s">
        <v>1006</v>
      </c>
      <c r="I67" s="391">
        <v>2082.5100000000002</v>
      </c>
      <c r="J67" s="389">
        <v>2082.5100000000002</v>
      </c>
      <c r="K67" s="333">
        <f t="shared" si="0"/>
        <v>0</v>
      </c>
      <c r="L67" s="329"/>
    </row>
    <row r="68" spans="1:16">
      <c r="A68" s="334">
        <v>63</v>
      </c>
      <c r="B68" s="354">
        <v>2064</v>
      </c>
      <c r="C68" s="328" t="s">
        <v>778</v>
      </c>
      <c r="D68" s="338" t="s">
        <v>829</v>
      </c>
      <c r="E68" s="341" t="s">
        <v>856</v>
      </c>
      <c r="F68" s="330">
        <v>2</v>
      </c>
      <c r="G68" s="331">
        <v>1797.13</v>
      </c>
      <c r="H68" s="332">
        <v>659.88</v>
      </c>
      <c r="I68" s="332">
        <f>SUM(G68:H68)</f>
        <v>2457.0100000000002</v>
      </c>
      <c r="J68" s="333">
        <v>2457.0100000000002</v>
      </c>
      <c r="K68" s="333">
        <f t="shared" ref="K68" si="1">I68-J68</f>
        <v>0</v>
      </c>
      <c r="L68" s="329"/>
    </row>
    <row r="69" spans="1:16">
      <c r="A69" s="334"/>
      <c r="B69" s="354">
        <v>2335</v>
      </c>
      <c r="C69" s="328" t="s">
        <v>870</v>
      </c>
      <c r="D69" s="338" t="s">
        <v>1081</v>
      </c>
      <c r="E69" s="382" t="s">
        <v>852</v>
      </c>
      <c r="F69" s="330"/>
      <c r="G69" s="331">
        <v>607.54999999999995</v>
      </c>
      <c r="H69" s="332">
        <v>0</v>
      </c>
      <c r="I69" s="331">
        <v>607.54999999999995</v>
      </c>
      <c r="J69" s="389">
        <v>607.54999999999995</v>
      </c>
      <c r="K69" s="333">
        <v>0</v>
      </c>
      <c r="L69" s="329"/>
    </row>
    <row r="70" spans="1:16">
      <c r="A70" s="7"/>
      <c r="B70" s="66">
        <v>2089</v>
      </c>
      <c r="C70" s="29" t="s">
        <v>870</v>
      </c>
      <c r="D70" s="29" t="s">
        <v>1007</v>
      </c>
      <c r="E70" s="410" t="s">
        <v>852</v>
      </c>
      <c r="F70" s="411"/>
      <c r="G70" s="412"/>
      <c r="H70" s="413"/>
      <c r="I70" s="412"/>
      <c r="J70" s="414"/>
      <c r="K70" s="414"/>
      <c r="L70" s="385"/>
      <c r="M70" s="216"/>
      <c r="O70" s="15"/>
      <c r="P70" s="15"/>
    </row>
    <row r="71" spans="1:16">
      <c r="A71" s="7"/>
      <c r="B71" s="66"/>
      <c r="C71" s="29"/>
      <c r="D71" s="29"/>
      <c r="E71" s="410"/>
      <c r="F71" s="411"/>
      <c r="G71" s="412"/>
      <c r="H71" s="413"/>
      <c r="I71" s="412"/>
      <c r="J71" s="414"/>
      <c r="K71" s="414"/>
      <c r="L71" s="385"/>
      <c r="M71" s="216"/>
      <c r="O71" s="15"/>
      <c r="P71" s="15"/>
    </row>
    <row r="72" spans="1:16">
      <c r="A72" s="7"/>
      <c r="B72" s="66"/>
      <c r="C72" s="29"/>
      <c r="D72" s="29"/>
      <c r="E72" s="410"/>
      <c r="F72" s="411"/>
      <c r="G72" s="412"/>
      <c r="H72" s="413"/>
      <c r="I72" s="412"/>
      <c r="J72" s="414"/>
      <c r="K72" s="414"/>
      <c r="L72" s="385"/>
      <c r="M72" s="216"/>
      <c r="O72" s="15"/>
      <c r="P72" s="15"/>
    </row>
    <row r="73" spans="1:16">
      <c r="A73" s="7"/>
      <c r="B73" s="354">
        <v>2288</v>
      </c>
      <c r="C73" s="328" t="s">
        <v>772</v>
      </c>
      <c r="D73" s="338" t="s">
        <v>820</v>
      </c>
      <c r="E73" s="329" t="s">
        <v>852</v>
      </c>
      <c r="F73" s="330"/>
      <c r="G73" s="331">
        <v>648.71</v>
      </c>
      <c r="H73" s="412"/>
      <c r="I73" s="331">
        <v>648.71</v>
      </c>
      <c r="J73" s="331">
        <v>648.71</v>
      </c>
      <c r="K73" s="333">
        <f t="shared" ref="K73" si="2">I73-J73</f>
        <v>0</v>
      </c>
      <c r="L73" s="196" t="s">
        <v>1128</v>
      </c>
      <c r="M73" s="216"/>
      <c r="O73" s="15"/>
      <c r="P73" s="15"/>
    </row>
    <row r="74" spans="1:16">
      <c r="A74" s="7"/>
      <c r="B74" s="354"/>
      <c r="C74" s="328"/>
      <c r="D74" s="338"/>
      <c r="E74" s="329"/>
      <c r="F74" s="330"/>
      <c r="G74" s="331"/>
      <c r="H74" s="412"/>
      <c r="I74" s="331">
        <v>648.71</v>
      </c>
      <c r="J74" s="331">
        <v>648.71</v>
      </c>
      <c r="K74" s="333"/>
      <c r="L74" s="196"/>
      <c r="M74" s="216"/>
      <c r="O74" s="15"/>
      <c r="P74" s="15"/>
    </row>
    <row r="75" spans="1:16">
      <c r="A75" s="7"/>
      <c r="B75" s="354"/>
      <c r="C75" s="328"/>
      <c r="D75" s="338"/>
      <c r="E75" s="329"/>
      <c r="F75" s="330"/>
      <c r="G75" s="331"/>
      <c r="H75" s="412"/>
      <c r="I75" s="331"/>
      <c r="J75" s="331">
        <v>648.71</v>
      </c>
      <c r="K75" s="333"/>
      <c r="L75" s="196"/>
      <c r="M75" s="216"/>
      <c r="O75" s="15"/>
      <c r="P75" s="15"/>
    </row>
    <row r="76" spans="1:16">
      <c r="A76" s="7"/>
      <c r="B76" s="354"/>
      <c r="C76" s="328"/>
      <c r="D76" s="338"/>
      <c r="E76" s="329"/>
      <c r="F76" s="330"/>
      <c r="G76" s="331"/>
      <c r="H76" s="412"/>
      <c r="I76" s="331"/>
      <c r="J76" s="331">
        <v>648.71</v>
      </c>
      <c r="K76" s="333"/>
      <c r="L76" s="196"/>
      <c r="M76" s="216"/>
      <c r="O76" s="15"/>
      <c r="P76" s="15"/>
    </row>
    <row r="77" spans="1:16">
      <c r="A77" s="7"/>
      <c r="B77" s="354"/>
      <c r="C77" s="328"/>
      <c r="D77" s="338"/>
      <c r="E77" s="329"/>
      <c r="F77" s="330"/>
      <c r="G77" s="331"/>
      <c r="H77" s="412"/>
      <c r="I77" s="331"/>
      <c r="J77" s="331"/>
      <c r="K77" s="333"/>
      <c r="L77" s="196"/>
      <c r="M77" s="216"/>
      <c r="O77" s="15"/>
      <c r="P77" s="15"/>
    </row>
    <row r="78" spans="1:16">
      <c r="A78" s="7"/>
      <c r="B78" s="354"/>
      <c r="C78" s="328"/>
      <c r="D78" s="338"/>
      <c r="E78" s="329"/>
      <c r="F78" s="330"/>
      <c r="G78" s="331"/>
      <c r="H78" s="413">
        <f>SUM(H13:H70)</f>
        <v>4533.76</v>
      </c>
      <c r="I78" s="331" t="s">
        <v>1113</v>
      </c>
      <c r="J78" s="415">
        <f>SUM(J73:J76)</f>
        <v>2594.84</v>
      </c>
      <c r="K78" s="333"/>
      <c r="L78" s="385"/>
      <c r="M78" s="216"/>
      <c r="O78" s="15"/>
      <c r="P78" s="15"/>
    </row>
    <row r="79" spans="1:16">
      <c r="A79" s="438" t="s">
        <v>652</v>
      </c>
      <c r="B79" s="439"/>
      <c r="C79" s="439"/>
      <c r="D79" s="439"/>
      <c r="E79" s="439"/>
      <c r="F79" s="439"/>
      <c r="G79" s="440"/>
      <c r="H79" s="347"/>
      <c r="I79" s="348">
        <f>SUM(I5:I69)</f>
        <v>86485.77</v>
      </c>
      <c r="J79" s="383">
        <f>SUM(J5:J69)</f>
        <v>86485.760000000009</v>
      </c>
      <c r="K79" s="383"/>
      <c r="L79" s="386"/>
    </row>
    <row r="80" spans="1:16">
      <c r="A80" s="441" t="s">
        <v>1028</v>
      </c>
      <c r="B80" s="442"/>
      <c r="C80" s="443"/>
      <c r="D80" s="351"/>
      <c r="E80" s="352" t="s">
        <v>258</v>
      </c>
      <c r="F80" s="334">
        <v>73</v>
      </c>
      <c r="G80" s="329" t="s">
        <v>1029</v>
      </c>
      <c r="H80" s="351"/>
      <c r="I80" s="352" t="s">
        <v>258</v>
      </c>
      <c r="J80" s="343">
        <v>74</v>
      </c>
      <c r="K80" s="343"/>
      <c r="L80" s="161"/>
    </row>
    <row r="81" spans="1:20">
      <c r="A81" s="353"/>
      <c r="B81" s="352"/>
      <c r="C81" s="351"/>
      <c r="D81" s="351"/>
      <c r="E81" s="351" t="s">
        <v>930</v>
      </c>
      <c r="F81" s="330">
        <v>4</v>
      </c>
      <c r="G81" s="329"/>
      <c r="H81" s="351"/>
      <c r="I81" s="351" t="s">
        <v>930</v>
      </c>
      <c r="J81" s="343">
        <v>4</v>
      </c>
      <c r="K81" s="343"/>
      <c r="L81" s="161"/>
    </row>
    <row r="82" spans="1:20">
      <c r="A82" s="441"/>
      <c r="B82" s="442"/>
      <c r="C82" s="443"/>
      <c r="D82" s="351"/>
      <c r="E82" s="352" t="s">
        <v>931</v>
      </c>
      <c r="F82" s="355">
        <v>26</v>
      </c>
      <c r="G82" s="329"/>
      <c r="H82" s="351"/>
      <c r="I82" s="352" t="s">
        <v>931</v>
      </c>
      <c r="J82" s="343">
        <v>26</v>
      </c>
      <c r="K82" s="343"/>
      <c r="L82" s="161"/>
    </row>
    <row r="83" spans="1:20">
      <c r="A83" s="444"/>
      <c r="B83" s="445"/>
      <c r="C83" s="446"/>
      <c r="D83" s="356"/>
      <c r="E83" s="357" t="s">
        <v>246</v>
      </c>
      <c r="F83" s="358">
        <v>103</v>
      </c>
      <c r="G83" s="329"/>
      <c r="H83" s="393"/>
      <c r="I83" s="394" t="s">
        <v>246</v>
      </c>
      <c r="J83" s="395">
        <v>104</v>
      </c>
      <c r="K83" s="395"/>
      <c r="L83" s="161"/>
    </row>
    <row r="84" spans="1:20">
      <c r="A84" s="447" t="s">
        <v>830</v>
      </c>
      <c r="B84" s="448"/>
      <c r="C84" s="448"/>
      <c r="D84" s="448"/>
      <c r="E84" s="448"/>
      <c r="F84" s="448"/>
      <c r="G84" s="448"/>
      <c r="H84" s="381"/>
      <c r="I84" s="381"/>
      <c r="J84" s="396"/>
      <c r="K84" s="396"/>
      <c r="L84" s="392"/>
      <c r="N84" s="15"/>
    </row>
    <row r="85" spans="1:20">
      <c r="A85" s="334"/>
      <c r="B85" s="354">
        <v>2081</v>
      </c>
      <c r="C85" s="328" t="s">
        <v>462</v>
      </c>
      <c r="D85" s="328" t="s">
        <v>425</v>
      </c>
      <c r="E85" s="329" t="s">
        <v>854</v>
      </c>
      <c r="F85" s="330">
        <v>1</v>
      </c>
      <c r="G85" s="409">
        <v>-579.72</v>
      </c>
      <c r="H85" s="332" t="s">
        <v>1006</v>
      </c>
      <c r="I85" s="409">
        <v>-579.72</v>
      </c>
      <c r="J85" s="409">
        <v>-579.72</v>
      </c>
      <c r="K85" s="333"/>
      <c r="L85" s="196" t="s">
        <v>1161</v>
      </c>
      <c r="M85" s="362"/>
      <c r="N85" s="363"/>
      <c r="O85" s="362"/>
      <c r="P85" s="362"/>
      <c r="Q85" s="362"/>
      <c r="R85" s="362"/>
      <c r="S85" s="362"/>
      <c r="T85" s="362"/>
    </row>
    <row r="86" spans="1:20">
      <c r="A86" s="334"/>
      <c r="B86" s="354">
        <v>2160</v>
      </c>
      <c r="C86" s="328" t="s">
        <v>767</v>
      </c>
      <c r="D86" s="338" t="s">
        <v>815</v>
      </c>
      <c r="E86" s="329" t="s">
        <v>854</v>
      </c>
      <c r="F86" s="330">
        <v>1</v>
      </c>
      <c r="G86" s="331">
        <v>-2091.06</v>
      </c>
      <c r="H86" s="332" t="s">
        <v>1006</v>
      </c>
      <c r="I86" s="331">
        <v>-2091.06</v>
      </c>
      <c r="J86" s="331">
        <v>-2091.06</v>
      </c>
      <c r="K86" s="333"/>
      <c r="L86" s="196" t="s">
        <v>1162</v>
      </c>
      <c r="M86" s="362"/>
      <c r="N86" s="363"/>
      <c r="O86" s="362"/>
      <c r="P86" s="362"/>
      <c r="Q86" s="362"/>
      <c r="R86" s="362"/>
      <c r="S86" s="362"/>
      <c r="T86" s="362"/>
    </row>
    <row r="87" spans="1:20">
      <c r="A87" s="334"/>
      <c r="B87" s="354">
        <v>2337</v>
      </c>
      <c r="C87" s="328" t="s">
        <v>777</v>
      </c>
      <c r="D87" s="338" t="s">
        <v>1080</v>
      </c>
      <c r="E87" s="329" t="s">
        <v>852</v>
      </c>
      <c r="F87" s="330"/>
      <c r="G87" s="331">
        <v>-685.81</v>
      </c>
      <c r="H87" s="332">
        <v>0</v>
      </c>
      <c r="I87" s="331">
        <v>-685.81</v>
      </c>
      <c r="J87" s="331">
        <v>-685.81</v>
      </c>
      <c r="K87" s="333"/>
      <c r="L87" s="196" t="s">
        <v>1162</v>
      </c>
      <c r="M87" s="362"/>
      <c r="N87" s="363"/>
      <c r="O87" s="362"/>
      <c r="P87" s="362"/>
      <c r="Q87" s="362"/>
      <c r="R87" s="362"/>
      <c r="S87" s="362"/>
      <c r="T87" s="362"/>
    </row>
    <row r="88" spans="1:20">
      <c r="A88" s="334"/>
      <c r="B88" s="354">
        <v>2337</v>
      </c>
      <c r="C88" s="328" t="s">
        <v>777</v>
      </c>
      <c r="D88" s="338" t="s">
        <v>1080</v>
      </c>
      <c r="E88" s="329" t="s">
        <v>852</v>
      </c>
      <c r="F88" s="330"/>
      <c r="G88" s="331">
        <v>-685.81</v>
      </c>
      <c r="H88" s="332">
        <v>0</v>
      </c>
      <c r="I88" s="331">
        <v>-685.81</v>
      </c>
      <c r="J88" s="331">
        <v>-685.81</v>
      </c>
      <c r="K88" s="333"/>
      <c r="L88" s="196" t="s">
        <v>1162</v>
      </c>
      <c r="M88" s="362"/>
      <c r="N88" s="363"/>
      <c r="O88" s="362"/>
      <c r="P88" s="362"/>
      <c r="Q88" s="362"/>
      <c r="R88" s="362"/>
      <c r="S88" s="362"/>
      <c r="T88" s="362"/>
    </row>
    <row r="89" spans="1:20">
      <c r="A89" s="334"/>
      <c r="B89" s="354"/>
      <c r="C89" s="328"/>
      <c r="D89" s="328"/>
      <c r="E89" s="329"/>
      <c r="F89" s="330"/>
      <c r="G89" s="409"/>
      <c r="H89" s="332"/>
      <c r="I89" s="409"/>
      <c r="J89" s="409"/>
      <c r="K89" s="333"/>
      <c r="L89" s="196"/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/>
      <c r="C90" s="328"/>
      <c r="D90" s="328"/>
      <c r="E90" s="329"/>
      <c r="F90" s="330"/>
      <c r="G90" s="409"/>
      <c r="H90" s="332"/>
      <c r="I90" s="409"/>
      <c r="J90" s="409"/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28"/>
      <c r="E91" s="329"/>
      <c r="F91" s="330"/>
      <c r="G91" s="409"/>
      <c r="H91" s="332"/>
      <c r="I91" s="409"/>
      <c r="J91" s="409"/>
      <c r="K91" s="333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28"/>
      <c r="E92" s="329"/>
      <c r="F92" s="330"/>
      <c r="G92" s="409"/>
      <c r="H92" s="332"/>
      <c r="I92" s="409"/>
      <c r="J92" s="409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28"/>
      <c r="E93" s="329"/>
      <c r="F93" s="330"/>
      <c r="G93" s="409"/>
      <c r="H93" s="332"/>
      <c r="I93" s="409"/>
      <c r="J93" s="40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28"/>
      <c r="E94" s="329"/>
      <c r="F94" s="330"/>
      <c r="G94" s="409"/>
      <c r="H94" s="332"/>
      <c r="I94" s="409"/>
      <c r="J94" s="40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28"/>
      <c r="E95" s="329"/>
      <c r="F95" s="330"/>
      <c r="G95" s="409"/>
      <c r="H95" s="332"/>
      <c r="I95" s="409"/>
      <c r="J95" s="40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29"/>
      <c r="F96" s="330"/>
      <c r="G96" s="409"/>
      <c r="H96" s="332"/>
      <c r="I96" s="409"/>
      <c r="J96" s="409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28"/>
      <c r="E97" s="329"/>
      <c r="F97" s="330"/>
      <c r="G97" s="409"/>
      <c r="H97" s="332"/>
      <c r="I97" s="409"/>
      <c r="J97" s="409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28"/>
      <c r="E98" s="329"/>
      <c r="F98" s="330"/>
      <c r="G98" s="409"/>
      <c r="H98" s="332"/>
      <c r="I98" s="409"/>
      <c r="J98" s="409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28"/>
      <c r="E99" s="329"/>
      <c r="F99" s="330"/>
      <c r="G99" s="409"/>
      <c r="H99" s="332"/>
      <c r="I99" s="409"/>
      <c r="J99" s="409"/>
      <c r="K99" s="333"/>
      <c r="L99" s="196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28"/>
      <c r="E100" s="329"/>
      <c r="F100" s="330"/>
      <c r="G100" s="409"/>
      <c r="H100" s="332"/>
      <c r="I100" s="409"/>
      <c r="J100" s="409"/>
      <c r="K100" s="333"/>
      <c r="L100" s="196"/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/>
      <c r="C101" s="328"/>
      <c r="D101" s="328"/>
      <c r="E101" s="329"/>
      <c r="F101" s="330"/>
      <c r="G101" s="331"/>
      <c r="H101" s="332"/>
      <c r="I101" s="332"/>
      <c r="J101" s="333"/>
      <c r="K101" s="333"/>
      <c r="L101" s="161"/>
      <c r="N101" s="15"/>
    </row>
    <row r="102" spans="1:20">
      <c r="A102" s="438" t="s">
        <v>846</v>
      </c>
      <c r="B102" s="439"/>
      <c r="C102" s="439"/>
      <c r="D102" s="439"/>
      <c r="E102" s="439"/>
      <c r="F102" s="439"/>
      <c r="G102" s="440"/>
      <c r="H102" s="348">
        <f>SUM(H85:H101)</f>
        <v>0</v>
      </c>
      <c r="I102" s="347"/>
      <c r="J102" s="348">
        <f>SUM(J85:J101)</f>
        <v>-4042.3999999999996</v>
      </c>
      <c r="K102" s="406"/>
      <c r="L102" s="402"/>
    </row>
    <row r="103" spans="1:20">
      <c r="A103" s="365"/>
      <c r="B103" s="366"/>
      <c r="C103" s="366"/>
      <c r="D103" s="366"/>
      <c r="E103" s="366"/>
      <c r="F103" s="367"/>
      <c r="G103" s="368"/>
      <c r="H103" s="368"/>
      <c r="I103" s="368"/>
      <c r="J103" s="349"/>
      <c r="K103" s="383"/>
      <c r="L103" s="364"/>
    </row>
    <row r="104" spans="1:20" ht="16">
      <c r="A104" s="435" t="s">
        <v>881</v>
      </c>
      <c r="B104" s="436"/>
      <c r="C104" s="436"/>
      <c r="D104" s="436"/>
      <c r="E104" s="436"/>
      <c r="F104" s="436"/>
      <c r="G104" s="437"/>
      <c r="H104" s="369"/>
      <c r="I104" s="369"/>
      <c r="J104" s="370">
        <f>SUM(J79,J102)</f>
        <v>82443.360000000015</v>
      </c>
      <c r="K104" s="407"/>
      <c r="L104" s="350"/>
    </row>
    <row r="105" spans="1:20" ht="18">
      <c r="F105" s="3"/>
      <c r="G105" s="371" t="s">
        <v>1013</v>
      </c>
      <c r="H105" s="372">
        <v>45917</v>
      </c>
    </row>
    <row r="106" spans="1:20" ht="18">
      <c r="F106" s="3"/>
      <c r="G106" s="371" t="s">
        <v>1014</v>
      </c>
      <c r="H106" s="373" t="s">
        <v>990</v>
      </c>
      <c r="I106" s="373"/>
    </row>
    <row r="107" spans="1:20">
      <c r="F107" s="3"/>
      <c r="G107" s="216"/>
      <c r="H107" s="216"/>
      <c r="I107" s="216"/>
      <c r="J107" s="3"/>
      <c r="K107" s="3"/>
      <c r="L107" s="15"/>
      <c r="M107" s="216"/>
    </row>
    <row r="108" spans="1:20">
      <c r="F108" s="3"/>
      <c r="G108" s="216"/>
      <c r="H108" s="269"/>
      <c r="I108" s="216"/>
      <c r="J108" s="270"/>
      <c r="K108" s="270"/>
      <c r="L108" s="15"/>
      <c r="M108" s="216"/>
    </row>
    <row r="109" spans="1:20">
      <c r="F109" s="3"/>
      <c r="G109" s="216"/>
      <c r="H109" s="269" t="s">
        <v>1145</v>
      </c>
      <c r="I109" s="216" t="s">
        <v>1144</v>
      </c>
      <c r="J109" s="270" t="s">
        <v>1112</v>
      </c>
      <c r="K109" s="270"/>
      <c r="L109" s="15"/>
      <c r="M109" s="216"/>
    </row>
    <row r="110" spans="1:20">
      <c r="F110" s="3"/>
      <c r="G110" s="216"/>
      <c r="H110" s="388">
        <f>SUM(H78,H102)</f>
        <v>4533.76</v>
      </c>
      <c r="I110" s="269">
        <f>J104-H110</f>
        <v>77909.60000000002</v>
      </c>
      <c r="J110" s="270">
        <f>SUM(J73:J76)</f>
        <v>2594.84</v>
      </c>
      <c r="K110" s="3"/>
      <c r="L110" s="15"/>
      <c r="M110" s="216"/>
    </row>
    <row r="111" spans="1:20">
      <c r="F111" s="3"/>
      <c r="G111" s="216"/>
      <c r="H111" s="216"/>
      <c r="I111" s="216"/>
      <c r="J111" s="3"/>
      <c r="K111" s="3"/>
      <c r="L111" s="15"/>
      <c r="M111" s="216"/>
      <c r="Q111" s="3"/>
      <c r="R111" s="3"/>
      <c r="S111" s="3"/>
      <c r="T111" s="3"/>
    </row>
  </sheetData>
  <mergeCells count="7">
    <mergeCell ref="A104:G104"/>
    <mergeCell ref="A79:G79"/>
    <mergeCell ref="A80:C80"/>
    <mergeCell ref="A82:C82"/>
    <mergeCell ref="A83:C83"/>
    <mergeCell ref="A84:G84"/>
    <mergeCell ref="A102:G10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BFE4-C617-0646-8602-8A8760791C92}">
  <dimension ref="A1:T101"/>
  <sheetViews>
    <sheetView topLeftCell="A87" zoomScale="170" zoomScaleNormal="170" workbookViewId="0">
      <selection activeCell="A87" sqref="A1:XFD1048576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20.1640625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45901</v>
      </c>
      <c r="K2" s="405"/>
      <c r="L2" s="315" t="s">
        <v>1157</v>
      </c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65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>
        <v>3</v>
      </c>
      <c r="B8" s="375">
        <v>2261</v>
      </c>
      <c r="C8" s="328" t="s">
        <v>744</v>
      </c>
      <c r="D8" s="329" t="s">
        <v>781</v>
      </c>
      <c r="E8" s="329" t="s">
        <v>853</v>
      </c>
      <c r="F8" s="330">
        <v>2</v>
      </c>
      <c r="G8" s="331">
        <v>2063.59</v>
      </c>
      <c r="H8" s="332" t="s">
        <v>1006</v>
      </c>
      <c r="I8" s="331">
        <v>2063.59</v>
      </c>
      <c r="J8" s="389">
        <v>2063.59</v>
      </c>
      <c r="K8" s="333">
        <f t="shared" si="0"/>
        <v>0</v>
      </c>
      <c r="L8" s="329"/>
    </row>
    <row r="9" spans="1:20">
      <c r="A9" s="334">
        <v>4</v>
      </c>
      <c r="B9" s="354">
        <v>2081</v>
      </c>
      <c r="C9" s="328" t="s">
        <v>462</v>
      </c>
      <c r="D9" s="328" t="s">
        <v>425</v>
      </c>
      <c r="E9" s="329" t="s">
        <v>853</v>
      </c>
      <c r="F9" s="330">
        <v>2</v>
      </c>
      <c r="G9" s="409">
        <v>1998.08</v>
      </c>
      <c r="H9" s="332" t="s">
        <v>1006</v>
      </c>
      <c r="I9" s="409">
        <v>1998.08</v>
      </c>
      <c r="J9" s="389">
        <v>1998.08</v>
      </c>
      <c r="K9" s="333">
        <f t="shared" si="0"/>
        <v>0</v>
      </c>
      <c r="L9" s="329" t="s">
        <v>1159</v>
      </c>
    </row>
    <row r="10" spans="1:20">
      <c r="A10" s="334"/>
      <c r="B10" s="354">
        <v>2341</v>
      </c>
      <c r="C10" s="328" t="s">
        <v>460</v>
      </c>
      <c r="D10" s="328" t="s">
        <v>1102</v>
      </c>
      <c r="E10" s="329" t="s">
        <v>852</v>
      </c>
      <c r="F10" s="330"/>
      <c r="G10" s="331">
        <v>1035.3900000000001</v>
      </c>
      <c r="H10" s="332">
        <v>0</v>
      </c>
      <c r="I10" s="331">
        <v>1035.3900000000001</v>
      </c>
      <c r="J10" s="389">
        <v>1035.3900000000001</v>
      </c>
      <c r="K10" s="333">
        <f t="shared" si="0"/>
        <v>0</v>
      </c>
      <c r="L10" s="329"/>
    </row>
    <row r="11" spans="1:20">
      <c r="A11" s="334">
        <v>6</v>
      </c>
      <c r="B11" s="354">
        <v>1593</v>
      </c>
      <c r="C11" s="328" t="s">
        <v>460</v>
      </c>
      <c r="D11" s="328" t="s">
        <v>426</v>
      </c>
      <c r="E11" s="329" t="s">
        <v>852</v>
      </c>
      <c r="F11" s="330"/>
      <c r="G11" s="331">
        <v>1629.03</v>
      </c>
      <c r="H11" s="332" t="s">
        <v>1006</v>
      </c>
      <c r="I11" s="331">
        <v>1629.03</v>
      </c>
      <c r="J11" s="389">
        <v>1629.03</v>
      </c>
      <c r="K11" s="333">
        <f t="shared" si="0"/>
        <v>0</v>
      </c>
      <c r="L11" s="329"/>
    </row>
    <row r="12" spans="1:20">
      <c r="A12" s="334"/>
      <c r="B12" s="354">
        <v>2285</v>
      </c>
      <c r="C12" s="328" t="s">
        <v>745</v>
      </c>
      <c r="D12" s="328" t="s">
        <v>1117</v>
      </c>
      <c r="E12" s="329" t="s">
        <v>852</v>
      </c>
      <c r="F12" s="330"/>
      <c r="G12" s="331">
        <v>593.64</v>
      </c>
      <c r="H12" s="332"/>
      <c r="I12" s="331">
        <v>593.64</v>
      </c>
      <c r="J12" s="389">
        <v>593.64</v>
      </c>
      <c r="K12" s="333"/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703.79</v>
      </c>
      <c r="H13" s="332" t="s">
        <v>1006</v>
      </c>
      <c r="I13" s="331">
        <v>703.79</v>
      </c>
      <c r="J13" s="389">
        <v>703.79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989.01</v>
      </c>
      <c r="H14" s="332" t="s">
        <v>1006</v>
      </c>
      <c r="I14" s="331">
        <v>989.01</v>
      </c>
      <c r="J14" s="389">
        <v>989.01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740.89</v>
      </c>
      <c r="H15" s="332" t="s">
        <v>1006</v>
      </c>
      <c r="I15" s="331">
        <v>740.89</v>
      </c>
      <c r="J15" s="389">
        <v>740.89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717.7</v>
      </c>
      <c r="H16" s="332" t="s">
        <v>1006</v>
      </c>
      <c r="I16" s="331">
        <v>717.7</v>
      </c>
      <c r="J16" s="389">
        <v>717.7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1348.64</v>
      </c>
      <c r="H17" s="332">
        <v>604.79999999999995</v>
      </c>
      <c r="I17" s="332">
        <v>1953.45</v>
      </c>
      <c r="J17" s="333">
        <v>1953.45</v>
      </c>
      <c r="K17" s="333">
        <f t="shared" si="0"/>
        <v>0</v>
      </c>
      <c r="L17" s="329"/>
    </row>
    <row r="18" spans="1:20">
      <c r="A18" s="334"/>
      <c r="B18" s="354">
        <v>2308</v>
      </c>
      <c r="C18" s="328" t="s">
        <v>1118</v>
      </c>
      <c r="D18" s="328" t="s">
        <v>1119</v>
      </c>
      <c r="E18" s="382" t="s">
        <v>852</v>
      </c>
      <c r="F18" s="330"/>
      <c r="G18" s="331">
        <v>947.85</v>
      </c>
      <c r="H18" s="332">
        <v>0</v>
      </c>
      <c r="I18" s="332">
        <v>947.85</v>
      </c>
      <c r="J18" s="389">
        <v>947.85</v>
      </c>
      <c r="K18" s="333"/>
      <c r="L18" s="329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1665.55</v>
      </c>
      <c r="H19" s="332" t="s">
        <v>1006</v>
      </c>
      <c r="I19" s="331">
        <v>1665.55</v>
      </c>
      <c r="J19" s="389">
        <v>1665.55</v>
      </c>
      <c r="K19" s="333">
        <f t="shared" si="0"/>
        <v>0</v>
      </c>
      <c r="L19" s="161"/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754.8</v>
      </c>
      <c r="H20" s="332" t="s">
        <v>1006</v>
      </c>
      <c r="I20" s="331">
        <v>754.8</v>
      </c>
      <c r="J20" s="389">
        <v>754.8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1320.82</v>
      </c>
      <c r="H21" s="332">
        <v>618.14</v>
      </c>
      <c r="I21" s="331">
        <f>H21+G21</f>
        <v>1938.96</v>
      </c>
      <c r="J21" s="389">
        <v>1938.96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808</v>
      </c>
      <c r="H22" s="332">
        <v>480.16</v>
      </c>
      <c r="I22" s="332">
        <f>SUM(G22:H22)</f>
        <v>1288.1600000000001</v>
      </c>
      <c r="J22" s="333">
        <v>1288.1500000000001</v>
      </c>
      <c r="K22" s="333">
        <f t="shared" si="0"/>
        <v>9.9999999999909051E-3</v>
      </c>
      <c r="L22" s="188"/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1713.66</v>
      </c>
      <c r="H23" s="332" t="s">
        <v>1006</v>
      </c>
      <c r="I23" s="331">
        <v>1713.66</v>
      </c>
      <c r="J23" s="389">
        <v>1713.66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1412.79</v>
      </c>
      <c r="H24" s="332" t="s">
        <v>1006</v>
      </c>
      <c r="I24" s="331">
        <v>1412.79</v>
      </c>
      <c r="J24" s="389">
        <v>1412.79</v>
      </c>
      <c r="K24" s="333">
        <f t="shared" si="0"/>
        <v>0</v>
      </c>
      <c r="L24" s="161"/>
    </row>
    <row r="25" spans="1:20">
      <c r="A25" s="334">
        <v>18</v>
      </c>
      <c r="B25" s="354">
        <v>2289</v>
      </c>
      <c r="C25" s="328" t="s">
        <v>750</v>
      </c>
      <c r="D25" s="338" t="s">
        <v>790</v>
      </c>
      <c r="E25" s="329" t="s">
        <v>852</v>
      </c>
      <c r="F25" s="330"/>
      <c r="G25" s="331">
        <v>740.89</v>
      </c>
      <c r="H25" s="332" t="s">
        <v>1006</v>
      </c>
      <c r="I25" s="331">
        <v>740.89</v>
      </c>
      <c r="J25" s="389">
        <v>740.89</v>
      </c>
      <c r="K25" s="333">
        <f t="shared" si="0"/>
        <v>0</v>
      </c>
      <c r="L25" s="161"/>
    </row>
    <row r="26" spans="1:20">
      <c r="A26" s="334"/>
      <c r="B26" s="354">
        <v>2322</v>
      </c>
      <c r="C26" s="328" t="s">
        <v>1023</v>
      </c>
      <c r="D26" s="338" t="s">
        <v>1024</v>
      </c>
      <c r="E26" s="329" t="s">
        <v>852</v>
      </c>
      <c r="F26" s="330"/>
      <c r="G26" s="331">
        <v>582.04</v>
      </c>
      <c r="H26" s="332">
        <v>0</v>
      </c>
      <c r="I26" s="332">
        <v>582.04</v>
      </c>
      <c r="J26" s="335">
        <v>582.04</v>
      </c>
      <c r="K26" s="333">
        <f t="shared" si="0"/>
        <v>0</v>
      </c>
      <c r="L26" s="161"/>
    </row>
    <row r="27" spans="1:20">
      <c r="A27" s="334">
        <v>20</v>
      </c>
      <c r="B27" s="354">
        <v>2250</v>
      </c>
      <c r="C27" s="328" t="s">
        <v>752</v>
      </c>
      <c r="D27" s="328" t="s">
        <v>792</v>
      </c>
      <c r="E27" s="329" t="s">
        <v>853</v>
      </c>
      <c r="F27" s="330">
        <v>2</v>
      </c>
      <c r="G27" s="331">
        <v>1709.74</v>
      </c>
      <c r="H27" s="332" t="s">
        <v>1006</v>
      </c>
      <c r="I27" s="331">
        <v>1709.74</v>
      </c>
      <c r="J27" s="389">
        <v>1709.74</v>
      </c>
      <c r="K27" s="333">
        <f t="shared" si="0"/>
        <v>0</v>
      </c>
      <c r="L27" s="161"/>
    </row>
    <row r="28" spans="1:20">
      <c r="A28" s="334"/>
      <c r="B28" s="354">
        <v>2298</v>
      </c>
      <c r="C28" s="328" t="s">
        <v>752</v>
      </c>
      <c r="D28" s="328" t="s">
        <v>1106</v>
      </c>
      <c r="E28" s="329" t="s">
        <v>852</v>
      </c>
      <c r="F28" s="330"/>
      <c r="G28" s="331">
        <v>685.81</v>
      </c>
      <c r="H28" s="332">
        <v>0</v>
      </c>
      <c r="I28" s="331">
        <v>685.81</v>
      </c>
      <c r="J28" s="389">
        <v>685.81</v>
      </c>
      <c r="K28" s="333">
        <f t="shared" si="0"/>
        <v>0</v>
      </c>
      <c r="L28" s="161"/>
    </row>
    <row r="29" spans="1:20">
      <c r="A29" s="334">
        <v>21</v>
      </c>
      <c r="B29" s="354">
        <v>2193</v>
      </c>
      <c r="C29" s="328" t="s">
        <v>753</v>
      </c>
      <c r="D29" s="328" t="s">
        <v>794</v>
      </c>
      <c r="E29" s="329" t="s">
        <v>852</v>
      </c>
      <c r="F29" s="330"/>
      <c r="G29" s="331">
        <v>713.06</v>
      </c>
      <c r="H29" s="332" t="s">
        <v>1006</v>
      </c>
      <c r="I29" s="331">
        <v>713.06</v>
      </c>
      <c r="J29" s="389">
        <v>713.06</v>
      </c>
      <c r="K29" s="333">
        <f t="shared" si="0"/>
        <v>0</v>
      </c>
      <c r="L29" s="161"/>
    </row>
    <row r="30" spans="1:20">
      <c r="A30" s="334"/>
      <c r="B30" s="354">
        <v>2223</v>
      </c>
      <c r="C30" s="328" t="s">
        <v>972</v>
      </c>
      <c r="D30" s="328" t="s">
        <v>973</v>
      </c>
      <c r="E30" s="329" t="s">
        <v>852</v>
      </c>
      <c r="F30" s="330"/>
      <c r="G30" s="331">
        <v>630.16</v>
      </c>
      <c r="H30" s="332"/>
      <c r="I30" s="331">
        <v>630.16</v>
      </c>
      <c r="J30" s="389">
        <v>630.16</v>
      </c>
      <c r="K30" s="333">
        <f t="shared" si="0"/>
        <v>0</v>
      </c>
      <c r="L30" s="161"/>
    </row>
    <row r="31" spans="1:20">
      <c r="A31" s="334">
        <v>22</v>
      </c>
      <c r="B31" s="354">
        <v>640</v>
      </c>
      <c r="C31" s="328" t="s">
        <v>754</v>
      </c>
      <c r="D31" s="339" t="s">
        <v>795</v>
      </c>
      <c r="E31" s="329" t="s">
        <v>852</v>
      </c>
      <c r="F31" s="330"/>
      <c r="G31" s="331">
        <v>1509.02</v>
      </c>
      <c r="H31" s="332" t="s">
        <v>1006</v>
      </c>
      <c r="I31" s="416">
        <v>1509.02</v>
      </c>
      <c r="J31" s="389">
        <v>1509.02</v>
      </c>
      <c r="K31" s="333">
        <f t="shared" si="0"/>
        <v>0</v>
      </c>
      <c r="L31" s="329"/>
    </row>
    <row r="32" spans="1:20">
      <c r="A32" s="334">
        <v>23</v>
      </c>
      <c r="B32" s="354">
        <v>901</v>
      </c>
      <c r="C32" s="328" t="s">
        <v>439</v>
      </c>
      <c r="D32" s="328" t="s">
        <v>505</v>
      </c>
      <c r="E32" s="329" t="s">
        <v>852</v>
      </c>
      <c r="F32" s="330"/>
      <c r="G32" s="331">
        <v>1739.16</v>
      </c>
      <c r="H32" s="332" t="s">
        <v>1006</v>
      </c>
      <c r="I32" s="331">
        <v>1739.16</v>
      </c>
      <c r="J32" s="389">
        <v>1739.16</v>
      </c>
      <c r="K32" s="333">
        <f t="shared" si="0"/>
        <v>0</v>
      </c>
      <c r="L32" s="329"/>
    </row>
    <row r="33" spans="1:20">
      <c r="A33" s="334">
        <v>24</v>
      </c>
      <c r="B33" s="376" t="s">
        <v>675</v>
      </c>
      <c r="C33" s="328" t="s">
        <v>755</v>
      </c>
      <c r="D33" s="328" t="s">
        <v>796</v>
      </c>
      <c r="E33" s="329" t="s">
        <v>852</v>
      </c>
      <c r="F33" s="330"/>
      <c r="G33" s="331">
        <v>786.69</v>
      </c>
      <c r="H33" s="332" t="s">
        <v>1006</v>
      </c>
      <c r="I33" s="332">
        <v>786.69</v>
      </c>
      <c r="J33" s="333">
        <v>786.69</v>
      </c>
      <c r="K33" s="333">
        <f t="shared" si="0"/>
        <v>0</v>
      </c>
      <c r="L33" s="329"/>
    </row>
    <row r="34" spans="1:20">
      <c r="A34" s="334">
        <v>26</v>
      </c>
      <c r="B34" s="354">
        <v>1741</v>
      </c>
      <c r="C34" s="328" t="s">
        <v>755</v>
      </c>
      <c r="D34" s="328" t="s">
        <v>797</v>
      </c>
      <c r="E34" s="329" t="s">
        <v>852</v>
      </c>
      <c r="F34" s="330"/>
      <c r="G34" s="331">
        <v>1292.79</v>
      </c>
      <c r="H34" s="332" t="s">
        <v>1006</v>
      </c>
      <c r="I34" s="331">
        <v>1292.79</v>
      </c>
      <c r="J34" s="389">
        <v>1292.79</v>
      </c>
      <c r="K34" s="333">
        <f t="shared" si="0"/>
        <v>0</v>
      </c>
      <c r="L34" s="329"/>
    </row>
    <row r="35" spans="1:20">
      <c r="A35" s="334">
        <v>25</v>
      </c>
      <c r="B35" s="354">
        <v>1757</v>
      </c>
      <c r="C35" s="328" t="s">
        <v>755</v>
      </c>
      <c r="D35" s="338" t="s">
        <v>798</v>
      </c>
      <c r="E35" s="329" t="s">
        <v>853</v>
      </c>
      <c r="F35" s="330">
        <v>2</v>
      </c>
      <c r="G35" s="331">
        <v>2170.85</v>
      </c>
      <c r="H35" s="332" t="s">
        <v>1006</v>
      </c>
      <c r="I35" s="331">
        <v>2170.85</v>
      </c>
      <c r="J35" s="389">
        <v>2170.85</v>
      </c>
      <c r="K35" s="333">
        <f t="shared" si="0"/>
        <v>0</v>
      </c>
      <c r="L35" s="329"/>
      <c r="N35" s="12"/>
      <c r="O35" s="12"/>
      <c r="P35" s="12"/>
      <c r="Q35" s="12"/>
      <c r="R35" s="12"/>
      <c r="S35" s="12"/>
      <c r="T35" s="12"/>
    </row>
    <row r="36" spans="1:20">
      <c r="A36" s="334">
        <v>27</v>
      </c>
      <c r="B36" s="354">
        <v>2057</v>
      </c>
      <c r="C36" s="328" t="s">
        <v>756</v>
      </c>
      <c r="D36" s="338" t="s">
        <v>799</v>
      </c>
      <c r="E36" s="329" t="s">
        <v>852</v>
      </c>
      <c r="F36" s="330"/>
      <c r="G36" s="331">
        <v>1739.16</v>
      </c>
      <c r="H36" s="332" t="s">
        <v>1006</v>
      </c>
      <c r="I36" s="331">
        <v>1739.16</v>
      </c>
      <c r="J36" s="389">
        <v>1739.16</v>
      </c>
      <c r="K36" s="333">
        <f t="shared" si="0"/>
        <v>0</v>
      </c>
      <c r="L36" s="329"/>
    </row>
    <row r="37" spans="1:20">
      <c r="A37" s="334">
        <v>28</v>
      </c>
      <c r="B37" s="354">
        <v>1210</v>
      </c>
      <c r="C37" s="328" t="s">
        <v>756</v>
      </c>
      <c r="D37" s="338" t="s">
        <v>800</v>
      </c>
      <c r="E37" s="329" t="s">
        <v>852</v>
      </c>
      <c r="F37" s="330"/>
      <c r="G37" s="331">
        <v>1739.16</v>
      </c>
      <c r="H37" s="332" t="s">
        <v>1006</v>
      </c>
      <c r="I37" s="331">
        <v>1739.16</v>
      </c>
      <c r="J37" s="389">
        <v>1739.16</v>
      </c>
      <c r="K37" s="333">
        <f t="shared" si="0"/>
        <v>0</v>
      </c>
      <c r="L37" s="329"/>
    </row>
    <row r="38" spans="1:20">
      <c r="A38" s="334"/>
      <c r="B38" s="354">
        <v>2310</v>
      </c>
      <c r="C38" s="328" t="s">
        <v>756</v>
      </c>
      <c r="D38" s="338" t="s">
        <v>977</v>
      </c>
      <c r="E38" s="329" t="s">
        <v>852</v>
      </c>
      <c r="F38" s="330"/>
      <c r="G38" s="331">
        <v>1035.3900000000001</v>
      </c>
      <c r="H38" s="332" t="s">
        <v>1006</v>
      </c>
      <c r="I38" s="331">
        <v>1035.3900000000001</v>
      </c>
      <c r="J38" s="389">
        <v>1035.3900000000001</v>
      </c>
      <c r="K38" s="333">
        <f t="shared" si="0"/>
        <v>0</v>
      </c>
      <c r="L38" s="329"/>
    </row>
    <row r="39" spans="1:20">
      <c r="A39" s="334">
        <v>29</v>
      </c>
      <c r="B39" s="354">
        <v>1460</v>
      </c>
      <c r="C39" s="328" t="s">
        <v>444</v>
      </c>
      <c r="D39" s="328" t="s">
        <v>506</v>
      </c>
      <c r="E39" s="329" t="s">
        <v>852</v>
      </c>
      <c r="F39" s="330"/>
      <c r="G39" s="331">
        <v>1081.19</v>
      </c>
      <c r="H39" s="332" t="s">
        <v>1006</v>
      </c>
      <c r="I39" s="331">
        <v>1081.19</v>
      </c>
      <c r="J39" s="389">
        <v>1081.19</v>
      </c>
      <c r="K39" s="333">
        <f t="shared" si="0"/>
        <v>0</v>
      </c>
      <c r="L39" s="329"/>
    </row>
    <row r="40" spans="1:20">
      <c r="A40" s="334">
        <v>32</v>
      </c>
      <c r="B40" s="354">
        <v>2248</v>
      </c>
      <c r="C40" s="328" t="s">
        <v>757</v>
      </c>
      <c r="D40" s="328" t="s">
        <v>801</v>
      </c>
      <c r="E40" s="341" t="s">
        <v>856</v>
      </c>
      <c r="F40" s="330">
        <v>2</v>
      </c>
      <c r="G40" s="331">
        <v>1778.57</v>
      </c>
      <c r="H40" s="332">
        <v>581.62</v>
      </c>
      <c r="I40" s="332">
        <f>SUM(G40:H40)</f>
        <v>2360.19</v>
      </c>
      <c r="J40" s="333">
        <v>2360.19</v>
      </c>
      <c r="K40" s="333">
        <f t="shared" si="0"/>
        <v>0</v>
      </c>
      <c r="L40" s="329"/>
    </row>
    <row r="41" spans="1:20">
      <c r="A41" s="334"/>
      <c r="B41" s="354">
        <v>2319</v>
      </c>
      <c r="C41" s="328" t="s">
        <v>757</v>
      </c>
      <c r="D41" s="328" t="s">
        <v>1026</v>
      </c>
      <c r="E41" s="382" t="s">
        <v>853</v>
      </c>
      <c r="F41" s="330">
        <v>2</v>
      </c>
      <c r="G41" s="331">
        <v>1623.94</v>
      </c>
      <c r="H41" s="332">
        <v>0</v>
      </c>
      <c r="I41" s="331">
        <v>1623.94</v>
      </c>
      <c r="J41" s="389">
        <v>1623.94</v>
      </c>
      <c r="K41" s="333">
        <f t="shared" si="0"/>
        <v>0</v>
      </c>
      <c r="L41" s="329"/>
    </row>
    <row r="42" spans="1:20">
      <c r="A42" s="334"/>
      <c r="B42" s="354">
        <v>1300</v>
      </c>
      <c r="C42" s="328" t="s">
        <v>757</v>
      </c>
      <c r="D42" s="328" t="s">
        <v>1037</v>
      </c>
      <c r="E42" s="382" t="s">
        <v>854</v>
      </c>
      <c r="F42" s="330">
        <v>1</v>
      </c>
      <c r="G42" s="331">
        <v>1783.23</v>
      </c>
      <c r="H42" s="332">
        <v>0</v>
      </c>
      <c r="I42" s="331">
        <v>1783.23</v>
      </c>
      <c r="J42" s="389">
        <v>1783.23</v>
      </c>
      <c r="K42" s="333">
        <f t="shared" si="0"/>
        <v>0</v>
      </c>
      <c r="L42" s="329"/>
    </row>
    <row r="43" spans="1:20">
      <c r="A43" s="334">
        <v>30</v>
      </c>
      <c r="B43" s="354">
        <v>2062</v>
      </c>
      <c r="C43" s="328" t="s">
        <v>757</v>
      </c>
      <c r="D43" s="328" t="s">
        <v>802</v>
      </c>
      <c r="E43" s="329" t="s">
        <v>853</v>
      </c>
      <c r="F43" s="330">
        <v>2</v>
      </c>
      <c r="G43" s="331">
        <v>1633.22</v>
      </c>
      <c r="H43" s="332" t="s">
        <v>1006</v>
      </c>
      <c r="I43" s="331">
        <v>1633.22</v>
      </c>
      <c r="J43" s="389">
        <v>1633.22</v>
      </c>
      <c r="K43" s="333">
        <f t="shared" si="0"/>
        <v>0</v>
      </c>
      <c r="L43" s="329"/>
    </row>
    <row r="44" spans="1:20">
      <c r="A44" s="334"/>
      <c r="B44" s="354">
        <v>2313</v>
      </c>
      <c r="C44" s="328" t="s">
        <v>1000</v>
      </c>
      <c r="D44" s="328" t="s">
        <v>1001</v>
      </c>
      <c r="E44" s="329" t="s">
        <v>853</v>
      </c>
      <c r="F44" s="330">
        <v>2</v>
      </c>
      <c r="G44" s="331">
        <v>1907.43</v>
      </c>
      <c r="H44" s="332" t="s">
        <v>1006</v>
      </c>
      <c r="I44" s="331">
        <v>1907.43</v>
      </c>
      <c r="J44" s="389">
        <v>1907.43</v>
      </c>
      <c r="K44" s="333">
        <f t="shared" si="0"/>
        <v>0</v>
      </c>
      <c r="L44" s="29"/>
    </row>
    <row r="45" spans="1:20">
      <c r="A45" s="334">
        <v>35</v>
      </c>
      <c r="B45" s="354">
        <v>2172</v>
      </c>
      <c r="C45" s="328" t="s">
        <v>478</v>
      </c>
      <c r="D45" s="328" t="s">
        <v>448</v>
      </c>
      <c r="E45" s="329" t="s">
        <v>852</v>
      </c>
      <c r="F45" s="330"/>
      <c r="G45" s="331">
        <v>1739.16</v>
      </c>
      <c r="H45" s="332" t="s">
        <v>1006</v>
      </c>
      <c r="I45" s="331">
        <v>1739.16</v>
      </c>
      <c r="J45" s="399">
        <v>1739.16</v>
      </c>
      <c r="K45" s="333">
        <f t="shared" si="0"/>
        <v>0</v>
      </c>
      <c r="L45" s="161"/>
    </row>
    <row r="46" spans="1:20">
      <c r="A46" s="334">
        <v>36</v>
      </c>
      <c r="B46" s="354">
        <v>2082</v>
      </c>
      <c r="C46" s="328" t="s">
        <v>759</v>
      </c>
      <c r="D46" s="338" t="s">
        <v>806</v>
      </c>
      <c r="E46" s="329" t="s">
        <v>852</v>
      </c>
      <c r="F46" s="330"/>
      <c r="G46" s="331">
        <v>713.06</v>
      </c>
      <c r="H46" s="332" t="s">
        <v>1006</v>
      </c>
      <c r="I46" s="331">
        <v>713.06</v>
      </c>
      <c r="J46" s="333">
        <v>713.06</v>
      </c>
      <c r="K46" s="333">
        <f t="shared" si="0"/>
        <v>0</v>
      </c>
      <c r="L46" s="329"/>
    </row>
    <row r="47" spans="1:20">
      <c r="A47" s="334">
        <v>37</v>
      </c>
      <c r="B47" s="354">
        <v>2119</v>
      </c>
      <c r="C47" s="328" t="s">
        <v>760</v>
      </c>
      <c r="D47" s="328" t="s">
        <v>807</v>
      </c>
      <c r="E47" s="329" t="s">
        <v>852</v>
      </c>
      <c r="F47" s="330"/>
      <c r="G47" s="331">
        <v>630.16</v>
      </c>
      <c r="H47" s="332" t="s">
        <v>1006</v>
      </c>
      <c r="I47" s="331">
        <v>630.16</v>
      </c>
      <c r="J47" s="389">
        <v>630.16</v>
      </c>
      <c r="K47" s="333">
        <f t="shared" si="0"/>
        <v>0</v>
      </c>
      <c r="L47" s="329"/>
    </row>
    <row r="48" spans="1:20">
      <c r="A48" s="334">
        <v>38</v>
      </c>
      <c r="B48" s="354">
        <v>2273</v>
      </c>
      <c r="C48" s="328" t="s">
        <v>761</v>
      </c>
      <c r="D48" s="328" t="s">
        <v>808</v>
      </c>
      <c r="E48" s="329" t="s">
        <v>852</v>
      </c>
      <c r="F48" s="330"/>
      <c r="G48" s="331">
        <v>657.99</v>
      </c>
      <c r="H48" s="332" t="s">
        <v>1006</v>
      </c>
      <c r="I48" s="331">
        <v>657.99</v>
      </c>
      <c r="J48" s="389">
        <v>657.99</v>
      </c>
      <c r="K48" s="333">
        <f t="shared" si="0"/>
        <v>0</v>
      </c>
      <c r="L48" s="329"/>
    </row>
    <row r="49" spans="1:12">
      <c r="A49" s="334">
        <v>40</v>
      </c>
      <c r="B49" s="354">
        <v>1975</v>
      </c>
      <c r="C49" s="328" t="s">
        <v>762</v>
      </c>
      <c r="D49" s="328" t="s">
        <v>810</v>
      </c>
      <c r="E49" s="329" t="s">
        <v>854</v>
      </c>
      <c r="F49" s="330">
        <v>1</v>
      </c>
      <c r="G49" s="331">
        <v>1647.13</v>
      </c>
      <c r="H49" s="332" t="s">
        <v>1006</v>
      </c>
      <c r="I49" s="331">
        <v>1647.13</v>
      </c>
      <c r="J49" s="389">
        <v>1647.13</v>
      </c>
      <c r="K49" s="333" t="e">
        <f>#REF!-#REF!</f>
        <v>#REF!</v>
      </c>
      <c r="L49" s="329"/>
    </row>
    <row r="50" spans="1:12">
      <c r="A50" s="334">
        <v>42</v>
      </c>
      <c r="B50" s="354">
        <v>2235</v>
      </c>
      <c r="C50" s="328" t="s">
        <v>764</v>
      </c>
      <c r="D50" s="328" t="s">
        <v>812</v>
      </c>
      <c r="E50" s="329" t="s">
        <v>854</v>
      </c>
      <c r="F50" s="330">
        <v>1</v>
      </c>
      <c r="G50" s="331">
        <v>1501.26</v>
      </c>
      <c r="H50" s="332" t="s">
        <v>1006</v>
      </c>
      <c r="I50" s="331">
        <v>1501.26</v>
      </c>
      <c r="J50" s="389">
        <v>1501.26</v>
      </c>
      <c r="K50" s="333">
        <f t="shared" si="0"/>
        <v>0</v>
      </c>
      <c r="L50" s="329"/>
    </row>
    <row r="51" spans="1:12">
      <c r="A51" s="334">
        <v>43</v>
      </c>
      <c r="B51" s="354">
        <v>2245</v>
      </c>
      <c r="C51" s="328" t="s">
        <v>765</v>
      </c>
      <c r="D51" s="328" t="s">
        <v>813</v>
      </c>
      <c r="E51" s="329" t="s">
        <v>854</v>
      </c>
      <c r="F51" s="330">
        <v>1</v>
      </c>
      <c r="G51" s="331">
        <v>1789.97</v>
      </c>
      <c r="H51" s="332" t="s">
        <v>1006</v>
      </c>
      <c r="I51" s="331">
        <v>1789.97</v>
      </c>
      <c r="J51" s="389">
        <v>1789.97</v>
      </c>
      <c r="K51" s="333">
        <f t="shared" si="0"/>
        <v>0</v>
      </c>
      <c r="L51" s="329"/>
    </row>
    <row r="52" spans="1:12">
      <c r="A52" s="334"/>
      <c r="B52" s="354">
        <v>2281</v>
      </c>
      <c r="C52" s="328" t="s">
        <v>1146</v>
      </c>
      <c r="D52" s="328" t="s">
        <v>1147</v>
      </c>
      <c r="E52" s="329" t="s">
        <v>855</v>
      </c>
      <c r="F52" s="330">
        <v>1</v>
      </c>
      <c r="G52" s="331">
        <v>2468.88</v>
      </c>
      <c r="H52" s="332">
        <v>1589.16</v>
      </c>
      <c r="I52" s="331">
        <f>SUM(G52:H52)</f>
        <v>4058.04</v>
      </c>
      <c r="J52" s="389">
        <v>4058.04</v>
      </c>
      <c r="K52" s="333"/>
      <c r="L52" s="329"/>
    </row>
    <row r="53" spans="1:12">
      <c r="A53" s="334">
        <v>44</v>
      </c>
      <c r="B53" s="354">
        <v>2001</v>
      </c>
      <c r="C53" s="328" t="s">
        <v>766</v>
      </c>
      <c r="D53" s="338" t="s">
        <v>814</v>
      </c>
      <c r="E53" s="329" t="s">
        <v>854</v>
      </c>
      <c r="F53" s="330">
        <v>1</v>
      </c>
      <c r="G53" s="331">
        <v>1934.9</v>
      </c>
      <c r="H53" s="332" t="s">
        <v>1006</v>
      </c>
      <c r="I53" s="331">
        <v>1934.9</v>
      </c>
      <c r="J53" s="389">
        <v>1934.9</v>
      </c>
      <c r="K53" s="333">
        <f t="shared" si="0"/>
        <v>0</v>
      </c>
      <c r="L53" s="329"/>
    </row>
    <row r="54" spans="1:12">
      <c r="A54" s="334">
        <v>45</v>
      </c>
      <c r="B54" s="354">
        <v>2160</v>
      </c>
      <c r="C54" s="328" t="s">
        <v>767</v>
      </c>
      <c r="D54" s="338" t="s">
        <v>815</v>
      </c>
      <c r="E54" s="329" t="s">
        <v>854</v>
      </c>
      <c r="F54" s="330">
        <v>1</v>
      </c>
      <c r="G54" s="331">
        <v>2091.06</v>
      </c>
      <c r="H54" s="332" t="s">
        <v>1006</v>
      </c>
      <c r="I54" s="331">
        <v>2091.06</v>
      </c>
      <c r="J54" s="331">
        <v>2091.06</v>
      </c>
      <c r="K54" s="333">
        <f t="shared" si="0"/>
        <v>0</v>
      </c>
      <c r="L54" s="329"/>
    </row>
    <row r="55" spans="1:12">
      <c r="A55" s="334">
        <v>48</v>
      </c>
      <c r="B55" s="354">
        <v>2246</v>
      </c>
      <c r="C55" s="328" t="s">
        <v>769</v>
      </c>
      <c r="D55" s="338" t="s">
        <v>817</v>
      </c>
      <c r="E55" s="329" t="s">
        <v>852</v>
      </c>
      <c r="F55" s="330"/>
      <c r="G55" s="331">
        <v>703.79</v>
      </c>
      <c r="H55" s="332" t="s">
        <v>1006</v>
      </c>
      <c r="I55" s="331">
        <v>703.79</v>
      </c>
      <c r="J55" s="389">
        <v>703.79</v>
      </c>
      <c r="K55" s="333">
        <f t="shared" si="0"/>
        <v>0</v>
      </c>
      <c r="L55" s="188"/>
    </row>
    <row r="56" spans="1:12">
      <c r="A56" s="334"/>
      <c r="B56" s="354">
        <v>2329</v>
      </c>
      <c r="C56" s="328" t="s">
        <v>1070</v>
      </c>
      <c r="D56" s="328" t="s">
        <v>1071</v>
      </c>
      <c r="E56" s="329" t="s">
        <v>854</v>
      </c>
      <c r="F56" s="330">
        <v>1</v>
      </c>
      <c r="G56" s="331">
        <v>579.72</v>
      </c>
      <c r="H56" s="332">
        <v>0</v>
      </c>
      <c r="I56" s="331">
        <v>579.72</v>
      </c>
      <c r="J56" s="389">
        <v>579.72</v>
      </c>
      <c r="K56" s="333">
        <f t="shared" si="0"/>
        <v>0</v>
      </c>
      <c r="L56" s="329"/>
    </row>
    <row r="57" spans="1:12">
      <c r="A57" s="334">
        <v>50</v>
      </c>
      <c r="B57" s="354">
        <v>1692</v>
      </c>
      <c r="C57" s="328" t="s">
        <v>771</v>
      </c>
      <c r="D57" s="338" t="s">
        <v>819</v>
      </c>
      <c r="E57" s="329" t="s">
        <v>852</v>
      </c>
      <c r="F57" s="330"/>
      <c r="G57" s="331">
        <v>2088.7399999999998</v>
      </c>
      <c r="H57" s="332" t="s">
        <v>1006</v>
      </c>
      <c r="I57" s="331">
        <v>2088.7399999999998</v>
      </c>
      <c r="J57" s="333">
        <v>2088.7399999999998</v>
      </c>
      <c r="K57" s="333">
        <f t="shared" si="0"/>
        <v>0</v>
      </c>
      <c r="L57" s="329"/>
    </row>
    <row r="58" spans="1:12">
      <c r="A58" s="334"/>
      <c r="B58" s="354">
        <v>2027</v>
      </c>
      <c r="C58" s="328" t="s">
        <v>771</v>
      </c>
      <c r="D58" s="338" t="s">
        <v>982</v>
      </c>
      <c r="E58" s="329" t="s">
        <v>852</v>
      </c>
      <c r="F58" s="330"/>
      <c r="G58" s="331">
        <v>713.06</v>
      </c>
      <c r="H58" s="332" t="s">
        <v>1006</v>
      </c>
      <c r="I58" s="331">
        <v>713.06</v>
      </c>
      <c r="J58" s="389">
        <v>713.06</v>
      </c>
      <c r="K58" s="333">
        <f t="shared" si="0"/>
        <v>0</v>
      </c>
      <c r="L58" s="329"/>
    </row>
    <row r="59" spans="1:12">
      <c r="A59" s="334">
        <v>52</v>
      </c>
      <c r="B59" s="354">
        <v>2060</v>
      </c>
      <c r="C59" s="328" t="s">
        <v>487</v>
      </c>
      <c r="D59" s="328" t="s">
        <v>516</v>
      </c>
      <c r="E59" s="329" t="s">
        <v>852</v>
      </c>
      <c r="F59" s="330"/>
      <c r="G59" s="331">
        <v>1182.6400000000001</v>
      </c>
      <c r="H59" s="332" t="s">
        <v>1006</v>
      </c>
      <c r="I59" s="331">
        <v>1182.6400000000001</v>
      </c>
      <c r="J59" s="389">
        <v>1182.6400000000001</v>
      </c>
      <c r="K59" s="333">
        <f t="shared" si="0"/>
        <v>0</v>
      </c>
      <c r="L59" s="329"/>
    </row>
    <row r="60" spans="1:12">
      <c r="A60" s="334"/>
      <c r="B60" s="354">
        <v>2333</v>
      </c>
      <c r="C60" s="328" t="s">
        <v>1078</v>
      </c>
      <c r="D60" s="328" t="s">
        <v>1079</v>
      </c>
      <c r="E60" s="329" t="s">
        <v>854</v>
      </c>
      <c r="F60" s="330">
        <v>1</v>
      </c>
      <c r="G60" s="331">
        <v>1166.18</v>
      </c>
      <c r="H60" s="332">
        <v>0</v>
      </c>
      <c r="I60" s="331">
        <v>1166.18</v>
      </c>
      <c r="J60" s="389">
        <v>1166.18</v>
      </c>
      <c r="K60" s="333">
        <f t="shared" si="0"/>
        <v>0</v>
      </c>
      <c r="L60" s="329"/>
    </row>
    <row r="61" spans="1:12">
      <c r="A61" s="334">
        <v>54</v>
      </c>
      <c r="B61" s="354">
        <v>1050</v>
      </c>
      <c r="C61" s="328" t="s">
        <v>773</v>
      </c>
      <c r="D61" s="328" t="s">
        <v>821</v>
      </c>
      <c r="E61" s="329" t="s">
        <v>852</v>
      </c>
      <c r="F61" s="330"/>
      <c r="G61" s="331">
        <v>1739.16</v>
      </c>
      <c r="H61" s="332" t="s">
        <v>1006</v>
      </c>
      <c r="I61" s="331">
        <v>1739.16</v>
      </c>
      <c r="J61" s="389">
        <v>1739.16</v>
      </c>
      <c r="K61" s="333">
        <f t="shared" si="0"/>
        <v>0</v>
      </c>
      <c r="L61" s="329"/>
    </row>
    <row r="62" spans="1:12">
      <c r="A62" s="334">
        <v>55</v>
      </c>
      <c r="B62" s="354">
        <v>1964</v>
      </c>
      <c r="C62" s="328" t="s">
        <v>491</v>
      </c>
      <c r="D62" s="328" t="s">
        <v>456</v>
      </c>
      <c r="E62" s="329" t="s">
        <v>852</v>
      </c>
      <c r="F62" s="330"/>
      <c r="G62" s="331">
        <v>947.85</v>
      </c>
      <c r="H62" s="332" t="s">
        <v>1006</v>
      </c>
      <c r="I62" s="331">
        <v>947.85</v>
      </c>
      <c r="J62" s="389">
        <v>947.85</v>
      </c>
      <c r="K62" s="333">
        <f t="shared" si="0"/>
        <v>0</v>
      </c>
      <c r="L62" s="329"/>
    </row>
    <row r="63" spans="1:12">
      <c r="A63" s="334">
        <v>57</v>
      </c>
      <c r="B63" s="354">
        <v>1981</v>
      </c>
      <c r="C63" s="328" t="s">
        <v>774</v>
      </c>
      <c r="D63" s="338" t="s">
        <v>822</v>
      </c>
      <c r="E63" s="329" t="s">
        <v>852</v>
      </c>
      <c r="F63" s="330"/>
      <c r="G63" s="331">
        <v>740.89</v>
      </c>
      <c r="H63" s="332" t="s">
        <v>1006</v>
      </c>
      <c r="I63" s="331">
        <v>740.89</v>
      </c>
      <c r="J63" s="389">
        <v>740.89</v>
      </c>
      <c r="K63" s="333">
        <f t="shared" si="0"/>
        <v>0</v>
      </c>
      <c r="L63" s="329"/>
    </row>
    <row r="64" spans="1:12">
      <c r="A64" s="334">
        <v>56</v>
      </c>
      <c r="B64" s="354">
        <v>1662</v>
      </c>
      <c r="C64" s="328" t="s">
        <v>774</v>
      </c>
      <c r="D64" s="328" t="s">
        <v>823</v>
      </c>
      <c r="E64" s="329" t="s">
        <v>852</v>
      </c>
      <c r="F64" s="330"/>
      <c r="G64" s="331">
        <v>989.01</v>
      </c>
      <c r="H64" s="332" t="s">
        <v>1006</v>
      </c>
      <c r="I64" s="331">
        <v>989.01</v>
      </c>
      <c r="J64" s="389">
        <v>989.01</v>
      </c>
      <c r="K64" s="333">
        <f t="shared" si="0"/>
        <v>0</v>
      </c>
      <c r="L64" s="329"/>
    </row>
    <row r="65" spans="1:16">
      <c r="A65" s="334"/>
      <c r="B65" s="354">
        <v>2339</v>
      </c>
      <c r="C65" s="328" t="s">
        <v>775</v>
      </c>
      <c r="D65" s="328" t="s">
        <v>1110</v>
      </c>
      <c r="E65" s="329" t="s">
        <v>854</v>
      </c>
      <c r="F65" s="330">
        <v>1</v>
      </c>
      <c r="G65" s="331">
        <v>1568.73</v>
      </c>
      <c r="H65" s="332">
        <v>0</v>
      </c>
      <c r="I65" s="331">
        <v>1568.73</v>
      </c>
      <c r="J65" s="389">
        <v>1568.73</v>
      </c>
      <c r="K65" s="333">
        <f t="shared" si="0"/>
        <v>0</v>
      </c>
      <c r="L65" s="329"/>
    </row>
    <row r="66" spans="1:16">
      <c r="A66" s="334">
        <v>58</v>
      </c>
      <c r="B66" s="354">
        <v>1630</v>
      </c>
      <c r="C66" s="328" t="s">
        <v>775</v>
      </c>
      <c r="D66" s="338" t="s">
        <v>824</v>
      </c>
      <c r="E66" s="329" t="s">
        <v>852</v>
      </c>
      <c r="F66" s="330"/>
      <c r="G66" s="331">
        <v>1352.5</v>
      </c>
      <c r="H66" s="332" t="s">
        <v>1006</v>
      </c>
      <c r="I66" s="331">
        <v>1352.5</v>
      </c>
      <c r="J66" s="389">
        <v>1352.5</v>
      </c>
      <c r="K66" s="333">
        <f t="shared" ref="K66:K70" si="1">I66-J66</f>
        <v>0</v>
      </c>
      <c r="L66" s="329"/>
    </row>
    <row r="67" spans="1:16">
      <c r="A67" s="334"/>
      <c r="B67" s="354">
        <v>2337</v>
      </c>
      <c r="C67" s="328" t="s">
        <v>777</v>
      </c>
      <c r="D67" s="338" t="s">
        <v>1080</v>
      </c>
      <c r="E67" s="329" t="s">
        <v>852</v>
      </c>
      <c r="F67" s="330"/>
      <c r="G67" s="331">
        <v>685.81</v>
      </c>
      <c r="H67" s="332">
        <v>0</v>
      </c>
      <c r="I67" s="331">
        <v>685.81</v>
      </c>
      <c r="J67" s="389">
        <v>685.81</v>
      </c>
      <c r="K67" s="333">
        <f t="shared" si="1"/>
        <v>0</v>
      </c>
      <c r="L67" s="329"/>
    </row>
    <row r="68" spans="1:16">
      <c r="A68" s="334">
        <v>61</v>
      </c>
      <c r="B68" s="354">
        <v>2010</v>
      </c>
      <c r="C68" s="328" t="s">
        <v>777</v>
      </c>
      <c r="D68" s="328" t="s">
        <v>826</v>
      </c>
      <c r="E68" s="329" t="s">
        <v>852</v>
      </c>
      <c r="F68" s="330"/>
      <c r="G68" s="331">
        <v>1131.6199999999999</v>
      </c>
      <c r="H68" s="332" t="s">
        <v>1006</v>
      </c>
      <c r="I68" s="331">
        <v>1131.6199999999999</v>
      </c>
      <c r="J68" s="389">
        <v>1131.6199999999999</v>
      </c>
      <c r="K68" s="333">
        <f t="shared" si="1"/>
        <v>0</v>
      </c>
      <c r="L68" s="329"/>
    </row>
    <row r="69" spans="1:16">
      <c r="A69" s="334">
        <v>60</v>
      </c>
      <c r="B69" s="354">
        <v>2187</v>
      </c>
      <c r="C69" s="328" t="s">
        <v>777</v>
      </c>
      <c r="D69" s="328" t="s">
        <v>827</v>
      </c>
      <c r="E69" s="329" t="s">
        <v>853</v>
      </c>
      <c r="F69" s="330">
        <v>2</v>
      </c>
      <c r="G69" s="331">
        <v>2082.5100000000002</v>
      </c>
      <c r="H69" s="332" t="s">
        <v>1006</v>
      </c>
      <c r="I69" s="391">
        <v>2082.5100000000002</v>
      </c>
      <c r="J69" s="389">
        <v>2082.5100000000002</v>
      </c>
      <c r="K69" s="333">
        <f t="shared" si="1"/>
        <v>0</v>
      </c>
      <c r="L69" s="329"/>
    </row>
    <row r="70" spans="1:16">
      <c r="A70" s="334">
        <v>63</v>
      </c>
      <c r="B70" s="354">
        <v>2064</v>
      </c>
      <c r="C70" s="328" t="s">
        <v>778</v>
      </c>
      <c r="D70" s="338" t="s">
        <v>829</v>
      </c>
      <c r="E70" s="341" t="s">
        <v>856</v>
      </c>
      <c r="F70" s="330">
        <v>2</v>
      </c>
      <c r="G70" s="331">
        <v>1797.13</v>
      </c>
      <c r="H70" s="332">
        <v>659.88</v>
      </c>
      <c r="I70" s="332">
        <f>SUM(G70:H70)</f>
        <v>2457.0100000000002</v>
      </c>
      <c r="J70" s="333">
        <v>2457.0100000000002</v>
      </c>
      <c r="K70" s="333">
        <f t="shared" si="1"/>
        <v>0</v>
      </c>
      <c r="L70" s="329"/>
    </row>
    <row r="71" spans="1:16">
      <c r="A71" s="334"/>
      <c r="B71" s="354">
        <v>2335</v>
      </c>
      <c r="C71" s="328" t="s">
        <v>870</v>
      </c>
      <c r="D71" s="338" t="s">
        <v>1081</v>
      </c>
      <c r="E71" s="382" t="s">
        <v>852</v>
      </c>
      <c r="F71" s="330"/>
      <c r="G71" s="331">
        <v>607.54999999999995</v>
      </c>
      <c r="H71" s="332">
        <v>0</v>
      </c>
      <c r="I71" s="331">
        <v>607.54999999999995</v>
      </c>
      <c r="J71" s="389">
        <v>607.54999999999995</v>
      </c>
      <c r="K71" s="333">
        <v>0</v>
      </c>
      <c r="L71" s="329"/>
    </row>
    <row r="72" spans="1:16">
      <c r="A72" s="7"/>
      <c r="B72" s="66"/>
      <c r="C72" s="29"/>
      <c r="D72" s="29"/>
      <c r="E72" s="410"/>
      <c r="F72" s="411"/>
      <c r="G72" s="412"/>
      <c r="H72" s="413">
        <f>SUM(H5:H71)</f>
        <v>4533.76</v>
      </c>
      <c r="I72" s="412"/>
      <c r="J72" s="414"/>
      <c r="K72" s="414"/>
      <c r="L72" s="385"/>
      <c r="M72" s="216"/>
      <c r="O72" s="15"/>
      <c r="P72" s="15"/>
    </row>
    <row r="73" spans="1:16">
      <c r="A73" s="7"/>
      <c r="B73" s="66"/>
      <c r="C73" s="29"/>
      <c r="D73" s="29"/>
      <c r="E73" s="410"/>
      <c r="F73" s="411"/>
      <c r="G73" s="412"/>
      <c r="H73" s="413"/>
      <c r="I73" s="412"/>
      <c r="J73" s="414"/>
      <c r="K73" s="414"/>
      <c r="L73" s="385"/>
      <c r="M73" s="216"/>
      <c r="O73" s="15"/>
      <c r="P73" s="15"/>
    </row>
    <row r="74" spans="1:16">
      <c r="A74" s="7"/>
      <c r="B74" s="66"/>
      <c r="C74" s="29"/>
      <c r="D74" s="29"/>
      <c r="E74" s="410"/>
      <c r="F74" s="411"/>
      <c r="G74" s="412"/>
      <c r="H74" s="413"/>
      <c r="I74" s="412"/>
      <c r="J74" s="414"/>
      <c r="K74" s="414"/>
      <c r="L74" s="385"/>
      <c r="M74" s="216"/>
      <c r="O74" s="15"/>
      <c r="P74" s="15"/>
    </row>
    <row r="75" spans="1:16">
      <c r="A75" s="7"/>
      <c r="B75" s="354">
        <v>2288</v>
      </c>
      <c r="C75" s="328" t="s">
        <v>772</v>
      </c>
      <c r="D75" s="338" t="s">
        <v>820</v>
      </c>
      <c r="E75" s="329" t="s">
        <v>852</v>
      </c>
      <c r="F75" s="330"/>
      <c r="G75" s="331"/>
      <c r="H75" s="412"/>
      <c r="I75" s="331"/>
      <c r="J75" s="331"/>
      <c r="K75" s="333">
        <f t="shared" ref="K75" si="2">I75-J75</f>
        <v>0</v>
      </c>
      <c r="L75" s="196" t="s">
        <v>1128</v>
      </c>
      <c r="M75" s="216"/>
      <c r="O75" s="15"/>
      <c r="P75" s="15"/>
    </row>
    <row r="76" spans="1:16">
      <c r="A76" s="7"/>
      <c r="B76" s="354"/>
      <c r="C76" s="328"/>
      <c r="D76" s="338"/>
      <c r="E76" s="329"/>
      <c r="F76" s="330"/>
      <c r="G76" s="331"/>
      <c r="H76" s="412"/>
      <c r="I76" s="331" t="s">
        <v>1113</v>
      </c>
      <c r="J76" s="415">
        <f>SUM(J75:J75)</f>
        <v>0</v>
      </c>
      <c r="K76" s="333"/>
      <c r="L76" s="385"/>
      <c r="M76" s="216"/>
      <c r="O76" s="15"/>
      <c r="P76" s="15"/>
    </row>
    <row r="77" spans="1:16">
      <c r="A77" s="438" t="s">
        <v>652</v>
      </c>
      <c r="B77" s="439"/>
      <c r="C77" s="439"/>
      <c r="D77" s="439"/>
      <c r="E77" s="439"/>
      <c r="F77" s="439"/>
      <c r="G77" s="440"/>
      <c r="H77" s="347"/>
      <c r="I77" s="348">
        <f>SUM(I5:I71)</f>
        <v>89842.36</v>
      </c>
      <c r="J77" s="383">
        <f>SUM(J5:J71)</f>
        <v>89842.35</v>
      </c>
      <c r="K77" s="383"/>
      <c r="L77" s="386"/>
    </row>
    <row r="78" spans="1:16">
      <c r="A78" s="441" t="s">
        <v>1028</v>
      </c>
      <c r="B78" s="442"/>
      <c r="C78" s="443"/>
      <c r="D78" s="351"/>
      <c r="E78" s="352" t="s">
        <v>258</v>
      </c>
      <c r="F78" s="334">
        <v>73</v>
      </c>
      <c r="G78" s="329" t="s">
        <v>1029</v>
      </c>
      <c r="H78" s="351"/>
      <c r="I78" s="352" t="s">
        <v>258</v>
      </c>
      <c r="J78" s="343">
        <v>74</v>
      </c>
      <c r="K78" s="343"/>
      <c r="L78" s="161"/>
    </row>
    <row r="79" spans="1:16">
      <c r="A79" s="353"/>
      <c r="B79" s="352"/>
      <c r="C79" s="351"/>
      <c r="D79" s="351"/>
      <c r="E79" s="351" t="s">
        <v>930</v>
      </c>
      <c r="F79" s="330">
        <v>4</v>
      </c>
      <c r="G79" s="329"/>
      <c r="H79" s="351"/>
      <c r="I79" s="351" t="s">
        <v>930</v>
      </c>
      <c r="J79" s="343">
        <v>4</v>
      </c>
      <c r="K79" s="343"/>
      <c r="L79" s="161"/>
    </row>
    <row r="80" spans="1:16">
      <c r="A80" s="441"/>
      <c r="B80" s="442"/>
      <c r="C80" s="443"/>
      <c r="D80" s="351"/>
      <c r="E80" s="352" t="s">
        <v>931</v>
      </c>
      <c r="F80" s="355">
        <v>26</v>
      </c>
      <c r="G80" s="329"/>
      <c r="H80" s="351"/>
      <c r="I80" s="352" t="s">
        <v>931</v>
      </c>
      <c r="J80" s="343">
        <v>26</v>
      </c>
      <c r="K80" s="343"/>
      <c r="L80" s="161"/>
    </row>
    <row r="81" spans="1:20">
      <c r="A81" s="444"/>
      <c r="B81" s="445"/>
      <c r="C81" s="446"/>
      <c r="D81" s="356"/>
      <c r="E81" s="357" t="s">
        <v>246</v>
      </c>
      <c r="F81" s="358">
        <v>103</v>
      </c>
      <c r="G81" s="329"/>
      <c r="H81" s="393"/>
      <c r="I81" s="394" t="s">
        <v>246</v>
      </c>
      <c r="J81" s="395">
        <v>104</v>
      </c>
      <c r="K81" s="395"/>
      <c r="L81" s="161"/>
    </row>
    <row r="82" spans="1:20">
      <c r="A82" s="447" t="s">
        <v>830</v>
      </c>
      <c r="B82" s="448"/>
      <c r="C82" s="448"/>
      <c r="D82" s="448"/>
      <c r="E82" s="448"/>
      <c r="F82" s="448"/>
      <c r="G82" s="448"/>
      <c r="H82" s="381"/>
      <c r="I82" s="381"/>
      <c r="J82" s="396"/>
      <c r="K82" s="396"/>
      <c r="L82" s="392"/>
      <c r="N82" s="15"/>
    </row>
    <row r="83" spans="1:20">
      <c r="A83" s="334"/>
      <c r="B83" s="354">
        <v>1961</v>
      </c>
      <c r="C83" s="328" t="s">
        <v>967</v>
      </c>
      <c r="D83" s="338" t="s">
        <v>968</v>
      </c>
      <c r="E83" s="329" t="s">
        <v>852</v>
      </c>
      <c r="F83" s="330"/>
      <c r="G83" s="409">
        <v>-1509.02</v>
      </c>
      <c r="H83" s="332" t="s">
        <v>1006</v>
      </c>
      <c r="I83" s="409">
        <v>-1509.02</v>
      </c>
      <c r="J83" s="389">
        <v>-1509.02</v>
      </c>
      <c r="K83" s="333"/>
      <c r="L83" s="196" t="s">
        <v>1158</v>
      </c>
      <c r="M83" s="362"/>
      <c r="N83" s="363"/>
      <c r="O83" s="362"/>
      <c r="P83" s="362"/>
      <c r="Q83" s="362"/>
      <c r="R83" s="362"/>
      <c r="S83" s="362"/>
      <c r="T83" s="362"/>
    </row>
    <row r="84" spans="1:20">
      <c r="A84" s="334"/>
      <c r="B84" s="354">
        <v>2019</v>
      </c>
      <c r="C84" s="328" t="s">
        <v>476</v>
      </c>
      <c r="D84" s="328" t="s">
        <v>447</v>
      </c>
      <c r="E84" s="329" t="s">
        <v>854</v>
      </c>
      <c r="F84" s="330">
        <v>1</v>
      </c>
      <c r="G84" s="331">
        <v>-1267.6400000000001</v>
      </c>
      <c r="H84" s="332" t="s">
        <v>1006</v>
      </c>
      <c r="I84" s="331">
        <v>-1267.6400000000001</v>
      </c>
      <c r="J84" s="331">
        <v>-1267.6400000000001</v>
      </c>
      <c r="K84" s="333"/>
      <c r="L84" s="196" t="s">
        <v>1158</v>
      </c>
      <c r="M84" s="362"/>
      <c r="N84" s="363"/>
      <c r="O84" s="362"/>
      <c r="P84" s="362"/>
      <c r="Q84" s="362"/>
      <c r="R84" s="362"/>
      <c r="S84" s="362"/>
      <c r="T84" s="362"/>
    </row>
    <row r="85" spans="1:20">
      <c r="A85" s="334"/>
      <c r="B85" s="354">
        <v>2278</v>
      </c>
      <c r="C85" s="328" t="s">
        <v>758</v>
      </c>
      <c r="D85" s="328" t="s">
        <v>805</v>
      </c>
      <c r="E85" s="329" t="s">
        <v>852</v>
      </c>
      <c r="F85" s="330"/>
      <c r="G85" s="331">
        <v>-657.99</v>
      </c>
      <c r="H85" s="332" t="s">
        <v>1006</v>
      </c>
      <c r="I85" s="331">
        <v>-657.99</v>
      </c>
      <c r="J85" s="389">
        <v>-657.99</v>
      </c>
      <c r="K85" s="333"/>
      <c r="L85" s="196" t="s">
        <v>1158</v>
      </c>
      <c r="M85" s="362"/>
      <c r="N85" s="363"/>
      <c r="O85" s="362"/>
      <c r="P85" s="362"/>
      <c r="Q85" s="362"/>
      <c r="R85" s="362"/>
      <c r="S85" s="362"/>
      <c r="T85" s="362"/>
    </row>
    <row r="86" spans="1:20">
      <c r="A86" s="334"/>
      <c r="B86" s="354">
        <v>2018</v>
      </c>
      <c r="C86" s="328" t="s">
        <v>770</v>
      </c>
      <c r="D86" s="328" t="s">
        <v>818</v>
      </c>
      <c r="E86" s="329" t="s">
        <v>852</v>
      </c>
      <c r="F86" s="330"/>
      <c r="G86" s="331">
        <v>-1739.16</v>
      </c>
      <c r="H86" s="332" t="s">
        <v>1006</v>
      </c>
      <c r="I86" s="331">
        <v>-1739.16</v>
      </c>
      <c r="J86" s="389">
        <v>-1739.16</v>
      </c>
      <c r="K86" s="333">
        <f t="shared" ref="K86:K88" si="3">I86-J86</f>
        <v>0</v>
      </c>
      <c r="L86" s="161" t="s">
        <v>1153</v>
      </c>
      <c r="M86" s="362"/>
      <c r="N86" s="363"/>
      <c r="O86" s="362"/>
      <c r="P86" s="362"/>
      <c r="Q86" s="362"/>
      <c r="R86" s="362"/>
      <c r="S86" s="362"/>
      <c r="T86" s="362"/>
    </row>
    <row r="87" spans="1:20">
      <c r="A87" s="334"/>
      <c r="B87" s="354">
        <v>2089</v>
      </c>
      <c r="C87" s="328" t="s">
        <v>870</v>
      </c>
      <c r="D87" s="338" t="s">
        <v>1007</v>
      </c>
      <c r="E87" s="329" t="s">
        <v>854</v>
      </c>
      <c r="F87" s="330">
        <v>1</v>
      </c>
      <c r="G87" s="331">
        <v>-1161.55</v>
      </c>
      <c r="H87" s="332" t="s">
        <v>1006</v>
      </c>
      <c r="I87" s="331">
        <v>-1161.55</v>
      </c>
      <c r="J87" s="331">
        <v>-1161.55</v>
      </c>
      <c r="K87" s="333">
        <f t="shared" si="3"/>
        <v>0</v>
      </c>
      <c r="L87" t="s">
        <v>1156</v>
      </c>
      <c r="M87" s="362"/>
      <c r="N87" s="363"/>
      <c r="O87" s="362"/>
      <c r="P87" s="362"/>
      <c r="Q87" s="362"/>
      <c r="R87" s="362"/>
      <c r="S87" s="362"/>
      <c r="T87" s="362"/>
    </row>
    <row r="88" spans="1:20">
      <c r="A88" s="334"/>
      <c r="B88" s="354">
        <v>2288</v>
      </c>
      <c r="C88" s="328" t="s">
        <v>772</v>
      </c>
      <c r="D88" s="338" t="s">
        <v>820</v>
      </c>
      <c r="E88" s="329" t="s">
        <v>852</v>
      </c>
      <c r="F88" s="330"/>
      <c r="G88" s="331">
        <v>-648.71</v>
      </c>
      <c r="H88" s="412"/>
      <c r="I88" s="331">
        <v>-648.71</v>
      </c>
      <c r="J88" s="331">
        <v>-648.71</v>
      </c>
      <c r="K88" s="333">
        <f t="shared" si="3"/>
        <v>0</v>
      </c>
      <c r="L88" s="196" t="s">
        <v>1128</v>
      </c>
      <c r="M88" s="362"/>
      <c r="N88" s="363"/>
      <c r="O88" s="362"/>
      <c r="P88" s="362"/>
      <c r="Q88" s="362"/>
      <c r="R88" s="362"/>
      <c r="S88" s="362"/>
      <c r="T88" s="362"/>
    </row>
    <row r="89" spans="1:20">
      <c r="A89" s="334"/>
      <c r="B89" s="354">
        <v>2288</v>
      </c>
      <c r="C89" s="328" t="s">
        <v>772</v>
      </c>
      <c r="D89" s="338" t="s">
        <v>820</v>
      </c>
      <c r="E89" s="329" t="s">
        <v>852</v>
      </c>
      <c r="F89" s="330"/>
      <c r="G89" s="331">
        <v>-648.71</v>
      </c>
      <c r="H89" s="412"/>
      <c r="I89" s="331">
        <v>-648.71</v>
      </c>
      <c r="J89" s="331">
        <v>-648.71</v>
      </c>
      <c r="K89" s="333">
        <f t="shared" ref="K89" si="4">I89-J89</f>
        <v>0</v>
      </c>
      <c r="L89" s="196" t="s">
        <v>1128</v>
      </c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/>
      <c r="C90" s="328"/>
      <c r="D90" s="328"/>
      <c r="E90" s="329"/>
      <c r="F90" s="330"/>
      <c r="G90" s="331"/>
      <c r="H90" s="332"/>
      <c r="I90" s="331"/>
      <c r="J90" s="389"/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28"/>
      <c r="E91" s="329"/>
      <c r="F91" s="330"/>
      <c r="G91" s="331"/>
      <c r="H91" s="332"/>
      <c r="I91" s="332"/>
      <c r="J91" s="333"/>
      <c r="K91" s="333"/>
      <c r="L91" s="161"/>
      <c r="N91" s="15"/>
    </row>
    <row r="92" spans="1:20">
      <c r="A92" s="438" t="s">
        <v>846</v>
      </c>
      <c r="B92" s="439"/>
      <c r="C92" s="439"/>
      <c r="D92" s="439"/>
      <c r="E92" s="439"/>
      <c r="F92" s="439"/>
      <c r="G92" s="440"/>
      <c r="H92" s="348">
        <f>SUM(H83:H91)</f>
        <v>0</v>
      </c>
      <c r="I92" s="347"/>
      <c r="J92" s="348">
        <f>SUM(J83:J91)</f>
        <v>-7632.78</v>
      </c>
      <c r="K92" s="406"/>
      <c r="L92" s="402"/>
    </row>
    <row r="93" spans="1:20">
      <c r="A93" s="365"/>
      <c r="B93" s="366"/>
      <c r="C93" s="366"/>
      <c r="D93" s="366"/>
      <c r="E93" s="366"/>
      <c r="F93" s="367"/>
      <c r="G93" s="368"/>
      <c r="H93" s="368"/>
      <c r="I93" s="368"/>
      <c r="J93" s="349"/>
      <c r="K93" s="383"/>
      <c r="L93" s="364"/>
    </row>
    <row r="94" spans="1:20" ht="16">
      <c r="A94" s="435" t="s">
        <v>881</v>
      </c>
      <c r="B94" s="436"/>
      <c r="C94" s="436"/>
      <c r="D94" s="436"/>
      <c r="E94" s="436"/>
      <c r="F94" s="436"/>
      <c r="G94" s="437"/>
      <c r="H94" s="369"/>
      <c r="I94" s="369"/>
      <c r="J94" s="370">
        <f>SUM(J76,J77,J92)</f>
        <v>82209.570000000007</v>
      </c>
      <c r="K94" s="407"/>
      <c r="L94" s="350"/>
    </row>
    <row r="95" spans="1:20" ht="18">
      <c r="F95" s="3"/>
      <c r="G95" s="371" t="s">
        <v>1013</v>
      </c>
      <c r="H95" s="372">
        <v>45888</v>
      </c>
    </row>
    <row r="96" spans="1:20" ht="18">
      <c r="F96" s="3"/>
      <c r="G96" s="371" t="s">
        <v>1014</v>
      </c>
      <c r="H96" s="373" t="s">
        <v>990</v>
      </c>
      <c r="I96" s="373"/>
    </row>
    <row r="97" spans="6:20">
      <c r="F97" s="3"/>
      <c r="G97" s="216"/>
      <c r="H97" s="216"/>
      <c r="I97" s="216"/>
      <c r="J97" s="3"/>
      <c r="K97" s="3"/>
      <c r="L97" s="15"/>
      <c r="M97" s="216"/>
    </row>
    <row r="98" spans="6:20">
      <c r="F98" s="3"/>
      <c r="G98" s="216"/>
      <c r="H98" s="269"/>
      <c r="I98" s="216"/>
      <c r="J98" s="270"/>
      <c r="K98" s="270"/>
      <c r="L98" s="15"/>
      <c r="M98" s="216"/>
    </row>
    <row r="99" spans="6:20">
      <c r="F99" s="3"/>
      <c r="G99" s="216"/>
      <c r="H99" s="269" t="s">
        <v>1145</v>
      </c>
      <c r="I99" s="216" t="s">
        <v>1144</v>
      </c>
      <c r="J99" s="270" t="s">
        <v>1112</v>
      </c>
      <c r="K99" s="270"/>
      <c r="L99" s="15"/>
      <c r="M99" s="216"/>
    </row>
    <row r="100" spans="6:20">
      <c r="F100" s="3"/>
      <c r="G100" s="216"/>
      <c r="H100" s="388">
        <f>SUM(H72,H92)</f>
        <v>4533.76</v>
      </c>
      <c r="I100" s="269">
        <f>J94-H100</f>
        <v>77675.810000000012</v>
      </c>
      <c r="J100" s="270">
        <f>SUM(J75:J75)</f>
        <v>0</v>
      </c>
      <c r="K100" s="3"/>
      <c r="L100" s="15"/>
      <c r="M100" s="216"/>
    </row>
    <row r="101" spans="6:20">
      <c r="F101" s="3"/>
      <c r="G101" s="216"/>
      <c r="H101" s="216"/>
      <c r="I101" s="216"/>
      <c r="J101" s="3"/>
      <c r="K101" s="3"/>
      <c r="L101" s="15"/>
      <c r="M101" s="216"/>
      <c r="Q101" s="3"/>
      <c r="R101" s="3"/>
      <c r="S101" s="3"/>
      <c r="T101" s="3"/>
    </row>
  </sheetData>
  <mergeCells count="7">
    <mergeCell ref="A94:G94"/>
    <mergeCell ref="A77:G77"/>
    <mergeCell ref="A78:C78"/>
    <mergeCell ref="A80:C80"/>
    <mergeCell ref="A81:C81"/>
    <mergeCell ref="A82:G82"/>
    <mergeCell ref="A92:G9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4851-BD97-6E4D-B66D-E9EC3AAAFB35}">
  <dimension ref="A1:T108"/>
  <sheetViews>
    <sheetView topLeftCell="A83" zoomScale="170" zoomScaleNormal="170" workbookViewId="0">
      <selection activeCell="A83" sqref="A1:XFD1048576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20.1640625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45870</v>
      </c>
      <c r="K2" s="405"/>
      <c r="L2" s="315" t="s">
        <v>1155</v>
      </c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68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>
        <v>3</v>
      </c>
      <c r="B8" s="375">
        <v>2261</v>
      </c>
      <c r="C8" s="328" t="s">
        <v>744</v>
      </c>
      <c r="D8" s="329" t="s">
        <v>781</v>
      </c>
      <c r="E8" s="329" t="s">
        <v>853</v>
      </c>
      <c r="F8" s="330">
        <v>2</v>
      </c>
      <c r="G8" s="331">
        <v>2063.59</v>
      </c>
      <c r="H8" s="332" t="s">
        <v>1006</v>
      </c>
      <c r="I8" s="331">
        <v>2063.59</v>
      </c>
      <c r="J8" s="389">
        <v>2063.59</v>
      </c>
      <c r="K8" s="333">
        <f t="shared" si="0"/>
        <v>0</v>
      </c>
      <c r="L8" s="329"/>
    </row>
    <row r="9" spans="1:20">
      <c r="A9" s="334">
        <v>4</v>
      </c>
      <c r="B9" s="354">
        <v>2081</v>
      </c>
      <c r="C9" s="328" t="s">
        <v>462</v>
      </c>
      <c r="D9" s="328" t="s">
        <v>425</v>
      </c>
      <c r="E9" s="329" t="s">
        <v>853</v>
      </c>
      <c r="F9" s="330">
        <v>2</v>
      </c>
      <c r="G9" s="409">
        <v>1998.08</v>
      </c>
      <c r="H9" s="332" t="s">
        <v>1006</v>
      </c>
      <c r="I9" s="409">
        <v>1998.08</v>
      </c>
      <c r="J9" s="389">
        <v>1998.08</v>
      </c>
      <c r="K9" s="333">
        <f t="shared" si="0"/>
        <v>0</v>
      </c>
      <c r="L9" s="329"/>
    </row>
    <row r="10" spans="1:20">
      <c r="A10" s="334"/>
      <c r="B10" s="354">
        <v>2341</v>
      </c>
      <c r="C10" s="328" t="s">
        <v>460</v>
      </c>
      <c r="D10" s="328" t="s">
        <v>1102</v>
      </c>
      <c r="E10" s="329" t="s">
        <v>852</v>
      </c>
      <c r="F10" s="330"/>
      <c r="G10" s="331">
        <v>1035.3900000000001</v>
      </c>
      <c r="H10" s="332">
        <v>0</v>
      </c>
      <c r="I10" s="331">
        <v>1035.3900000000001</v>
      </c>
      <c r="J10" s="389">
        <v>1035.3900000000001</v>
      </c>
      <c r="K10" s="333">
        <f t="shared" si="0"/>
        <v>0</v>
      </c>
      <c r="L10" s="329"/>
    </row>
    <row r="11" spans="1:20">
      <c r="A11" s="334">
        <v>6</v>
      </c>
      <c r="B11" s="354">
        <v>1593</v>
      </c>
      <c r="C11" s="328" t="s">
        <v>460</v>
      </c>
      <c r="D11" s="328" t="s">
        <v>426</v>
      </c>
      <c r="E11" s="329" t="s">
        <v>852</v>
      </c>
      <c r="F11" s="330"/>
      <c r="G11" s="331">
        <v>1629.03</v>
      </c>
      <c r="H11" s="332" t="s">
        <v>1006</v>
      </c>
      <c r="I11" s="331">
        <v>1629.03</v>
      </c>
      <c r="J11" s="389">
        <v>1629.03</v>
      </c>
      <c r="K11" s="333">
        <f t="shared" si="0"/>
        <v>0</v>
      </c>
      <c r="L11" s="329"/>
    </row>
    <row r="12" spans="1:20">
      <c r="A12" s="334"/>
      <c r="B12" s="354">
        <v>2285</v>
      </c>
      <c r="C12" s="328" t="s">
        <v>745</v>
      </c>
      <c r="D12" s="328" t="s">
        <v>1117</v>
      </c>
      <c r="E12" s="329" t="s">
        <v>852</v>
      </c>
      <c r="F12" s="330"/>
      <c r="G12" s="331">
        <v>593.64</v>
      </c>
      <c r="H12" s="332"/>
      <c r="I12" s="331">
        <v>593.64</v>
      </c>
      <c r="J12" s="389">
        <v>593.64</v>
      </c>
      <c r="K12" s="333"/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703.79</v>
      </c>
      <c r="H13" s="332" t="s">
        <v>1006</v>
      </c>
      <c r="I13" s="331">
        <v>703.79</v>
      </c>
      <c r="J13" s="389">
        <v>703.79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989.01</v>
      </c>
      <c r="H14" s="332" t="s">
        <v>1006</v>
      </c>
      <c r="I14" s="331">
        <v>989.01</v>
      </c>
      <c r="J14" s="389">
        <v>989.01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740.89</v>
      </c>
      <c r="H15" s="332" t="s">
        <v>1006</v>
      </c>
      <c r="I15" s="331">
        <v>740.89</v>
      </c>
      <c r="J15" s="389">
        <v>740.89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717.7</v>
      </c>
      <c r="H16" s="332" t="s">
        <v>1006</v>
      </c>
      <c r="I16" s="331">
        <v>717.7</v>
      </c>
      <c r="J16" s="389">
        <v>717.7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1348.64</v>
      </c>
      <c r="H17" s="332">
        <v>604.79999999999995</v>
      </c>
      <c r="I17" s="332">
        <v>1953.45</v>
      </c>
      <c r="J17" s="333">
        <v>1953.45</v>
      </c>
      <c r="K17" s="333">
        <f t="shared" si="0"/>
        <v>0</v>
      </c>
      <c r="L17" s="329"/>
    </row>
    <row r="18" spans="1:20">
      <c r="A18" s="334"/>
      <c r="B18" s="354">
        <v>2308</v>
      </c>
      <c r="C18" s="328" t="s">
        <v>1118</v>
      </c>
      <c r="D18" s="328" t="s">
        <v>1119</v>
      </c>
      <c r="E18" s="382" t="s">
        <v>852</v>
      </c>
      <c r="F18" s="330"/>
      <c r="G18" s="331">
        <v>947.85</v>
      </c>
      <c r="H18" s="332">
        <v>0</v>
      </c>
      <c r="I18" s="332">
        <v>947.85</v>
      </c>
      <c r="J18" s="389">
        <v>947.85</v>
      </c>
      <c r="K18" s="333"/>
      <c r="L18" s="329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1665.55</v>
      </c>
      <c r="H19" s="332" t="s">
        <v>1006</v>
      </c>
      <c r="I19" s="331">
        <v>1665.55</v>
      </c>
      <c r="J19" s="389">
        <v>1665.55</v>
      </c>
      <c r="K19" s="333">
        <f t="shared" si="0"/>
        <v>0</v>
      </c>
      <c r="L19" s="161"/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754.8</v>
      </c>
      <c r="H20" s="332" t="s">
        <v>1006</v>
      </c>
      <c r="I20" s="331">
        <v>754.8</v>
      </c>
      <c r="J20" s="389">
        <v>754.8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1320.82</v>
      </c>
      <c r="H21" s="332">
        <v>618.14</v>
      </c>
      <c r="I21" s="331">
        <f>H21+G21</f>
        <v>1938.96</v>
      </c>
      <c r="J21" s="389">
        <v>1938.96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808</v>
      </c>
      <c r="H22" s="332">
        <v>480.16</v>
      </c>
      <c r="I22" s="332">
        <f>SUM(G22:H22)</f>
        <v>1288.1600000000001</v>
      </c>
      <c r="J22" s="333">
        <v>1288.1500000000001</v>
      </c>
      <c r="K22" s="333">
        <f t="shared" si="0"/>
        <v>9.9999999999909051E-3</v>
      </c>
      <c r="L22" s="188"/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1713.66</v>
      </c>
      <c r="H23" s="332" t="s">
        <v>1006</v>
      </c>
      <c r="I23" s="331">
        <v>1713.66</v>
      </c>
      <c r="J23" s="389">
        <v>1713.66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1412.79</v>
      </c>
      <c r="H24" s="332" t="s">
        <v>1006</v>
      </c>
      <c r="I24" s="331">
        <v>1412.79</v>
      </c>
      <c r="J24" s="389">
        <v>1412.79</v>
      </c>
      <c r="K24" s="333">
        <f t="shared" si="0"/>
        <v>0</v>
      </c>
      <c r="L24" s="161"/>
    </row>
    <row r="25" spans="1:20">
      <c r="A25" s="334"/>
      <c r="B25" s="354">
        <v>1961</v>
      </c>
      <c r="C25" s="328" t="s">
        <v>967</v>
      </c>
      <c r="D25" s="338" t="s">
        <v>968</v>
      </c>
      <c r="E25" s="329" t="s">
        <v>852</v>
      </c>
      <c r="F25" s="330"/>
      <c r="G25" s="409">
        <v>1509.02</v>
      </c>
      <c r="H25" s="332" t="s">
        <v>1006</v>
      </c>
      <c r="I25" s="409">
        <v>1509.02</v>
      </c>
      <c r="J25" s="389">
        <v>1509.02</v>
      </c>
      <c r="K25" s="333">
        <f t="shared" si="0"/>
        <v>0</v>
      </c>
      <c r="L25" s="161" t="s">
        <v>1156</v>
      </c>
    </row>
    <row r="26" spans="1:20">
      <c r="A26" s="334">
        <v>18</v>
      </c>
      <c r="B26" s="354">
        <v>2289</v>
      </c>
      <c r="C26" s="328" t="s">
        <v>750</v>
      </c>
      <c r="D26" s="338" t="s">
        <v>790</v>
      </c>
      <c r="E26" s="329" t="s">
        <v>852</v>
      </c>
      <c r="F26" s="330"/>
      <c r="G26" s="331">
        <v>740.89</v>
      </c>
      <c r="H26" s="332" t="s">
        <v>1006</v>
      </c>
      <c r="I26" s="331">
        <v>740.89</v>
      </c>
      <c r="J26" s="389">
        <v>740.89</v>
      </c>
      <c r="K26" s="333">
        <f t="shared" si="0"/>
        <v>0</v>
      </c>
      <c r="L26" s="161"/>
    </row>
    <row r="27" spans="1:20">
      <c r="A27" s="334"/>
      <c r="B27" s="354">
        <v>2322</v>
      </c>
      <c r="C27" s="328" t="s">
        <v>1023</v>
      </c>
      <c r="D27" s="338" t="s">
        <v>1024</v>
      </c>
      <c r="E27" s="329" t="s">
        <v>852</v>
      </c>
      <c r="F27" s="330"/>
      <c r="G27" s="331">
        <v>582.04</v>
      </c>
      <c r="H27" s="332">
        <v>0</v>
      </c>
      <c r="I27" s="332">
        <v>582.04</v>
      </c>
      <c r="J27" s="335">
        <v>582.04</v>
      </c>
      <c r="K27" s="333">
        <f t="shared" si="0"/>
        <v>0</v>
      </c>
      <c r="L27" s="161"/>
    </row>
    <row r="28" spans="1:20">
      <c r="A28" s="334">
        <v>20</v>
      </c>
      <c r="B28" s="354">
        <v>2250</v>
      </c>
      <c r="C28" s="328" t="s">
        <v>752</v>
      </c>
      <c r="D28" s="328" t="s">
        <v>792</v>
      </c>
      <c r="E28" s="329" t="s">
        <v>853</v>
      </c>
      <c r="F28" s="330">
        <v>2</v>
      </c>
      <c r="G28" s="331">
        <v>1709.74</v>
      </c>
      <c r="H28" s="332" t="s">
        <v>1006</v>
      </c>
      <c r="I28" s="331">
        <v>1709.74</v>
      </c>
      <c r="J28" s="389">
        <v>1709.74</v>
      </c>
      <c r="K28" s="333">
        <f t="shared" si="0"/>
        <v>0</v>
      </c>
      <c r="L28" s="161"/>
    </row>
    <row r="29" spans="1:20">
      <c r="A29" s="334"/>
      <c r="B29" s="354">
        <v>2298</v>
      </c>
      <c r="C29" s="328" t="s">
        <v>752</v>
      </c>
      <c r="D29" s="328" t="s">
        <v>1106</v>
      </c>
      <c r="E29" s="329" t="s">
        <v>852</v>
      </c>
      <c r="F29" s="330"/>
      <c r="G29" s="331">
        <v>685.81</v>
      </c>
      <c r="H29" s="332">
        <v>0</v>
      </c>
      <c r="I29" s="331">
        <v>685.81</v>
      </c>
      <c r="J29" s="389">
        <v>685.81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713.06</v>
      </c>
      <c r="H30" s="332" t="s">
        <v>1006</v>
      </c>
      <c r="I30" s="331">
        <v>713.06</v>
      </c>
      <c r="J30" s="389">
        <v>713.06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630.16</v>
      </c>
      <c r="H31" s="332"/>
      <c r="I31" s="331">
        <v>630.16</v>
      </c>
      <c r="J31" s="389">
        <v>630.16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1509.02</v>
      </c>
      <c r="H32" s="332" t="s">
        <v>1006</v>
      </c>
      <c r="I32" s="416">
        <v>1509.02</v>
      </c>
      <c r="J32" s="389">
        <v>1509.02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1739.16</v>
      </c>
      <c r="H33" s="332" t="s">
        <v>1006</v>
      </c>
      <c r="I33" s="331">
        <v>1739.16</v>
      </c>
      <c r="J33" s="389">
        <v>1739.16</v>
      </c>
      <c r="K33" s="333">
        <f t="shared" si="0"/>
        <v>0</v>
      </c>
      <c r="L33" s="329"/>
    </row>
    <row r="34" spans="1:20">
      <c r="A34" s="334">
        <v>24</v>
      </c>
      <c r="B34" s="376" t="s">
        <v>675</v>
      </c>
      <c r="C34" s="328" t="s">
        <v>755</v>
      </c>
      <c r="D34" s="328" t="s">
        <v>796</v>
      </c>
      <c r="E34" s="329" t="s">
        <v>852</v>
      </c>
      <c r="F34" s="330"/>
      <c r="G34" s="331">
        <v>786.69</v>
      </c>
      <c r="H34" s="332" t="s">
        <v>1006</v>
      </c>
      <c r="I34" s="332">
        <v>786.69</v>
      </c>
      <c r="J34" s="333">
        <v>786.69</v>
      </c>
      <c r="K34" s="333">
        <f t="shared" si="0"/>
        <v>0</v>
      </c>
      <c r="L34" s="329"/>
    </row>
    <row r="35" spans="1:20">
      <c r="A35" s="334">
        <v>26</v>
      </c>
      <c r="B35" s="354">
        <v>1741</v>
      </c>
      <c r="C35" s="328" t="s">
        <v>755</v>
      </c>
      <c r="D35" s="328" t="s">
        <v>797</v>
      </c>
      <c r="E35" s="329" t="s">
        <v>852</v>
      </c>
      <c r="F35" s="330"/>
      <c r="G35" s="331">
        <v>1292.79</v>
      </c>
      <c r="H35" s="332" t="s">
        <v>1006</v>
      </c>
      <c r="I35" s="331">
        <v>1292.79</v>
      </c>
      <c r="J35" s="389">
        <v>1292.79</v>
      </c>
      <c r="K35" s="333">
        <f t="shared" si="0"/>
        <v>0</v>
      </c>
      <c r="L35" s="329"/>
    </row>
    <row r="36" spans="1:20">
      <c r="A36" s="334">
        <v>25</v>
      </c>
      <c r="B36" s="354">
        <v>1757</v>
      </c>
      <c r="C36" s="328" t="s">
        <v>755</v>
      </c>
      <c r="D36" s="338" t="s">
        <v>798</v>
      </c>
      <c r="E36" s="329" t="s">
        <v>853</v>
      </c>
      <c r="F36" s="330">
        <v>2</v>
      </c>
      <c r="G36" s="331">
        <v>2170.85</v>
      </c>
      <c r="H36" s="332" t="s">
        <v>1006</v>
      </c>
      <c r="I36" s="331">
        <v>2170.85</v>
      </c>
      <c r="J36" s="389">
        <v>2170.85</v>
      </c>
      <c r="K36" s="333">
        <f t="shared" si="0"/>
        <v>0</v>
      </c>
      <c r="L36" s="329"/>
      <c r="N36" s="12"/>
      <c r="O36" s="12"/>
      <c r="P36" s="12"/>
      <c r="Q36" s="12"/>
      <c r="R36" s="12"/>
      <c r="S36" s="12"/>
      <c r="T36" s="12"/>
    </row>
    <row r="37" spans="1:20">
      <c r="A37" s="334">
        <v>27</v>
      </c>
      <c r="B37" s="354">
        <v>2057</v>
      </c>
      <c r="C37" s="328" t="s">
        <v>756</v>
      </c>
      <c r="D37" s="338" t="s">
        <v>799</v>
      </c>
      <c r="E37" s="329" t="s">
        <v>852</v>
      </c>
      <c r="F37" s="330"/>
      <c r="G37" s="331">
        <v>1739.16</v>
      </c>
      <c r="H37" s="332" t="s">
        <v>1006</v>
      </c>
      <c r="I37" s="331">
        <v>1739.16</v>
      </c>
      <c r="J37" s="389">
        <v>1739.16</v>
      </c>
      <c r="K37" s="333">
        <f t="shared" si="0"/>
        <v>0</v>
      </c>
      <c r="L37" s="329"/>
    </row>
    <row r="38" spans="1:20">
      <c r="A38" s="334">
        <v>28</v>
      </c>
      <c r="B38" s="354">
        <v>1210</v>
      </c>
      <c r="C38" s="328" t="s">
        <v>756</v>
      </c>
      <c r="D38" s="338" t="s">
        <v>800</v>
      </c>
      <c r="E38" s="329" t="s">
        <v>852</v>
      </c>
      <c r="F38" s="330"/>
      <c r="G38" s="331">
        <v>1739.16</v>
      </c>
      <c r="H38" s="332" t="s">
        <v>1006</v>
      </c>
      <c r="I38" s="331">
        <v>1739.16</v>
      </c>
      <c r="J38" s="389">
        <v>1739.16</v>
      </c>
      <c r="K38" s="333">
        <f t="shared" si="0"/>
        <v>0</v>
      </c>
      <c r="L38" s="329"/>
    </row>
    <row r="39" spans="1:20">
      <c r="A39" s="334"/>
      <c r="B39" s="354">
        <v>2310</v>
      </c>
      <c r="C39" s="328" t="s">
        <v>756</v>
      </c>
      <c r="D39" s="338" t="s">
        <v>977</v>
      </c>
      <c r="E39" s="329" t="s">
        <v>852</v>
      </c>
      <c r="F39" s="330"/>
      <c r="G39" s="331">
        <v>1035.3900000000001</v>
      </c>
      <c r="H39" s="332" t="s">
        <v>1006</v>
      </c>
      <c r="I39" s="331">
        <v>1035.3900000000001</v>
      </c>
      <c r="J39" s="389">
        <v>1035.3900000000001</v>
      </c>
      <c r="K39" s="333">
        <f t="shared" si="0"/>
        <v>0</v>
      </c>
      <c r="L39" s="329"/>
    </row>
    <row r="40" spans="1:20">
      <c r="A40" s="334">
        <v>29</v>
      </c>
      <c r="B40" s="354">
        <v>1460</v>
      </c>
      <c r="C40" s="328" t="s">
        <v>444</v>
      </c>
      <c r="D40" s="328" t="s">
        <v>506</v>
      </c>
      <c r="E40" s="329" t="s">
        <v>852</v>
      </c>
      <c r="F40" s="330"/>
      <c r="G40" s="331">
        <v>1081.19</v>
      </c>
      <c r="H40" s="332" t="s">
        <v>1006</v>
      </c>
      <c r="I40" s="331">
        <v>1081.19</v>
      </c>
      <c r="J40" s="389">
        <v>1081.19</v>
      </c>
      <c r="K40" s="333">
        <f t="shared" si="0"/>
        <v>0</v>
      </c>
      <c r="L40" s="329"/>
    </row>
    <row r="41" spans="1:20">
      <c r="A41" s="334">
        <v>32</v>
      </c>
      <c r="B41" s="354">
        <v>2248</v>
      </c>
      <c r="C41" s="328" t="s">
        <v>757</v>
      </c>
      <c r="D41" s="328" t="s">
        <v>801</v>
      </c>
      <c r="E41" s="341" t="s">
        <v>856</v>
      </c>
      <c r="F41" s="330">
        <v>2</v>
      </c>
      <c r="G41" s="331">
        <v>1778.57</v>
      </c>
      <c r="H41" s="332">
        <v>581.62</v>
      </c>
      <c r="I41" s="332">
        <f>SUM(G41:H41)</f>
        <v>2360.19</v>
      </c>
      <c r="J41" s="333">
        <v>2360.19</v>
      </c>
      <c r="K41" s="333">
        <f t="shared" si="0"/>
        <v>0</v>
      </c>
      <c r="L41" s="329"/>
    </row>
    <row r="42" spans="1:20">
      <c r="A42" s="334"/>
      <c r="B42" s="354">
        <v>2319</v>
      </c>
      <c r="C42" s="328" t="s">
        <v>757</v>
      </c>
      <c r="D42" s="328" t="s">
        <v>1026</v>
      </c>
      <c r="E42" s="382" t="s">
        <v>853</v>
      </c>
      <c r="F42" s="330">
        <v>2</v>
      </c>
      <c r="G42" s="331">
        <v>1623.94</v>
      </c>
      <c r="H42" s="332">
        <v>0</v>
      </c>
      <c r="I42" s="331">
        <v>1623.94</v>
      </c>
      <c r="J42" s="389">
        <v>1623.94</v>
      </c>
      <c r="K42" s="333">
        <f t="shared" si="0"/>
        <v>0</v>
      </c>
      <c r="L42" s="329"/>
    </row>
    <row r="43" spans="1:20">
      <c r="A43" s="334"/>
      <c r="B43" s="354">
        <v>1300</v>
      </c>
      <c r="C43" s="328" t="s">
        <v>757</v>
      </c>
      <c r="D43" s="328" t="s">
        <v>1037</v>
      </c>
      <c r="E43" s="382" t="s">
        <v>854</v>
      </c>
      <c r="F43" s="330">
        <v>1</v>
      </c>
      <c r="G43" s="331">
        <v>1783.23</v>
      </c>
      <c r="H43" s="332">
        <v>0</v>
      </c>
      <c r="I43" s="331">
        <v>1783.23</v>
      </c>
      <c r="J43" s="389">
        <v>1783.23</v>
      </c>
      <c r="K43" s="333">
        <f t="shared" si="0"/>
        <v>0</v>
      </c>
      <c r="L43" s="329"/>
    </row>
    <row r="44" spans="1:20">
      <c r="A44" s="334">
        <v>30</v>
      </c>
      <c r="B44" s="354">
        <v>2062</v>
      </c>
      <c r="C44" s="328" t="s">
        <v>757</v>
      </c>
      <c r="D44" s="328" t="s">
        <v>802</v>
      </c>
      <c r="E44" s="329" t="s">
        <v>853</v>
      </c>
      <c r="F44" s="330">
        <v>2</v>
      </c>
      <c r="G44" s="331">
        <v>1633.22</v>
      </c>
      <c r="H44" s="332" t="s">
        <v>1006</v>
      </c>
      <c r="I44" s="331">
        <v>1633.22</v>
      </c>
      <c r="J44" s="389">
        <v>1633.22</v>
      </c>
      <c r="K44" s="333">
        <f t="shared" si="0"/>
        <v>0</v>
      </c>
      <c r="L44" s="329"/>
    </row>
    <row r="45" spans="1:20">
      <c r="A45" s="334"/>
      <c r="B45" s="354">
        <v>2313</v>
      </c>
      <c r="C45" s="328" t="s">
        <v>1000</v>
      </c>
      <c r="D45" s="328" t="s">
        <v>1001</v>
      </c>
      <c r="E45" s="329" t="s">
        <v>853</v>
      </c>
      <c r="F45" s="330">
        <v>2</v>
      </c>
      <c r="G45" s="331">
        <v>1907.43</v>
      </c>
      <c r="H45" s="332" t="s">
        <v>1006</v>
      </c>
      <c r="I45" s="331">
        <v>1907.43</v>
      </c>
      <c r="J45" s="389">
        <v>1907.43</v>
      </c>
      <c r="K45" s="333">
        <f t="shared" si="0"/>
        <v>0</v>
      </c>
      <c r="L45" s="29"/>
    </row>
    <row r="46" spans="1:20">
      <c r="A46" s="334"/>
      <c r="B46" s="354">
        <v>2019</v>
      </c>
      <c r="C46" s="328" t="s">
        <v>476</v>
      </c>
      <c r="D46" s="328" t="s">
        <v>447</v>
      </c>
      <c r="E46" s="329" t="s">
        <v>854</v>
      </c>
      <c r="F46" s="330">
        <v>1</v>
      </c>
      <c r="G46" s="331">
        <v>1267.6400000000001</v>
      </c>
      <c r="H46" s="332" t="s">
        <v>1006</v>
      </c>
      <c r="I46" s="331">
        <v>1267.6400000000001</v>
      </c>
      <c r="J46" s="389">
        <v>1267.6400000000001</v>
      </c>
      <c r="K46" s="333">
        <f t="shared" si="0"/>
        <v>0</v>
      </c>
      <c r="L46" s="380" t="s">
        <v>1156</v>
      </c>
    </row>
    <row r="47" spans="1:20">
      <c r="A47" s="334">
        <v>34</v>
      </c>
      <c r="B47" s="354">
        <v>2278</v>
      </c>
      <c r="C47" s="328" t="s">
        <v>758</v>
      </c>
      <c r="D47" s="328" t="s">
        <v>805</v>
      </c>
      <c r="E47" s="329" t="s">
        <v>852</v>
      </c>
      <c r="F47" s="330"/>
      <c r="G47" s="331">
        <v>657.99</v>
      </c>
      <c r="H47" s="332" t="s">
        <v>1006</v>
      </c>
      <c r="I47" s="331">
        <v>657.99</v>
      </c>
      <c r="J47" s="389">
        <v>657.99</v>
      </c>
      <c r="K47" s="333">
        <f t="shared" si="0"/>
        <v>0</v>
      </c>
      <c r="L47" s="161" t="s">
        <v>1153</v>
      </c>
    </row>
    <row r="48" spans="1:20">
      <c r="A48" s="334">
        <v>35</v>
      </c>
      <c r="B48" s="354">
        <v>2172</v>
      </c>
      <c r="C48" s="328" t="s">
        <v>478</v>
      </c>
      <c r="D48" s="328" t="s">
        <v>448</v>
      </c>
      <c r="E48" s="329" t="s">
        <v>852</v>
      </c>
      <c r="F48" s="330"/>
      <c r="G48" s="331">
        <v>1739.16</v>
      </c>
      <c r="H48" s="332" t="s">
        <v>1006</v>
      </c>
      <c r="I48" s="331">
        <v>1739.16</v>
      </c>
      <c r="J48" s="399">
        <v>1739.16</v>
      </c>
      <c r="K48" s="333">
        <f t="shared" si="0"/>
        <v>0</v>
      </c>
      <c r="L48" s="161"/>
    </row>
    <row r="49" spans="1:12">
      <c r="A49" s="334">
        <v>36</v>
      </c>
      <c r="B49" s="354">
        <v>2082</v>
      </c>
      <c r="C49" s="328" t="s">
        <v>759</v>
      </c>
      <c r="D49" s="338" t="s">
        <v>806</v>
      </c>
      <c r="E49" s="329" t="s">
        <v>852</v>
      </c>
      <c r="F49" s="330"/>
      <c r="G49" s="331">
        <v>713.06</v>
      </c>
      <c r="H49" s="332" t="s">
        <v>1006</v>
      </c>
      <c r="I49" s="331">
        <v>713.06</v>
      </c>
      <c r="J49" s="333">
        <v>713.06</v>
      </c>
      <c r="K49" s="333">
        <f t="shared" si="0"/>
        <v>0</v>
      </c>
      <c r="L49" s="329"/>
    </row>
    <row r="50" spans="1:12">
      <c r="A50" s="334">
        <v>37</v>
      </c>
      <c r="B50" s="354">
        <v>2119</v>
      </c>
      <c r="C50" s="328" t="s">
        <v>760</v>
      </c>
      <c r="D50" s="328" t="s">
        <v>807</v>
      </c>
      <c r="E50" s="329" t="s">
        <v>852</v>
      </c>
      <c r="F50" s="330"/>
      <c r="G50" s="331">
        <v>630.16</v>
      </c>
      <c r="H50" s="332" t="s">
        <v>1006</v>
      </c>
      <c r="I50" s="331">
        <v>630.16</v>
      </c>
      <c r="J50" s="389">
        <v>630.16</v>
      </c>
      <c r="K50" s="333">
        <f t="shared" si="0"/>
        <v>0</v>
      </c>
      <c r="L50" s="329"/>
    </row>
    <row r="51" spans="1:12">
      <c r="A51" s="334">
        <v>38</v>
      </c>
      <c r="B51" s="354">
        <v>2273</v>
      </c>
      <c r="C51" s="328" t="s">
        <v>761</v>
      </c>
      <c r="D51" s="328" t="s">
        <v>808</v>
      </c>
      <c r="E51" s="329" t="s">
        <v>852</v>
      </c>
      <c r="F51" s="330"/>
      <c r="G51" s="331">
        <v>657.99</v>
      </c>
      <c r="H51" s="332" t="s">
        <v>1006</v>
      </c>
      <c r="I51" s="331">
        <v>657.99</v>
      </c>
      <c r="J51" s="389">
        <v>657.99</v>
      </c>
      <c r="K51" s="333">
        <f t="shared" si="0"/>
        <v>0</v>
      </c>
      <c r="L51" s="329"/>
    </row>
    <row r="52" spans="1:12">
      <c r="A52" s="334">
        <v>40</v>
      </c>
      <c r="B52" s="354">
        <v>1975</v>
      </c>
      <c r="C52" s="328" t="s">
        <v>762</v>
      </c>
      <c r="D52" s="328" t="s">
        <v>810</v>
      </c>
      <c r="E52" s="329" t="s">
        <v>854</v>
      </c>
      <c r="F52" s="330">
        <v>1</v>
      </c>
      <c r="G52" s="331">
        <v>1647.13</v>
      </c>
      <c r="H52" s="332" t="s">
        <v>1006</v>
      </c>
      <c r="I52" s="331">
        <v>1647.13</v>
      </c>
      <c r="J52" s="389">
        <v>1647.13</v>
      </c>
      <c r="K52" s="333" t="e">
        <f>#REF!-#REF!</f>
        <v>#REF!</v>
      </c>
      <c r="L52" s="329"/>
    </row>
    <row r="53" spans="1:12">
      <c r="A53" s="334">
        <v>42</v>
      </c>
      <c r="B53" s="354">
        <v>2235</v>
      </c>
      <c r="C53" s="328" t="s">
        <v>764</v>
      </c>
      <c r="D53" s="328" t="s">
        <v>812</v>
      </c>
      <c r="E53" s="329" t="s">
        <v>854</v>
      </c>
      <c r="F53" s="330">
        <v>1</v>
      </c>
      <c r="G53" s="331">
        <v>1501.26</v>
      </c>
      <c r="H53" s="332" t="s">
        <v>1006</v>
      </c>
      <c r="I53" s="331">
        <v>1501.26</v>
      </c>
      <c r="J53" s="389">
        <v>1501.26</v>
      </c>
      <c r="K53" s="333">
        <f t="shared" si="0"/>
        <v>0</v>
      </c>
      <c r="L53" s="329"/>
    </row>
    <row r="54" spans="1:12">
      <c r="A54" s="334">
        <v>43</v>
      </c>
      <c r="B54" s="354">
        <v>2245</v>
      </c>
      <c r="C54" s="328" t="s">
        <v>765</v>
      </c>
      <c r="D54" s="328" t="s">
        <v>813</v>
      </c>
      <c r="E54" s="329" t="s">
        <v>854</v>
      </c>
      <c r="F54" s="330">
        <v>1</v>
      </c>
      <c r="G54" s="331">
        <v>1789.97</v>
      </c>
      <c r="H54" s="332" t="s">
        <v>1006</v>
      </c>
      <c r="I54" s="331">
        <v>1789.97</v>
      </c>
      <c r="J54" s="389">
        <v>1789.97</v>
      </c>
      <c r="K54" s="333">
        <f t="shared" si="0"/>
        <v>0</v>
      </c>
      <c r="L54" s="329"/>
    </row>
    <row r="55" spans="1:12">
      <c r="A55" s="334"/>
      <c r="B55" s="354">
        <v>2281</v>
      </c>
      <c r="C55" s="328" t="s">
        <v>1146</v>
      </c>
      <c r="D55" s="328" t="s">
        <v>1147</v>
      </c>
      <c r="E55" s="329" t="s">
        <v>855</v>
      </c>
      <c r="F55" s="330">
        <v>1</v>
      </c>
      <c r="G55" s="331">
        <v>2468.88</v>
      </c>
      <c r="H55" s="332">
        <v>1589.16</v>
      </c>
      <c r="I55" s="331">
        <f>SUM(G55:H55)</f>
        <v>4058.04</v>
      </c>
      <c r="J55" s="389">
        <v>4058.04</v>
      </c>
      <c r="K55" s="333"/>
      <c r="L55" s="329"/>
    </row>
    <row r="56" spans="1:12">
      <c r="A56" s="334">
        <v>44</v>
      </c>
      <c r="B56" s="354">
        <v>2001</v>
      </c>
      <c r="C56" s="328" t="s">
        <v>766</v>
      </c>
      <c r="D56" s="338" t="s">
        <v>814</v>
      </c>
      <c r="E56" s="329" t="s">
        <v>854</v>
      </c>
      <c r="F56" s="330">
        <v>1</v>
      </c>
      <c r="G56" s="331">
        <v>1934.9</v>
      </c>
      <c r="H56" s="332" t="s">
        <v>1006</v>
      </c>
      <c r="I56" s="331">
        <v>1934.9</v>
      </c>
      <c r="J56" s="389">
        <v>1934.9</v>
      </c>
      <c r="K56" s="333">
        <f t="shared" si="0"/>
        <v>0</v>
      </c>
      <c r="L56" s="329"/>
    </row>
    <row r="57" spans="1:12">
      <c r="A57" s="334">
        <v>45</v>
      </c>
      <c r="B57" s="354">
        <v>2160</v>
      </c>
      <c r="C57" s="328" t="s">
        <v>767</v>
      </c>
      <c r="D57" s="338" t="s">
        <v>815</v>
      </c>
      <c r="E57" s="329" t="s">
        <v>854</v>
      </c>
      <c r="F57" s="330">
        <v>1</v>
      </c>
      <c r="G57" s="331">
        <v>2091.06</v>
      </c>
      <c r="H57" s="332" t="s">
        <v>1006</v>
      </c>
      <c r="I57" s="331">
        <v>2091.06</v>
      </c>
      <c r="J57" s="331">
        <v>2091.06</v>
      </c>
      <c r="K57" s="333">
        <f t="shared" si="0"/>
        <v>0</v>
      </c>
      <c r="L57" s="329"/>
    </row>
    <row r="58" spans="1:12">
      <c r="A58" s="334">
        <v>48</v>
      </c>
      <c r="B58" s="354">
        <v>2246</v>
      </c>
      <c r="C58" s="328" t="s">
        <v>769</v>
      </c>
      <c r="D58" s="338" t="s">
        <v>817</v>
      </c>
      <c r="E58" s="329" t="s">
        <v>852</v>
      </c>
      <c r="F58" s="330"/>
      <c r="G58" s="331">
        <v>703.79</v>
      </c>
      <c r="H58" s="332" t="s">
        <v>1006</v>
      </c>
      <c r="I58" s="331">
        <v>703.79</v>
      </c>
      <c r="J58" s="389">
        <v>703.79</v>
      </c>
      <c r="K58" s="333">
        <f t="shared" si="0"/>
        <v>0</v>
      </c>
      <c r="L58" s="188"/>
    </row>
    <row r="59" spans="1:12">
      <c r="A59" s="334">
        <v>49</v>
      </c>
      <c r="B59" s="354">
        <v>2018</v>
      </c>
      <c r="C59" s="328" t="s">
        <v>770</v>
      </c>
      <c r="D59" s="328" t="s">
        <v>818</v>
      </c>
      <c r="E59" s="329" t="s">
        <v>852</v>
      </c>
      <c r="F59" s="330"/>
      <c r="G59" s="331">
        <v>1739.16</v>
      </c>
      <c r="H59" s="332" t="s">
        <v>1006</v>
      </c>
      <c r="I59" s="331">
        <v>1739.16</v>
      </c>
      <c r="J59" s="389">
        <v>1739.16</v>
      </c>
      <c r="K59" s="333">
        <f t="shared" si="0"/>
        <v>0</v>
      </c>
      <c r="L59" s="161" t="s">
        <v>1153</v>
      </c>
    </row>
    <row r="60" spans="1:12">
      <c r="A60" s="334"/>
      <c r="B60" s="354">
        <v>2329</v>
      </c>
      <c r="C60" s="328" t="s">
        <v>1070</v>
      </c>
      <c r="D60" s="328" t="s">
        <v>1071</v>
      </c>
      <c r="E60" s="329" t="s">
        <v>854</v>
      </c>
      <c r="F60" s="330">
        <v>1</v>
      </c>
      <c r="G60" s="331">
        <v>579.72</v>
      </c>
      <c r="H60" s="332">
        <v>0</v>
      </c>
      <c r="I60" s="331">
        <v>579.72</v>
      </c>
      <c r="J60" s="389">
        <v>579.72</v>
      </c>
      <c r="K60" s="333">
        <f t="shared" si="0"/>
        <v>0</v>
      </c>
      <c r="L60" s="329"/>
    </row>
    <row r="61" spans="1:12">
      <c r="A61" s="334">
        <v>50</v>
      </c>
      <c r="B61" s="354">
        <v>1692</v>
      </c>
      <c r="C61" s="328" t="s">
        <v>771</v>
      </c>
      <c r="D61" s="338" t="s">
        <v>819</v>
      </c>
      <c r="E61" s="329" t="s">
        <v>852</v>
      </c>
      <c r="F61" s="330"/>
      <c r="G61" s="331">
        <v>2088.7399999999998</v>
      </c>
      <c r="H61" s="332" t="s">
        <v>1006</v>
      </c>
      <c r="I61" s="331">
        <v>2088.7399999999998</v>
      </c>
      <c r="J61" s="333">
        <v>2088.7399999999998</v>
      </c>
      <c r="K61" s="333">
        <f t="shared" si="0"/>
        <v>0</v>
      </c>
      <c r="L61" s="329"/>
    </row>
    <row r="62" spans="1:12">
      <c r="A62" s="334"/>
      <c r="B62" s="354">
        <v>2027</v>
      </c>
      <c r="C62" s="328" t="s">
        <v>771</v>
      </c>
      <c r="D62" s="338" t="s">
        <v>982</v>
      </c>
      <c r="E62" s="329" t="s">
        <v>852</v>
      </c>
      <c r="F62" s="330"/>
      <c r="G62" s="331">
        <v>713.06</v>
      </c>
      <c r="H62" s="332" t="s">
        <v>1006</v>
      </c>
      <c r="I62" s="331">
        <v>713.06</v>
      </c>
      <c r="J62" s="389">
        <v>713.06</v>
      </c>
      <c r="K62" s="333">
        <f t="shared" si="0"/>
        <v>0</v>
      </c>
      <c r="L62" s="329"/>
    </row>
    <row r="63" spans="1:12">
      <c r="A63" s="334">
        <v>52</v>
      </c>
      <c r="B63" s="354">
        <v>2060</v>
      </c>
      <c r="C63" s="328" t="s">
        <v>487</v>
      </c>
      <c r="D63" s="328" t="s">
        <v>516</v>
      </c>
      <c r="E63" s="329" t="s">
        <v>852</v>
      </c>
      <c r="F63" s="330"/>
      <c r="G63" s="331">
        <v>1182.6400000000001</v>
      </c>
      <c r="H63" s="332" t="s">
        <v>1006</v>
      </c>
      <c r="I63" s="331">
        <v>1182.6400000000001</v>
      </c>
      <c r="J63" s="389">
        <v>1182.6400000000001</v>
      </c>
      <c r="K63" s="333">
        <f t="shared" si="0"/>
        <v>0</v>
      </c>
      <c r="L63" s="329"/>
    </row>
    <row r="64" spans="1:12">
      <c r="A64" s="334"/>
      <c r="B64" s="354">
        <v>2333</v>
      </c>
      <c r="C64" s="328" t="s">
        <v>1078</v>
      </c>
      <c r="D64" s="328" t="s">
        <v>1079</v>
      </c>
      <c r="E64" s="329" t="s">
        <v>854</v>
      </c>
      <c r="F64" s="330">
        <v>1</v>
      </c>
      <c r="G64" s="331">
        <v>1166.18</v>
      </c>
      <c r="H64" s="332">
        <v>0</v>
      </c>
      <c r="I64" s="331">
        <v>1166.18</v>
      </c>
      <c r="J64" s="389">
        <v>1166.18</v>
      </c>
      <c r="K64" s="333">
        <f t="shared" si="0"/>
        <v>0</v>
      </c>
      <c r="L64" s="329"/>
    </row>
    <row r="65" spans="1:16">
      <c r="A65" s="334">
        <v>54</v>
      </c>
      <c r="B65" s="354">
        <v>1050</v>
      </c>
      <c r="C65" s="328" t="s">
        <v>773</v>
      </c>
      <c r="D65" s="328" t="s">
        <v>821</v>
      </c>
      <c r="E65" s="329" t="s">
        <v>852</v>
      </c>
      <c r="F65" s="330"/>
      <c r="G65" s="331">
        <v>1739.16</v>
      </c>
      <c r="H65" s="332" t="s">
        <v>1006</v>
      </c>
      <c r="I65" s="331">
        <v>1739.16</v>
      </c>
      <c r="J65" s="389">
        <v>1739.16</v>
      </c>
      <c r="K65" s="333">
        <f t="shared" si="0"/>
        <v>0</v>
      </c>
      <c r="L65" s="329"/>
    </row>
    <row r="66" spans="1:16">
      <c r="A66" s="334">
        <v>55</v>
      </c>
      <c r="B66" s="354">
        <v>1964</v>
      </c>
      <c r="C66" s="328" t="s">
        <v>491</v>
      </c>
      <c r="D66" s="328" t="s">
        <v>456</v>
      </c>
      <c r="E66" s="329" t="s">
        <v>852</v>
      </c>
      <c r="F66" s="330"/>
      <c r="G66" s="331">
        <v>947.85</v>
      </c>
      <c r="H66" s="332" t="s">
        <v>1006</v>
      </c>
      <c r="I66" s="331">
        <v>947.85</v>
      </c>
      <c r="J66" s="389">
        <v>947.85</v>
      </c>
      <c r="K66" s="333">
        <f t="shared" si="0"/>
        <v>0</v>
      </c>
      <c r="L66" s="329"/>
    </row>
    <row r="67" spans="1:16">
      <c r="A67" s="334">
        <v>57</v>
      </c>
      <c r="B67" s="354">
        <v>1981</v>
      </c>
      <c r="C67" s="328" t="s">
        <v>774</v>
      </c>
      <c r="D67" s="338" t="s">
        <v>822</v>
      </c>
      <c r="E67" s="329" t="s">
        <v>852</v>
      </c>
      <c r="F67" s="330"/>
      <c r="G67" s="331">
        <v>740.89</v>
      </c>
      <c r="H67" s="332" t="s">
        <v>1006</v>
      </c>
      <c r="I67" s="331">
        <v>740.89</v>
      </c>
      <c r="J67" s="389">
        <v>740.89</v>
      </c>
      <c r="K67" s="333">
        <f t="shared" si="0"/>
        <v>0</v>
      </c>
      <c r="L67" s="329"/>
    </row>
    <row r="68" spans="1:16">
      <c r="A68" s="334">
        <v>56</v>
      </c>
      <c r="B68" s="354">
        <v>1662</v>
      </c>
      <c r="C68" s="328" t="s">
        <v>774</v>
      </c>
      <c r="D68" s="328" t="s">
        <v>823</v>
      </c>
      <c r="E68" s="329" t="s">
        <v>852</v>
      </c>
      <c r="F68" s="330"/>
      <c r="G68" s="331">
        <v>989.01</v>
      </c>
      <c r="H68" s="332" t="s">
        <v>1006</v>
      </c>
      <c r="I68" s="331">
        <v>989.01</v>
      </c>
      <c r="J68" s="389">
        <v>989.01</v>
      </c>
      <c r="K68" s="333">
        <f t="shared" si="0"/>
        <v>0</v>
      </c>
      <c r="L68" s="329"/>
    </row>
    <row r="69" spans="1:16">
      <c r="A69" s="334"/>
      <c r="B69" s="354">
        <v>2339</v>
      </c>
      <c r="C69" s="328" t="s">
        <v>775</v>
      </c>
      <c r="D69" s="328" t="s">
        <v>1110</v>
      </c>
      <c r="E69" s="329" t="s">
        <v>854</v>
      </c>
      <c r="F69" s="330">
        <v>1</v>
      </c>
      <c r="G69" s="331">
        <v>1568.73</v>
      </c>
      <c r="H69" s="332">
        <v>0</v>
      </c>
      <c r="I69" s="331">
        <v>1568.73</v>
      </c>
      <c r="J69" s="389">
        <v>1568.73</v>
      </c>
      <c r="K69" s="333">
        <f t="shared" ref="K69:K76" si="1">I69-J69</f>
        <v>0</v>
      </c>
      <c r="L69" s="329"/>
    </row>
    <row r="70" spans="1:16">
      <c r="A70" s="334">
        <v>58</v>
      </c>
      <c r="B70" s="354">
        <v>1630</v>
      </c>
      <c r="C70" s="328" t="s">
        <v>775</v>
      </c>
      <c r="D70" s="338" t="s">
        <v>824</v>
      </c>
      <c r="E70" s="329" t="s">
        <v>852</v>
      </c>
      <c r="F70" s="330"/>
      <c r="G70" s="331">
        <v>1352.5</v>
      </c>
      <c r="H70" s="332" t="s">
        <v>1006</v>
      </c>
      <c r="I70" s="331">
        <v>1352.5</v>
      </c>
      <c r="J70" s="389">
        <v>1352.5</v>
      </c>
      <c r="K70" s="333">
        <f t="shared" si="1"/>
        <v>0</v>
      </c>
      <c r="L70" s="329"/>
    </row>
    <row r="71" spans="1:16">
      <c r="A71" s="334"/>
      <c r="B71" s="354">
        <v>2337</v>
      </c>
      <c r="C71" s="328" t="s">
        <v>777</v>
      </c>
      <c r="D71" s="338" t="s">
        <v>1080</v>
      </c>
      <c r="E71" s="329" t="s">
        <v>852</v>
      </c>
      <c r="F71" s="330"/>
      <c r="G71" s="331">
        <v>685.81</v>
      </c>
      <c r="H71" s="332">
        <v>0</v>
      </c>
      <c r="I71" s="331">
        <v>685.81</v>
      </c>
      <c r="J71" s="389">
        <v>685.81</v>
      </c>
      <c r="K71" s="333">
        <f t="shared" si="1"/>
        <v>0</v>
      </c>
      <c r="L71" s="329"/>
    </row>
    <row r="72" spans="1:16">
      <c r="A72" s="334">
        <v>61</v>
      </c>
      <c r="B72" s="354">
        <v>2010</v>
      </c>
      <c r="C72" s="328" t="s">
        <v>777</v>
      </c>
      <c r="D72" s="328" t="s">
        <v>826</v>
      </c>
      <c r="E72" s="329" t="s">
        <v>852</v>
      </c>
      <c r="F72" s="330"/>
      <c r="G72" s="331">
        <v>1131.6199999999999</v>
      </c>
      <c r="H72" s="332" t="s">
        <v>1006</v>
      </c>
      <c r="I72" s="331">
        <v>1131.6199999999999</v>
      </c>
      <c r="J72" s="389">
        <v>1131.6199999999999</v>
      </c>
      <c r="K72" s="333">
        <f t="shared" si="1"/>
        <v>0</v>
      </c>
      <c r="L72" s="329"/>
    </row>
    <row r="73" spans="1:16">
      <c r="A73" s="334">
        <v>60</v>
      </c>
      <c r="B73" s="354">
        <v>2187</v>
      </c>
      <c r="C73" s="328" t="s">
        <v>777</v>
      </c>
      <c r="D73" s="328" t="s">
        <v>827</v>
      </c>
      <c r="E73" s="329" t="s">
        <v>853</v>
      </c>
      <c r="F73" s="330">
        <v>2</v>
      </c>
      <c r="G73" s="331">
        <v>2082.5100000000002</v>
      </c>
      <c r="H73" s="332" t="s">
        <v>1006</v>
      </c>
      <c r="I73" s="391">
        <v>2082.5100000000002</v>
      </c>
      <c r="J73" s="389">
        <v>2082.5100000000002</v>
      </c>
      <c r="K73" s="333">
        <f t="shared" si="1"/>
        <v>0</v>
      </c>
      <c r="L73" s="329"/>
    </row>
    <row r="74" spans="1:16">
      <c r="A74" s="334">
        <v>63</v>
      </c>
      <c r="B74" s="354">
        <v>2064</v>
      </c>
      <c r="C74" s="328" t="s">
        <v>778</v>
      </c>
      <c r="D74" s="338" t="s">
        <v>829</v>
      </c>
      <c r="E74" s="341" t="s">
        <v>856</v>
      </c>
      <c r="F74" s="330">
        <v>2</v>
      </c>
      <c r="G74" s="331">
        <v>1797.13</v>
      </c>
      <c r="H74" s="332">
        <v>659.88</v>
      </c>
      <c r="I74" s="332">
        <f>SUM(G74:H74)</f>
        <v>2457.0100000000002</v>
      </c>
      <c r="J74" s="333">
        <v>2457.0100000000002</v>
      </c>
      <c r="K74" s="333">
        <f t="shared" si="1"/>
        <v>0</v>
      </c>
      <c r="L74" s="329"/>
    </row>
    <row r="75" spans="1:16">
      <c r="A75" s="334"/>
      <c r="B75" s="354">
        <v>2335</v>
      </c>
      <c r="C75" s="328" t="s">
        <v>870</v>
      </c>
      <c r="D75" s="338" t="s">
        <v>1081</v>
      </c>
      <c r="E75" s="382" t="s">
        <v>852</v>
      </c>
      <c r="F75" s="330"/>
      <c r="G75" s="331">
        <v>607.54999999999995</v>
      </c>
      <c r="H75" s="332">
        <v>0</v>
      </c>
      <c r="I75" s="331">
        <v>607.54999999999995</v>
      </c>
      <c r="J75" s="389">
        <v>607.54999999999995</v>
      </c>
      <c r="K75" s="333">
        <v>0</v>
      </c>
      <c r="L75" s="329"/>
    </row>
    <row r="76" spans="1:16">
      <c r="A76" s="334"/>
      <c r="B76" s="354">
        <v>2089</v>
      </c>
      <c r="C76" s="328" t="s">
        <v>870</v>
      </c>
      <c r="D76" s="338" t="s">
        <v>1007</v>
      </c>
      <c r="E76" s="329" t="s">
        <v>854</v>
      </c>
      <c r="F76" s="330">
        <v>1</v>
      </c>
      <c r="G76" s="331">
        <v>1161.55</v>
      </c>
      <c r="H76" s="332" t="s">
        <v>1006</v>
      </c>
      <c r="I76" s="331">
        <v>1161.55</v>
      </c>
      <c r="J76" s="389">
        <v>1161.55</v>
      </c>
      <c r="K76" s="333">
        <f t="shared" si="1"/>
        <v>0</v>
      </c>
      <c r="L76" t="s">
        <v>1156</v>
      </c>
    </row>
    <row r="77" spans="1:16">
      <c r="A77" s="7"/>
      <c r="B77" s="66"/>
      <c r="C77" s="29"/>
      <c r="D77" s="29"/>
      <c r="E77" s="410"/>
      <c r="F77" s="411"/>
      <c r="G77" s="412"/>
      <c r="H77" s="413">
        <f>SUM(H5:H76)</f>
        <v>4533.76</v>
      </c>
      <c r="I77" s="412"/>
      <c r="J77" s="414"/>
      <c r="K77" s="414"/>
      <c r="L77" s="385"/>
      <c r="M77" s="216"/>
      <c r="O77" s="15"/>
      <c r="P77" s="15"/>
    </row>
    <row r="78" spans="1:16">
      <c r="A78" s="7"/>
      <c r="B78" s="66"/>
      <c r="C78" s="29"/>
      <c r="D78" s="29"/>
      <c r="E78" s="410"/>
      <c r="F78" s="411"/>
      <c r="G78" s="412"/>
      <c r="H78" s="413"/>
      <c r="I78" s="412"/>
      <c r="J78" s="414"/>
      <c r="K78" s="414"/>
      <c r="L78" s="385"/>
      <c r="M78" s="216"/>
      <c r="O78" s="15"/>
      <c r="P78" s="15"/>
    </row>
    <row r="79" spans="1:16">
      <c r="A79" s="7"/>
      <c r="B79" s="66"/>
      <c r="C79" s="29"/>
      <c r="D79" s="29"/>
      <c r="E79" s="410"/>
      <c r="F79" s="411"/>
      <c r="G79" s="412"/>
      <c r="H79" s="413"/>
      <c r="I79" s="412"/>
      <c r="J79" s="414"/>
      <c r="K79" s="414"/>
      <c r="L79" s="385"/>
      <c r="M79" s="216"/>
      <c r="O79" s="15"/>
      <c r="P79" s="15"/>
    </row>
    <row r="80" spans="1:16">
      <c r="A80" s="7"/>
      <c r="B80" s="354">
        <v>2288</v>
      </c>
      <c r="C80" s="328" t="s">
        <v>772</v>
      </c>
      <c r="D80" s="338" t="s">
        <v>820</v>
      </c>
      <c r="E80" s="329" t="s">
        <v>852</v>
      </c>
      <c r="F80" s="330"/>
      <c r="G80" s="331">
        <v>648.71</v>
      </c>
      <c r="H80" s="412"/>
      <c r="I80" s="331">
        <v>648.71</v>
      </c>
      <c r="J80" s="331">
        <v>648.71</v>
      </c>
      <c r="K80" s="333">
        <f t="shared" ref="K80" si="2">I80-J80</f>
        <v>0</v>
      </c>
      <c r="L80" s="196" t="s">
        <v>1128</v>
      </c>
      <c r="M80" s="216"/>
      <c r="O80" s="15"/>
      <c r="P80" s="15"/>
    </row>
    <row r="81" spans="1:20">
      <c r="A81" s="7"/>
      <c r="B81" s="354"/>
      <c r="C81" s="328"/>
      <c r="D81" s="338"/>
      <c r="E81" s="329"/>
      <c r="F81" s="330"/>
      <c r="G81" s="331"/>
      <c r="H81" s="412"/>
      <c r="I81" s="331" t="s">
        <v>1113</v>
      </c>
      <c r="J81" s="415">
        <f>SUM(J80:J80)</f>
        <v>648.71</v>
      </c>
      <c r="K81" s="333"/>
      <c r="L81" s="385"/>
      <c r="M81" s="216"/>
      <c r="O81" s="15"/>
      <c r="P81" s="15"/>
    </row>
    <row r="82" spans="1:20">
      <c r="A82" s="438" t="s">
        <v>652</v>
      </c>
      <c r="B82" s="439"/>
      <c r="C82" s="439"/>
      <c r="D82" s="439"/>
      <c r="E82" s="439"/>
      <c r="F82" s="439"/>
      <c r="G82" s="440"/>
      <c r="H82" s="347"/>
      <c r="I82" s="348">
        <f>SUM(I5:I76)</f>
        <v>96177.72</v>
      </c>
      <c r="J82" s="383">
        <f>SUM(J5:J76)</f>
        <v>96177.71</v>
      </c>
      <c r="K82" s="383"/>
      <c r="L82" s="386"/>
    </row>
    <row r="83" spans="1:20">
      <c r="A83" s="441" t="s">
        <v>1028</v>
      </c>
      <c r="B83" s="442"/>
      <c r="C83" s="443"/>
      <c r="D83" s="351"/>
      <c r="E83" s="352" t="s">
        <v>258</v>
      </c>
      <c r="F83" s="334">
        <v>73</v>
      </c>
      <c r="G83" s="329" t="s">
        <v>1029</v>
      </c>
      <c r="H83" s="351"/>
      <c r="I83" s="352" t="s">
        <v>258</v>
      </c>
      <c r="J83" s="343">
        <v>74</v>
      </c>
      <c r="K83" s="343"/>
      <c r="L83" s="161"/>
    </row>
    <row r="84" spans="1:20">
      <c r="A84" s="353"/>
      <c r="B84" s="352"/>
      <c r="C84" s="351"/>
      <c r="D84" s="351"/>
      <c r="E84" s="351" t="s">
        <v>930</v>
      </c>
      <c r="F84" s="330">
        <v>4</v>
      </c>
      <c r="G84" s="329"/>
      <c r="H84" s="351"/>
      <c r="I84" s="351" t="s">
        <v>930</v>
      </c>
      <c r="J84" s="343">
        <v>4</v>
      </c>
      <c r="K84" s="343"/>
      <c r="L84" s="161"/>
    </row>
    <row r="85" spans="1:20">
      <c r="A85" s="441"/>
      <c r="B85" s="442"/>
      <c r="C85" s="443"/>
      <c r="D85" s="351"/>
      <c r="E85" s="352" t="s">
        <v>931</v>
      </c>
      <c r="F85" s="355">
        <v>26</v>
      </c>
      <c r="G85" s="329"/>
      <c r="H85" s="351"/>
      <c r="I85" s="352" t="s">
        <v>931</v>
      </c>
      <c r="J85" s="343">
        <v>26</v>
      </c>
      <c r="K85" s="343"/>
      <c r="L85" s="161"/>
    </row>
    <row r="86" spans="1:20">
      <c r="A86" s="444"/>
      <c r="B86" s="445"/>
      <c r="C86" s="446"/>
      <c r="D86" s="356"/>
      <c r="E86" s="357" t="s">
        <v>246</v>
      </c>
      <c r="F86" s="358">
        <v>103</v>
      </c>
      <c r="G86" s="329"/>
      <c r="H86" s="393"/>
      <c r="I86" s="394" t="s">
        <v>246</v>
      </c>
      <c r="J86" s="395">
        <v>104</v>
      </c>
      <c r="K86" s="395"/>
      <c r="L86" s="161"/>
    </row>
    <row r="87" spans="1:20">
      <c r="A87" s="447" t="s">
        <v>830</v>
      </c>
      <c r="B87" s="448"/>
      <c r="C87" s="448"/>
      <c r="D87" s="448"/>
      <c r="E87" s="448"/>
      <c r="F87" s="448"/>
      <c r="G87" s="448"/>
      <c r="H87" s="381"/>
      <c r="I87" s="381"/>
      <c r="J87" s="396"/>
      <c r="K87" s="396"/>
      <c r="L87" s="392"/>
      <c r="N87" s="15"/>
    </row>
    <row r="88" spans="1:20">
      <c r="A88" s="334"/>
      <c r="B88" s="374">
        <v>2303</v>
      </c>
      <c r="C88" s="336" t="s">
        <v>950</v>
      </c>
      <c r="D88" s="329" t="s">
        <v>949</v>
      </c>
      <c r="E88" s="329" t="s">
        <v>852</v>
      </c>
      <c r="F88" s="330"/>
      <c r="G88" s="332">
        <v>-1711.35</v>
      </c>
      <c r="H88" s="332" t="s">
        <v>1006</v>
      </c>
      <c r="I88" s="332">
        <v>-1711.35</v>
      </c>
      <c r="J88" s="332">
        <v>-1711.35</v>
      </c>
      <c r="K88" s="333">
        <f t="shared" ref="K88" si="3">I88-J88</f>
        <v>0</v>
      </c>
      <c r="L88" s="337" t="s">
        <v>1154</v>
      </c>
      <c r="M88" s="362"/>
      <c r="N88" s="363"/>
      <c r="O88" s="362"/>
      <c r="P88" s="362"/>
      <c r="Q88" s="362"/>
      <c r="R88" s="362"/>
      <c r="S88" s="362"/>
      <c r="T88" s="362"/>
    </row>
    <row r="89" spans="1:20">
      <c r="A89" s="334"/>
      <c r="B89" s="374">
        <v>2303</v>
      </c>
      <c r="C89" s="336" t="s">
        <v>950</v>
      </c>
      <c r="D89" s="329" t="s">
        <v>949</v>
      </c>
      <c r="E89" s="329" t="s">
        <v>852</v>
      </c>
      <c r="F89" s="330"/>
      <c r="G89" s="332">
        <v>-1711.35</v>
      </c>
      <c r="H89" s="332" t="s">
        <v>1006</v>
      </c>
      <c r="I89" s="332">
        <v>-1711.35</v>
      </c>
      <c r="J89" s="332">
        <v>-1711.35</v>
      </c>
      <c r="K89" s="333">
        <f t="shared" ref="K89" si="4">I89-J89</f>
        <v>0</v>
      </c>
      <c r="L89" s="337" t="s">
        <v>1154</v>
      </c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/>
      <c r="C90" s="328"/>
      <c r="D90" s="328"/>
      <c r="E90" s="329"/>
      <c r="F90" s="330"/>
      <c r="G90" s="331"/>
      <c r="H90" s="332"/>
      <c r="I90" s="331"/>
      <c r="J90" s="389"/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28"/>
      <c r="E91" s="329"/>
      <c r="F91" s="330"/>
      <c r="G91" s="331"/>
      <c r="H91" s="332"/>
      <c r="I91" s="331"/>
      <c r="J91" s="389"/>
      <c r="K91" s="333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28"/>
      <c r="E92" s="329"/>
      <c r="F92" s="330"/>
      <c r="G92" s="331"/>
      <c r="H92" s="332"/>
      <c r="I92" s="331"/>
      <c r="J92" s="389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28"/>
      <c r="E93" s="329"/>
      <c r="F93" s="330"/>
      <c r="G93" s="331"/>
      <c r="H93" s="332"/>
      <c r="I93" s="331"/>
      <c r="J93" s="38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28"/>
      <c r="E94" s="329"/>
      <c r="F94" s="330"/>
      <c r="G94" s="331"/>
      <c r="H94" s="332"/>
      <c r="I94" s="331"/>
      <c r="J94" s="38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28"/>
      <c r="E95" s="329"/>
      <c r="F95" s="330"/>
      <c r="G95" s="331"/>
      <c r="H95" s="332"/>
      <c r="I95" s="331"/>
      <c r="J95" s="38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29"/>
      <c r="F96" s="330"/>
      <c r="G96" s="331"/>
      <c r="H96" s="332"/>
      <c r="I96" s="331"/>
      <c r="J96" s="389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28"/>
      <c r="E97" s="329"/>
      <c r="F97" s="330"/>
      <c r="G97" s="331"/>
      <c r="H97" s="332"/>
      <c r="I97" s="331"/>
      <c r="J97" s="389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28"/>
      <c r="E98" s="329"/>
      <c r="F98" s="330"/>
      <c r="G98" s="331"/>
      <c r="H98" s="332"/>
      <c r="I98" s="332"/>
      <c r="J98" s="333"/>
      <c r="K98" s="333"/>
      <c r="L98" s="161"/>
      <c r="N98" s="15"/>
    </row>
    <row r="99" spans="1:20">
      <c r="A99" s="438" t="s">
        <v>846</v>
      </c>
      <c r="B99" s="439"/>
      <c r="C99" s="439"/>
      <c r="D99" s="439"/>
      <c r="E99" s="439"/>
      <c r="F99" s="439"/>
      <c r="G99" s="440"/>
      <c r="H99" s="348">
        <f>SUM(H88:H98)</f>
        <v>0</v>
      </c>
      <c r="I99" s="347"/>
      <c r="J99" s="348">
        <f>SUM(J88:J98)</f>
        <v>-3422.7</v>
      </c>
      <c r="K99" s="406"/>
      <c r="L99" s="402"/>
    </row>
    <row r="100" spans="1:20">
      <c r="A100" s="365"/>
      <c r="B100" s="366"/>
      <c r="C100" s="366"/>
      <c r="D100" s="366"/>
      <c r="E100" s="366"/>
      <c r="F100" s="367"/>
      <c r="G100" s="368"/>
      <c r="H100" s="368"/>
      <c r="I100" s="368"/>
      <c r="J100" s="349"/>
      <c r="K100" s="383"/>
      <c r="L100" s="364"/>
    </row>
    <row r="101" spans="1:20" ht="16">
      <c r="A101" s="435" t="s">
        <v>881</v>
      </c>
      <c r="B101" s="436"/>
      <c r="C101" s="436"/>
      <c r="D101" s="436"/>
      <c r="E101" s="436"/>
      <c r="F101" s="436"/>
      <c r="G101" s="437"/>
      <c r="H101" s="369"/>
      <c r="I101" s="369"/>
      <c r="J101" s="370">
        <f>SUM(J81,J82,J99)</f>
        <v>93403.720000000016</v>
      </c>
      <c r="K101" s="407"/>
      <c r="L101" s="350"/>
    </row>
    <row r="102" spans="1:20" ht="18">
      <c r="F102" s="3"/>
      <c r="G102" s="371" t="s">
        <v>1013</v>
      </c>
      <c r="H102" s="372">
        <v>45853</v>
      </c>
    </row>
    <row r="103" spans="1:20" ht="18">
      <c r="F103" s="3"/>
      <c r="G103" s="371" t="s">
        <v>1014</v>
      </c>
      <c r="H103" s="373" t="s">
        <v>990</v>
      </c>
      <c r="I103" s="373"/>
    </row>
    <row r="104" spans="1:20">
      <c r="F104" s="3"/>
      <c r="G104" s="216"/>
      <c r="H104" s="216"/>
      <c r="I104" s="216"/>
      <c r="J104" s="3"/>
      <c r="K104" s="3"/>
      <c r="L104" s="15"/>
      <c r="M104" s="216"/>
    </row>
    <row r="105" spans="1:20">
      <c r="F105" s="3"/>
      <c r="G105" s="216"/>
      <c r="H105" s="269"/>
      <c r="I105" s="216"/>
      <c r="J105" s="270"/>
      <c r="K105" s="270"/>
      <c r="L105" s="15"/>
      <c r="M105" s="216"/>
    </row>
    <row r="106" spans="1:20">
      <c r="F106" s="3"/>
      <c r="G106" s="216"/>
      <c r="H106" s="269" t="s">
        <v>1145</v>
      </c>
      <c r="I106" s="216" t="s">
        <v>1144</v>
      </c>
      <c r="J106" s="270" t="s">
        <v>1112</v>
      </c>
      <c r="K106" s="270"/>
      <c r="L106" s="15"/>
      <c r="M106" s="216"/>
    </row>
    <row r="107" spans="1:20">
      <c r="F107" s="3"/>
      <c r="G107" s="216"/>
      <c r="H107" s="388">
        <f>SUM(H77,H99)</f>
        <v>4533.76</v>
      </c>
      <c r="I107" s="269">
        <f>J101-H107</f>
        <v>88869.960000000021</v>
      </c>
      <c r="J107" s="270">
        <f>SUM(J80:J80)</f>
        <v>648.71</v>
      </c>
      <c r="K107" s="3"/>
      <c r="L107" s="15"/>
      <c r="M107" s="216"/>
    </row>
    <row r="108" spans="1:20">
      <c r="F108" s="3"/>
      <c r="G108" s="216"/>
      <c r="H108" s="216"/>
      <c r="I108" s="216"/>
      <c r="J108" s="3"/>
      <c r="K108" s="3"/>
      <c r="L108" s="15"/>
      <c r="M108" s="216"/>
      <c r="Q108" s="3"/>
      <c r="R108" s="3"/>
      <c r="S108" s="3"/>
      <c r="T108" s="3"/>
    </row>
  </sheetData>
  <mergeCells count="7">
    <mergeCell ref="A101:G101"/>
    <mergeCell ref="A82:G82"/>
    <mergeCell ref="A83:C83"/>
    <mergeCell ref="A85:C85"/>
    <mergeCell ref="A86:C86"/>
    <mergeCell ref="A87:G87"/>
    <mergeCell ref="A99:G9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FF1D-E6C8-DB45-95EF-00D35CF15375}">
  <dimension ref="A1:T110"/>
  <sheetViews>
    <sheetView topLeftCell="A88" zoomScale="170" zoomScaleNormal="170" workbookViewId="0">
      <selection activeCell="A88" sqref="A1:XFD1048576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20.1640625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/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68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1711.35</v>
      </c>
      <c r="H8" s="332" t="s">
        <v>1006</v>
      </c>
      <c r="I8" s="332">
        <v>1711.35</v>
      </c>
      <c r="J8" s="335">
        <v>1711.35</v>
      </c>
      <c r="K8" s="333">
        <f t="shared" si="0"/>
        <v>0</v>
      </c>
      <c r="L8" s="337" t="s">
        <v>1153</v>
      </c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2063.59</v>
      </c>
      <c r="H9" s="332" t="s">
        <v>1006</v>
      </c>
      <c r="I9" s="331">
        <v>2063.59</v>
      </c>
      <c r="J9" s="389">
        <v>2063.59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409">
        <v>1998.08</v>
      </c>
      <c r="H10" s="332" t="s">
        <v>1006</v>
      </c>
      <c r="I10" s="409">
        <v>1998.08</v>
      </c>
      <c r="J10" s="389">
        <v>1998.08</v>
      </c>
      <c r="K10" s="333">
        <f t="shared" si="0"/>
        <v>0</v>
      </c>
      <c r="L10" s="329"/>
    </row>
    <row r="11" spans="1:20">
      <c r="A11" s="334"/>
      <c r="B11" s="354">
        <v>2341</v>
      </c>
      <c r="C11" s="328" t="s">
        <v>460</v>
      </c>
      <c r="D11" s="328" t="s">
        <v>1102</v>
      </c>
      <c r="E11" s="329" t="s">
        <v>852</v>
      </c>
      <c r="F11" s="330"/>
      <c r="G11" s="331">
        <v>1035.3900000000001</v>
      </c>
      <c r="H11" s="332">
        <v>0</v>
      </c>
      <c r="I11" s="331">
        <v>1035.3900000000001</v>
      </c>
      <c r="J11" s="389">
        <v>1035.3900000000001</v>
      </c>
      <c r="K11" s="333">
        <f t="shared" si="0"/>
        <v>0</v>
      </c>
      <c r="L11" s="329"/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1629.03</v>
      </c>
      <c r="H12" s="332" t="s">
        <v>1006</v>
      </c>
      <c r="I12" s="331">
        <v>1629.03</v>
      </c>
      <c r="J12" s="389">
        <v>1629.03</v>
      </c>
      <c r="K12" s="333">
        <f t="shared" si="0"/>
        <v>0</v>
      </c>
      <c r="L12" s="329"/>
    </row>
    <row r="13" spans="1:20">
      <c r="A13" s="334"/>
      <c r="B13" s="354">
        <v>2285</v>
      </c>
      <c r="C13" s="328" t="s">
        <v>745</v>
      </c>
      <c r="D13" s="328" t="s">
        <v>1117</v>
      </c>
      <c r="E13" s="329" t="s">
        <v>852</v>
      </c>
      <c r="F13" s="330"/>
      <c r="G13" s="331">
        <v>593.64</v>
      </c>
      <c r="H13" s="332"/>
      <c r="I13" s="331">
        <v>593.64</v>
      </c>
      <c r="J13" s="389">
        <v>593.64</v>
      </c>
      <c r="K13" s="333"/>
      <c r="L13" s="329"/>
    </row>
    <row r="14" spans="1:20">
      <c r="A14" s="334">
        <v>8</v>
      </c>
      <c r="B14" s="354">
        <v>2131</v>
      </c>
      <c r="C14" s="328" t="s">
        <v>745</v>
      </c>
      <c r="D14" s="338" t="s">
        <v>784</v>
      </c>
      <c r="E14" s="329" t="s">
        <v>852</v>
      </c>
      <c r="F14" s="330"/>
      <c r="G14" s="331">
        <v>703.79</v>
      </c>
      <c r="H14" s="332" t="s">
        <v>1006</v>
      </c>
      <c r="I14" s="331">
        <v>703.79</v>
      </c>
      <c r="J14" s="389">
        <v>703.79</v>
      </c>
      <c r="K14" s="333">
        <f t="shared" si="0"/>
        <v>0</v>
      </c>
      <c r="L14" s="329"/>
      <c r="P14" s="1"/>
      <c r="Q14" s="1"/>
      <c r="R14" s="1"/>
      <c r="S14" s="1"/>
      <c r="T14" s="1"/>
    </row>
    <row r="15" spans="1:20">
      <c r="A15" s="334">
        <v>7</v>
      </c>
      <c r="B15" s="354">
        <v>1751</v>
      </c>
      <c r="C15" s="328" t="s">
        <v>745</v>
      </c>
      <c r="D15" s="339" t="s">
        <v>838</v>
      </c>
      <c r="E15" s="329" t="s">
        <v>852</v>
      </c>
      <c r="F15" s="330"/>
      <c r="G15" s="331">
        <v>989.01</v>
      </c>
      <c r="H15" s="332" t="s">
        <v>1006</v>
      </c>
      <c r="I15" s="331">
        <v>989.01</v>
      </c>
      <c r="J15" s="389">
        <v>989.01</v>
      </c>
      <c r="K15" s="333">
        <f t="shared" si="0"/>
        <v>0</v>
      </c>
      <c r="L15" s="329"/>
    </row>
    <row r="16" spans="1:20">
      <c r="A16" s="334">
        <v>9</v>
      </c>
      <c r="B16" s="354">
        <v>2023</v>
      </c>
      <c r="C16" s="328" t="s">
        <v>745</v>
      </c>
      <c r="D16" s="339" t="s">
        <v>783</v>
      </c>
      <c r="E16" s="329" t="s">
        <v>852</v>
      </c>
      <c r="F16" s="330"/>
      <c r="G16" s="331">
        <v>740.89</v>
      </c>
      <c r="H16" s="332" t="s">
        <v>1006</v>
      </c>
      <c r="I16" s="331">
        <v>740.89</v>
      </c>
      <c r="J16" s="389">
        <v>740.89</v>
      </c>
      <c r="K16" s="333">
        <f t="shared" si="0"/>
        <v>0</v>
      </c>
      <c r="L16" s="328"/>
      <c r="P16" s="1"/>
      <c r="Q16" s="1"/>
      <c r="R16" s="1"/>
      <c r="S16" s="1"/>
      <c r="T16" s="1"/>
    </row>
    <row r="17" spans="1:20">
      <c r="A17" s="334"/>
      <c r="B17" s="374">
        <v>2302</v>
      </c>
      <c r="C17" s="336" t="s">
        <v>806</v>
      </c>
      <c r="D17" s="339" t="s">
        <v>952</v>
      </c>
      <c r="E17" s="329" t="s">
        <v>852</v>
      </c>
      <c r="F17" s="330"/>
      <c r="G17" s="331">
        <v>717.7</v>
      </c>
      <c r="H17" s="332" t="s">
        <v>1006</v>
      </c>
      <c r="I17" s="331">
        <v>717.7</v>
      </c>
      <c r="J17" s="389">
        <v>717.7</v>
      </c>
      <c r="K17" s="333">
        <f t="shared" si="0"/>
        <v>0</v>
      </c>
      <c r="L17" s="340"/>
      <c r="P17" s="1"/>
      <c r="Q17" s="1"/>
      <c r="R17" s="1"/>
      <c r="S17" s="1"/>
      <c r="T17" s="1"/>
    </row>
    <row r="18" spans="1:20">
      <c r="A18" s="334">
        <v>10</v>
      </c>
      <c r="B18" s="375">
        <v>2254</v>
      </c>
      <c r="C18" s="328" t="s">
        <v>840</v>
      </c>
      <c r="D18" s="328" t="s">
        <v>841</v>
      </c>
      <c r="E18" s="341" t="s">
        <v>855</v>
      </c>
      <c r="F18" s="330">
        <v>1</v>
      </c>
      <c r="G18" s="331">
        <v>1348.64</v>
      </c>
      <c r="H18" s="332">
        <v>604.79999999999995</v>
      </c>
      <c r="I18" s="332">
        <v>1953.45</v>
      </c>
      <c r="J18" s="333">
        <v>1953.45</v>
      </c>
      <c r="K18" s="333">
        <f t="shared" si="0"/>
        <v>0</v>
      </c>
      <c r="L18" s="329"/>
    </row>
    <row r="19" spans="1:20">
      <c r="A19" s="334"/>
      <c r="B19" s="354">
        <v>2308</v>
      </c>
      <c r="C19" s="328" t="s">
        <v>1118</v>
      </c>
      <c r="D19" s="328" t="s">
        <v>1119</v>
      </c>
      <c r="E19" s="382" t="s">
        <v>852</v>
      </c>
      <c r="F19" s="330"/>
      <c r="G19" s="331">
        <v>947.85</v>
      </c>
      <c r="H19" s="332">
        <v>0</v>
      </c>
      <c r="I19" s="332">
        <v>947.85</v>
      </c>
      <c r="J19" s="389">
        <v>947.85</v>
      </c>
      <c r="K19" s="333"/>
      <c r="L19" s="329"/>
    </row>
    <row r="20" spans="1:20">
      <c r="A20" s="334">
        <v>11</v>
      </c>
      <c r="B20" s="354">
        <v>1721</v>
      </c>
      <c r="C20" s="328" t="s">
        <v>746</v>
      </c>
      <c r="D20" s="328" t="s">
        <v>785</v>
      </c>
      <c r="E20" s="329" t="s">
        <v>854</v>
      </c>
      <c r="F20" s="330">
        <v>1</v>
      </c>
      <c r="G20" s="331">
        <v>1665.55</v>
      </c>
      <c r="H20" s="332" t="s">
        <v>1006</v>
      </c>
      <c r="I20" s="331">
        <v>1665.55</v>
      </c>
      <c r="J20" s="389">
        <v>1665.55</v>
      </c>
      <c r="K20" s="333">
        <f t="shared" si="0"/>
        <v>0</v>
      </c>
      <c r="L20" s="161"/>
    </row>
    <row r="21" spans="1:20">
      <c r="A21" s="334">
        <v>12</v>
      </c>
      <c r="B21" s="354">
        <v>2123</v>
      </c>
      <c r="C21" s="328" t="s">
        <v>746</v>
      </c>
      <c r="D21" s="328" t="s">
        <v>786</v>
      </c>
      <c r="E21" s="329" t="s">
        <v>852</v>
      </c>
      <c r="F21" s="330"/>
      <c r="G21" s="331">
        <v>754.8</v>
      </c>
      <c r="H21" s="332" t="s">
        <v>1006</v>
      </c>
      <c r="I21" s="331">
        <v>754.8</v>
      </c>
      <c r="J21" s="389">
        <v>754.8</v>
      </c>
      <c r="K21" s="333">
        <f t="shared" si="0"/>
        <v>0</v>
      </c>
      <c r="L21" s="161"/>
    </row>
    <row r="22" spans="1:20">
      <c r="A22" s="334">
        <v>13</v>
      </c>
      <c r="B22" s="354">
        <v>1970</v>
      </c>
      <c r="C22" s="328" t="s">
        <v>747</v>
      </c>
      <c r="D22" s="338" t="s">
        <v>787</v>
      </c>
      <c r="E22" s="329" t="s">
        <v>854</v>
      </c>
      <c r="F22" s="330">
        <v>1</v>
      </c>
      <c r="G22" s="331">
        <v>1320.82</v>
      </c>
      <c r="H22" s="332">
        <v>618.14</v>
      </c>
      <c r="I22" s="331">
        <f>H22+G22</f>
        <v>1938.96</v>
      </c>
      <c r="J22" s="389">
        <v>1938.96</v>
      </c>
      <c r="K22" s="333">
        <f t="shared" si="0"/>
        <v>0</v>
      </c>
      <c r="L22" s="161"/>
    </row>
    <row r="23" spans="1:20">
      <c r="A23" s="334">
        <v>14</v>
      </c>
      <c r="B23" s="376" t="s">
        <v>934</v>
      </c>
      <c r="C23" s="328" t="s">
        <v>932</v>
      </c>
      <c r="D23" s="338" t="s">
        <v>933</v>
      </c>
      <c r="E23" s="329" t="s">
        <v>851</v>
      </c>
      <c r="F23" s="330"/>
      <c r="G23" s="331">
        <v>808</v>
      </c>
      <c r="H23" s="332">
        <v>480.16</v>
      </c>
      <c r="I23" s="332">
        <f>SUM(G23:H23)</f>
        <v>1288.1600000000001</v>
      </c>
      <c r="J23" s="333">
        <v>1288.1500000000001</v>
      </c>
      <c r="K23" s="333">
        <f t="shared" si="0"/>
        <v>9.9999999999909051E-3</v>
      </c>
      <c r="L23" s="188"/>
    </row>
    <row r="24" spans="1:20">
      <c r="A24" s="334">
        <v>15</v>
      </c>
      <c r="B24" s="354">
        <v>1794</v>
      </c>
      <c r="C24" s="328" t="s">
        <v>466</v>
      </c>
      <c r="D24" s="328" t="s">
        <v>431</v>
      </c>
      <c r="E24" s="329" t="s">
        <v>854</v>
      </c>
      <c r="F24" s="330">
        <v>1</v>
      </c>
      <c r="G24" s="331">
        <v>1713.66</v>
      </c>
      <c r="H24" s="332" t="s">
        <v>1006</v>
      </c>
      <c r="I24" s="331">
        <v>1713.66</v>
      </c>
      <c r="J24" s="389">
        <v>1713.66</v>
      </c>
      <c r="K24" s="333">
        <f t="shared" si="0"/>
        <v>0</v>
      </c>
      <c r="L24" s="161"/>
      <c r="P24" s="1"/>
      <c r="Q24" s="1"/>
      <c r="R24" s="1"/>
      <c r="S24" s="1"/>
      <c r="T24" s="1"/>
    </row>
    <row r="25" spans="1:20">
      <c r="A25" s="334">
        <v>16</v>
      </c>
      <c r="B25" s="354">
        <v>2201</v>
      </c>
      <c r="C25" s="328" t="s">
        <v>748</v>
      </c>
      <c r="D25" s="338" t="s">
        <v>788</v>
      </c>
      <c r="E25" s="329" t="s">
        <v>852</v>
      </c>
      <c r="F25" s="330"/>
      <c r="G25" s="331">
        <v>1412.79</v>
      </c>
      <c r="H25" s="332" t="s">
        <v>1006</v>
      </c>
      <c r="I25" s="331">
        <v>1412.79</v>
      </c>
      <c r="J25" s="389">
        <v>1412.79</v>
      </c>
      <c r="K25" s="333">
        <f t="shared" si="0"/>
        <v>0</v>
      </c>
      <c r="L25" s="161"/>
    </row>
    <row r="26" spans="1:20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409">
        <v>1509.02</v>
      </c>
      <c r="H26" s="332" t="s">
        <v>1006</v>
      </c>
      <c r="I26" s="409">
        <v>1509.02</v>
      </c>
      <c r="J26" s="389">
        <v>1509.02</v>
      </c>
      <c r="K26" s="333">
        <f t="shared" si="0"/>
        <v>0</v>
      </c>
      <c r="L26" s="161"/>
    </row>
    <row r="27" spans="1:20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740.89</v>
      </c>
      <c r="H27" s="332" t="s">
        <v>1006</v>
      </c>
      <c r="I27" s="331">
        <v>740.89</v>
      </c>
      <c r="J27" s="389">
        <v>740.89</v>
      </c>
      <c r="K27" s="333">
        <f t="shared" si="0"/>
        <v>0</v>
      </c>
      <c r="L27" s="161"/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582.04</v>
      </c>
      <c r="H28" s="332">
        <v>0</v>
      </c>
      <c r="I28" s="332">
        <v>582.04</v>
      </c>
      <c r="J28" s="335">
        <v>582.04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1709.74</v>
      </c>
      <c r="H29" s="332" t="s">
        <v>1006</v>
      </c>
      <c r="I29" s="331">
        <v>1709.74</v>
      </c>
      <c r="J29" s="389">
        <v>1709.74</v>
      </c>
      <c r="K29" s="333">
        <f t="shared" si="0"/>
        <v>0</v>
      </c>
      <c r="L29" s="161"/>
    </row>
    <row r="30" spans="1:20">
      <c r="A30" s="334"/>
      <c r="B30" s="354">
        <v>2298</v>
      </c>
      <c r="C30" s="328" t="s">
        <v>752</v>
      </c>
      <c r="D30" s="328" t="s">
        <v>1106</v>
      </c>
      <c r="E30" s="329" t="s">
        <v>852</v>
      </c>
      <c r="F30" s="330"/>
      <c r="G30" s="331">
        <v>685.81</v>
      </c>
      <c r="H30" s="332">
        <v>0</v>
      </c>
      <c r="I30" s="331">
        <v>685.81</v>
      </c>
      <c r="J30" s="389">
        <v>685.81</v>
      </c>
      <c r="K30" s="333">
        <f t="shared" si="0"/>
        <v>0</v>
      </c>
      <c r="L30" s="161"/>
    </row>
    <row r="31" spans="1:20">
      <c r="A31" s="334">
        <v>21</v>
      </c>
      <c r="B31" s="354">
        <v>2193</v>
      </c>
      <c r="C31" s="328" t="s">
        <v>753</v>
      </c>
      <c r="D31" s="328" t="s">
        <v>794</v>
      </c>
      <c r="E31" s="329" t="s">
        <v>852</v>
      </c>
      <c r="F31" s="330"/>
      <c r="G31" s="331">
        <v>713.06</v>
      </c>
      <c r="H31" s="332" t="s">
        <v>1006</v>
      </c>
      <c r="I31" s="331">
        <v>713.06</v>
      </c>
      <c r="J31" s="389">
        <v>713.06</v>
      </c>
      <c r="K31" s="333">
        <f t="shared" si="0"/>
        <v>0</v>
      </c>
      <c r="L31" s="161"/>
    </row>
    <row r="32" spans="1:20">
      <c r="A32" s="334"/>
      <c r="B32" s="354">
        <v>2223</v>
      </c>
      <c r="C32" s="328" t="s">
        <v>972</v>
      </c>
      <c r="D32" s="328" t="s">
        <v>973</v>
      </c>
      <c r="E32" s="329" t="s">
        <v>852</v>
      </c>
      <c r="F32" s="330"/>
      <c r="G32" s="331">
        <v>630.16</v>
      </c>
      <c r="H32" s="332"/>
      <c r="I32" s="331">
        <v>630.16</v>
      </c>
      <c r="J32" s="389">
        <v>630.16</v>
      </c>
      <c r="K32" s="333">
        <f t="shared" si="0"/>
        <v>0</v>
      </c>
      <c r="L32" s="161"/>
    </row>
    <row r="33" spans="1:20">
      <c r="A33" s="334">
        <v>22</v>
      </c>
      <c r="B33" s="354">
        <v>640</v>
      </c>
      <c r="C33" s="328" t="s">
        <v>754</v>
      </c>
      <c r="D33" s="339" t="s">
        <v>795</v>
      </c>
      <c r="E33" s="329" t="s">
        <v>852</v>
      </c>
      <c r="F33" s="330"/>
      <c r="G33" s="331">
        <v>1509.02</v>
      </c>
      <c r="H33" s="332" t="s">
        <v>1006</v>
      </c>
      <c r="I33" s="416">
        <v>1509.02</v>
      </c>
      <c r="J33" s="389">
        <v>1509.02</v>
      </c>
      <c r="K33" s="333">
        <f t="shared" si="0"/>
        <v>0</v>
      </c>
      <c r="L33" s="329"/>
    </row>
    <row r="34" spans="1:20">
      <c r="A34" s="334">
        <v>23</v>
      </c>
      <c r="B34" s="354">
        <v>901</v>
      </c>
      <c r="C34" s="328" t="s">
        <v>439</v>
      </c>
      <c r="D34" s="328" t="s">
        <v>505</v>
      </c>
      <c r="E34" s="329" t="s">
        <v>852</v>
      </c>
      <c r="F34" s="330"/>
      <c r="G34" s="331">
        <v>1739.16</v>
      </c>
      <c r="H34" s="332" t="s">
        <v>1006</v>
      </c>
      <c r="I34" s="331">
        <v>1739.16</v>
      </c>
      <c r="J34" s="389">
        <v>1739.16</v>
      </c>
      <c r="K34" s="333">
        <f t="shared" si="0"/>
        <v>0</v>
      </c>
      <c r="L34" s="329"/>
    </row>
    <row r="35" spans="1:20">
      <c r="A35" s="334">
        <v>24</v>
      </c>
      <c r="B35" s="376" t="s">
        <v>675</v>
      </c>
      <c r="C35" s="328" t="s">
        <v>755</v>
      </c>
      <c r="D35" s="328" t="s">
        <v>796</v>
      </c>
      <c r="E35" s="329" t="s">
        <v>852</v>
      </c>
      <c r="F35" s="330"/>
      <c r="G35" s="331">
        <v>786.69</v>
      </c>
      <c r="H35" s="332" t="s">
        <v>1006</v>
      </c>
      <c r="I35" s="332">
        <v>786.69</v>
      </c>
      <c r="J35" s="333">
        <v>786.69</v>
      </c>
      <c r="K35" s="333">
        <f t="shared" si="0"/>
        <v>0</v>
      </c>
      <c r="L35" s="329"/>
    </row>
    <row r="36" spans="1:20">
      <c r="A36" s="334">
        <v>26</v>
      </c>
      <c r="B36" s="354">
        <v>1741</v>
      </c>
      <c r="C36" s="328" t="s">
        <v>755</v>
      </c>
      <c r="D36" s="328" t="s">
        <v>797</v>
      </c>
      <c r="E36" s="329" t="s">
        <v>852</v>
      </c>
      <c r="F36" s="330"/>
      <c r="G36" s="331">
        <v>1292.79</v>
      </c>
      <c r="H36" s="332" t="s">
        <v>1006</v>
      </c>
      <c r="I36" s="331">
        <v>1292.79</v>
      </c>
      <c r="J36" s="389">
        <v>1292.79</v>
      </c>
      <c r="K36" s="333">
        <f t="shared" si="0"/>
        <v>0</v>
      </c>
      <c r="L36" s="329"/>
    </row>
    <row r="37" spans="1:20">
      <c r="A37" s="334">
        <v>25</v>
      </c>
      <c r="B37" s="354">
        <v>1757</v>
      </c>
      <c r="C37" s="328" t="s">
        <v>755</v>
      </c>
      <c r="D37" s="338" t="s">
        <v>798</v>
      </c>
      <c r="E37" s="329" t="s">
        <v>853</v>
      </c>
      <c r="F37" s="330">
        <v>2</v>
      </c>
      <c r="G37" s="331">
        <v>2170.85</v>
      </c>
      <c r="H37" s="332" t="s">
        <v>1006</v>
      </c>
      <c r="I37" s="331">
        <v>2170.85</v>
      </c>
      <c r="J37" s="389">
        <v>2170.85</v>
      </c>
      <c r="K37" s="333">
        <f t="shared" si="0"/>
        <v>0</v>
      </c>
      <c r="L37" s="329"/>
      <c r="N37" s="12"/>
      <c r="O37" s="12"/>
      <c r="P37" s="12"/>
      <c r="Q37" s="12"/>
      <c r="R37" s="12"/>
      <c r="S37" s="12"/>
      <c r="T37" s="12"/>
    </row>
    <row r="38" spans="1:20">
      <c r="A38" s="334">
        <v>27</v>
      </c>
      <c r="B38" s="354">
        <v>2057</v>
      </c>
      <c r="C38" s="328" t="s">
        <v>756</v>
      </c>
      <c r="D38" s="338" t="s">
        <v>799</v>
      </c>
      <c r="E38" s="329" t="s">
        <v>852</v>
      </c>
      <c r="F38" s="330"/>
      <c r="G38" s="331">
        <v>1739.16</v>
      </c>
      <c r="H38" s="332" t="s">
        <v>1006</v>
      </c>
      <c r="I38" s="331">
        <v>1739.16</v>
      </c>
      <c r="J38" s="389">
        <v>1739.16</v>
      </c>
      <c r="K38" s="333">
        <f t="shared" si="0"/>
        <v>0</v>
      </c>
      <c r="L38" s="329"/>
    </row>
    <row r="39" spans="1:20">
      <c r="A39" s="334">
        <v>28</v>
      </c>
      <c r="B39" s="354">
        <v>1210</v>
      </c>
      <c r="C39" s="328" t="s">
        <v>756</v>
      </c>
      <c r="D39" s="338" t="s">
        <v>800</v>
      </c>
      <c r="E39" s="329" t="s">
        <v>852</v>
      </c>
      <c r="F39" s="330"/>
      <c r="G39" s="331">
        <v>1739.16</v>
      </c>
      <c r="H39" s="332" t="s">
        <v>1006</v>
      </c>
      <c r="I39" s="331">
        <v>1739.16</v>
      </c>
      <c r="J39" s="389">
        <v>1739.16</v>
      </c>
      <c r="K39" s="333">
        <f t="shared" si="0"/>
        <v>0</v>
      </c>
      <c r="L39" s="329"/>
    </row>
    <row r="40" spans="1:20">
      <c r="A40" s="334"/>
      <c r="B40" s="354">
        <v>2310</v>
      </c>
      <c r="C40" s="328" t="s">
        <v>756</v>
      </c>
      <c r="D40" s="338" t="s">
        <v>977</v>
      </c>
      <c r="E40" s="329" t="s">
        <v>852</v>
      </c>
      <c r="F40" s="330"/>
      <c r="G40" s="331">
        <v>1035.3900000000001</v>
      </c>
      <c r="H40" s="332" t="s">
        <v>1006</v>
      </c>
      <c r="I40" s="331">
        <v>1035.3900000000001</v>
      </c>
      <c r="J40" s="389">
        <v>1035.3900000000001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1081.19</v>
      </c>
      <c r="H41" s="332" t="s">
        <v>1006</v>
      </c>
      <c r="I41" s="331">
        <v>1081.19</v>
      </c>
      <c r="J41" s="389">
        <v>1081.19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1778.57</v>
      </c>
      <c r="H42" s="332">
        <v>581.62</v>
      </c>
      <c r="I42" s="332">
        <f>SUM(G42:H42)</f>
        <v>2360.19</v>
      </c>
      <c r="J42" s="333">
        <v>2360.19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853</v>
      </c>
      <c r="F43" s="330">
        <v>2</v>
      </c>
      <c r="G43" s="331">
        <v>1623.94</v>
      </c>
      <c r="H43" s="332">
        <v>0</v>
      </c>
      <c r="I43" s="331">
        <v>1623.94</v>
      </c>
      <c r="J43" s="389">
        <v>1623.94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>
        <v>1</v>
      </c>
      <c r="G44" s="331">
        <v>1783.23</v>
      </c>
      <c r="H44" s="332">
        <v>0</v>
      </c>
      <c r="I44" s="331">
        <v>1783.23</v>
      </c>
      <c r="J44" s="389">
        <v>1783.23</v>
      </c>
      <c r="K44" s="333">
        <f t="shared" si="0"/>
        <v>0</v>
      </c>
      <c r="L44" s="329"/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853</v>
      </c>
      <c r="F45" s="330">
        <v>2</v>
      </c>
      <c r="G45" s="331">
        <v>1633.22</v>
      </c>
      <c r="H45" s="332" t="s">
        <v>1006</v>
      </c>
      <c r="I45" s="331">
        <v>1633.22</v>
      </c>
      <c r="J45" s="389">
        <v>1633.22</v>
      </c>
      <c r="K45" s="333">
        <f t="shared" si="0"/>
        <v>0</v>
      </c>
      <c r="L45" s="329"/>
    </row>
    <row r="46" spans="1:20">
      <c r="A46" s="334"/>
      <c r="B46" s="354">
        <v>2313</v>
      </c>
      <c r="C46" s="328" t="s">
        <v>1000</v>
      </c>
      <c r="D46" s="328" t="s">
        <v>1001</v>
      </c>
      <c r="E46" s="329" t="s">
        <v>853</v>
      </c>
      <c r="F46" s="330">
        <v>2</v>
      </c>
      <c r="G46" s="331">
        <v>1907.43</v>
      </c>
      <c r="H46" s="332" t="s">
        <v>1006</v>
      </c>
      <c r="I46" s="331">
        <v>1907.43</v>
      </c>
      <c r="J46" s="389">
        <v>1907.43</v>
      </c>
      <c r="K46" s="333">
        <f t="shared" si="0"/>
        <v>0</v>
      </c>
      <c r="L46" s="29"/>
    </row>
    <row r="47" spans="1:20">
      <c r="A47" s="334"/>
      <c r="B47" s="354">
        <v>2019</v>
      </c>
      <c r="C47" s="328" t="s">
        <v>476</v>
      </c>
      <c r="D47" s="328" t="s">
        <v>447</v>
      </c>
      <c r="E47" s="329" t="s">
        <v>854</v>
      </c>
      <c r="F47" s="330">
        <v>1</v>
      </c>
      <c r="G47" s="331">
        <v>1267.6400000000001</v>
      </c>
      <c r="H47" s="332" t="s">
        <v>1006</v>
      </c>
      <c r="I47" s="331">
        <v>1267.6400000000001</v>
      </c>
      <c r="J47" s="389">
        <v>1267.6400000000001</v>
      </c>
      <c r="K47" s="333">
        <f t="shared" si="0"/>
        <v>0</v>
      </c>
      <c r="L47" s="380"/>
    </row>
    <row r="48" spans="1:20">
      <c r="A48" s="334">
        <v>34</v>
      </c>
      <c r="B48" s="354">
        <v>2278</v>
      </c>
      <c r="C48" s="328" t="s">
        <v>758</v>
      </c>
      <c r="D48" s="328" t="s">
        <v>805</v>
      </c>
      <c r="E48" s="329" t="s">
        <v>852</v>
      </c>
      <c r="F48" s="330"/>
      <c r="G48" s="331">
        <v>657.99</v>
      </c>
      <c r="H48" s="332" t="s">
        <v>1006</v>
      </c>
      <c r="I48" s="331">
        <v>657.99</v>
      </c>
      <c r="J48" s="389">
        <v>657.99</v>
      </c>
      <c r="K48" s="333">
        <f t="shared" si="0"/>
        <v>0</v>
      </c>
      <c r="L48" s="161"/>
    </row>
    <row r="49" spans="1:12">
      <c r="A49" s="334">
        <v>35</v>
      </c>
      <c r="B49" s="354">
        <v>2172</v>
      </c>
      <c r="C49" s="328" t="s">
        <v>478</v>
      </c>
      <c r="D49" s="328" t="s">
        <v>448</v>
      </c>
      <c r="E49" s="329" t="s">
        <v>852</v>
      </c>
      <c r="F49" s="330"/>
      <c r="G49" s="331">
        <v>1739.16</v>
      </c>
      <c r="H49" s="332" t="s">
        <v>1006</v>
      </c>
      <c r="I49" s="331">
        <v>1739.16</v>
      </c>
      <c r="J49" s="399">
        <v>1739.16</v>
      </c>
      <c r="K49" s="333">
        <f t="shared" si="0"/>
        <v>0</v>
      </c>
      <c r="L49" s="161"/>
    </row>
    <row r="50" spans="1:12">
      <c r="A50" s="334">
        <v>36</v>
      </c>
      <c r="B50" s="354">
        <v>2082</v>
      </c>
      <c r="C50" s="328" t="s">
        <v>759</v>
      </c>
      <c r="D50" s="338" t="s">
        <v>806</v>
      </c>
      <c r="E50" s="329" t="s">
        <v>852</v>
      </c>
      <c r="F50" s="330"/>
      <c r="G50" s="331">
        <v>713.06</v>
      </c>
      <c r="H50" s="332" t="s">
        <v>1006</v>
      </c>
      <c r="I50" s="331">
        <v>713.06</v>
      </c>
      <c r="J50" s="333">
        <v>713.06</v>
      </c>
      <c r="K50" s="333">
        <f t="shared" si="0"/>
        <v>0</v>
      </c>
      <c r="L50" s="329"/>
    </row>
    <row r="51" spans="1:12">
      <c r="A51" s="334">
        <v>37</v>
      </c>
      <c r="B51" s="354">
        <v>2119</v>
      </c>
      <c r="C51" s="328" t="s">
        <v>760</v>
      </c>
      <c r="D51" s="328" t="s">
        <v>807</v>
      </c>
      <c r="E51" s="329" t="s">
        <v>852</v>
      </c>
      <c r="F51" s="330"/>
      <c r="G51" s="331">
        <v>630.16</v>
      </c>
      <c r="H51" s="332" t="s">
        <v>1006</v>
      </c>
      <c r="I51" s="331">
        <v>630.16</v>
      </c>
      <c r="J51" s="389">
        <v>630.16</v>
      </c>
      <c r="K51" s="333">
        <f t="shared" si="0"/>
        <v>0</v>
      </c>
      <c r="L51" s="329"/>
    </row>
    <row r="52" spans="1:12">
      <c r="A52" s="334">
        <v>38</v>
      </c>
      <c r="B52" s="354">
        <v>2273</v>
      </c>
      <c r="C52" s="328" t="s">
        <v>761</v>
      </c>
      <c r="D52" s="328" t="s">
        <v>808</v>
      </c>
      <c r="E52" s="329" t="s">
        <v>852</v>
      </c>
      <c r="F52" s="330"/>
      <c r="G52" s="331">
        <v>657.99</v>
      </c>
      <c r="H52" s="332" t="s">
        <v>1006</v>
      </c>
      <c r="I52" s="331">
        <v>657.99</v>
      </c>
      <c r="J52" s="389">
        <v>657.99</v>
      </c>
      <c r="K52" s="333">
        <f t="shared" si="0"/>
        <v>0</v>
      </c>
      <c r="L52" s="329"/>
    </row>
    <row r="53" spans="1:12">
      <c r="A53" s="334">
        <v>40</v>
      </c>
      <c r="B53" s="354">
        <v>1975</v>
      </c>
      <c r="C53" s="328" t="s">
        <v>762</v>
      </c>
      <c r="D53" s="328" t="s">
        <v>810</v>
      </c>
      <c r="E53" s="329" t="s">
        <v>854</v>
      </c>
      <c r="F53" s="330">
        <v>1</v>
      </c>
      <c r="G53" s="331">
        <v>1647.13</v>
      </c>
      <c r="H53" s="332" t="s">
        <v>1006</v>
      </c>
      <c r="I53" s="331">
        <v>1647.13</v>
      </c>
      <c r="J53" s="389">
        <v>1647.13</v>
      </c>
      <c r="K53" s="333" t="e">
        <f>#REF!-#REF!</f>
        <v>#REF!</v>
      </c>
      <c r="L53" s="329"/>
    </row>
    <row r="54" spans="1:12">
      <c r="A54" s="334">
        <v>42</v>
      </c>
      <c r="B54" s="354">
        <v>2235</v>
      </c>
      <c r="C54" s="328" t="s">
        <v>764</v>
      </c>
      <c r="D54" s="328" t="s">
        <v>812</v>
      </c>
      <c r="E54" s="329" t="s">
        <v>854</v>
      </c>
      <c r="F54" s="330">
        <v>1</v>
      </c>
      <c r="G54" s="331">
        <v>1501.26</v>
      </c>
      <c r="H54" s="332" t="s">
        <v>1006</v>
      </c>
      <c r="I54" s="331">
        <v>1501.26</v>
      </c>
      <c r="J54" s="389">
        <v>1501.26</v>
      </c>
      <c r="K54" s="333">
        <f t="shared" si="0"/>
        <v>0</v>
      </c>
      <c r="L54" s="329"/>
    </row>
    <row r="55" spans="1:12">
      <c r="A55" s="334">
        <v>43</v>
      </c>
      <c r="B55" s="354">
        <v>2245</v>
      </c>
      <c r="C55" s="328" t="s">
        <v>765</v>
      </c>
      <c r="D55" s="328" t="s">
        <v>813</v>
      </c>
      <c r="E55" s="329" t="s">
        <v>854</v>
      </c>
      <c r="F55" s="330">
        <v>1</v>
      </c>
      <c r="G55" s="331">
        <v>1789.97</v>
      </c>
      <c r="H55" s="332" t="s">
        <v>1006</v>
      </c>
      <c r="I55" s="331">
        <v>1789.97</v>
      </c>
      <c r="J55" s="389">
        <v>1789.97</v>
      </c>
      <c r="K55" s="333">
        <f t="shared" si="0"/>
        <v>0</v>
      </c>
      <c r="L55" s="329"/>
    </row>
    <row r="56" spans="1:12">
      <c r="A56" s="334"/>
      <c r="B56" s="354">
        <v>2281</v>
      </c>
      <c r="C56" s="328" t="s">
        <v>1146</v>
      </c>
      <c r="D56" s="328" t="s">
        <v>1147</v>
      </c>
      <c r="E56" s="329" t="s">
        <v>855</v>
      </c>
      <c r="F56" s="330">
        <v>1</v>
      </c>
      <c r="G56" s="331">
        <v>2468.88</v>
      </c>
      <c r="H56" s="332">
        <v>1589.16</v>
      </c>
      <c r="I56" s="331">
        <f>SUM(G56:H56)</f>
        <v>4058.04</v>
      </c>
      <c r="J56" s="389">
        <v>4058.04</v>
      </c>
      <c r="K56" s="333"/>
      <c r="L56" s="329"/>
    </row>
    <row r="57" spans="1:12">
      <c r="A57" s="334">
        <v>44</v>
      </c>
      <c r="B57" s="354">
        <v>2001</v>
      </c>
      <c r="C57" s="328" t="s">
        <v>766</v>
      </c>
      <c r="D57" s="338" t="s">
        <v>814</v>
      </c>
      <c r="E57" s="329" t="s">
        <v>854</v>
      </c>
      <c r="F57" s="330">
        <v>1</v>
      </c>
      <c r="G57" s="331">
        <v>1934.9</v>
      </c>
      <c r="H57" s="332" t="s">
        <v>1006</v>
      </c>
      <c r="I57" s="331">
        <v>1934.9</v>
      </c>
      <c r="J57" s="389">
        <v>1934.9</v>
      </c>
      <c r="K57" s="333">
        <f t="shared" si="0"/>
        <v>0</v>
      </c>
      <c r="L57" s="329"/>
    </row>
    <row r="58" spans="1:12">
      <c r="A58" s="334">
        <v>45</v>
      </c>
      <c r="B58" s="354">
        <v>2160</v>
      </c>
      <c r="C58" s="328" t="s">
        <v>767</v>
      </c>
      <c r="D58" s="338" t="s">
        <v>815</v>
      </c>
      <c r="E58" s="329" t="s">
        <v>854</v>
      </c>
      <c r="F58" s="330">
        <v>1</v>
      </c>
      <c r="G58" s="331">
        <v>2091.06</v>
      </c>
      <c r="H58" s="332" t="s">
        <v>1006</v>
      </c>
      <c r="I58" s="331">
        <v>2091.06</v>
      </c>
      <c r="J58" s="331">
        <v>2091.06</v>
      </c>
      <c r="K58" s="333">
        <f t="shared" si="0"/>
        <v>0</v>
      </c>
      <c r="L58" s="329"/>
    </row>
    <row r="59" spans="1:12">
      <c r="A59" s="334">
        <v>48</v>
      </c>
      <c r="B59" s="354">
        <v>2246</v>
      </c>
      <c r="C59" s="328" t="s">
        <v>769</v>
      </c>
      <c r="D59" s="338" t="s">
        <v>817</v>
      </c>
      <c r="E59" s="329" t="s">
        <v>852</v>
      </c>
      <c r="F59" s="330"/>
      <c r="G59" s="331">
        <v>703.79</v>
      </c>
      <c r="H59" s="332" t="s">
        <v>1006</v>
      </c>
      <c r="I59" s="331">
        <v>703.79</v>
      </c>
      <c r="J59" s="389">
        <v>703.79</v>
      </c>
      <c r="K59" s="333">
        <f t="shared" si="0"/>
        <v>0</v>
      </c>
      <c r="L59" s="188"/>
    </row>
    <row r="60" spans="1:12">
      <c r="A60" s="334">
        <v>49</v>
      </c>
      <c r="B60" s="354">
        <v>2018</v>
      </c>
      <c r="C60" s="328" t="s">
        <v>770</v>
      </c>
      <c r="D60" s="328" t="s">
        <v>818</v>
      </c>
      <c r="E60" s="329" t="s">
        <v>852</v>
      </c>
      <c r="F60" s="330"/>
      <c r="G60" s="331">
        <v>1739.16</v>
      </c>
      <c r="H60" s="332" t="s">
        <v>1006</v>
      </c>
      <c r="I60" s="331">
        <v>1739.16</v>
      </c>
      <c r="J60" s="389">
        <v>1739.16</v>
      </c>
      <c r="K60" s="333">
        <f t="shared" si="0"/>
        <v>0</v>
      </c>
      <c r="L60" s="161"/>
    </row>
    <row r="61" spans="1:12">
      <c r="A61" s="334"/>
      <c r="B61" s="354">
        <v>2329</v>
      </c>
      <c r="C61" s="328" t="s">
        <v>1070</v>
      </c>
      <c r="D61" s="328" t="s">
        <v>1071</v>
      </c>
      <c r="E61" s="329" t="s">
        <v>854</v>
      </c>
      <c r="F61" s="330">
        <v>1</v>
      </c>
      <c r="G61" s="331">
        <v>579.72</v>
      </c>
      <c r="H61" s="332">
        <v>0</v>
      </c>
      <c r="I61" s="331">
        <v>579.72</v>
      </c>
      <c r="J61" s="389">
        <v>579.72</v>
      </c>
      <c r="K61" s="333">
        <f t="shared" si="0"/>
        <v>0</v>
      </c>
      <c r="L61" s="329"/>
    </row>
    <row r="62" spans="1:12">
      <c r="A62" s="334">
        <v>50</v>
      </c>
      <c r="B62" s="354">
        <v>1692</v>
      </c>
      <c r="C62" s="328" t="s">
        <v>771</v>
      </c>
      <c r="D62" s="338" t="s">
        <v>819</v>
      </c>
      <c r="E62" s="329" t="s">
        <v>852</v>
      </c>
      <c r="F62" s="330"/>
      <c r="G62" s="331">
        <v>2088.7399999999998</v>
      </c>
      <c r="H62" s="332" t="s">
        <v>1006</v>
      </c>
      <c r="I62" s="331">
        <v>2088.7399999999998</v>
      </c>
      <c r="J62" s="333">
        <v>2088.7399999999998</v>
      </c>
      <c r="K62" s="333">
        <f t="shared" si="0"/>
        <v>0</v>
      </c>
      <c r="L62" s="329"/>
    </row>
    <row r="63" spans="1:12">
      <c r="A63" s="334"/>
      <c r="B63" s="354">
        <v>2027</v>
      </c>
      <c r="C63" s="328" t="s">
        <v>771</v>
      </c>
      <c r="D63" s="338" t="s">
        <v>982</v>
      </c>
      <c r="E63" s="329" t="s">
        <v>852</v>
      </c>
      <c r="F63" s="330"/>
      <c r="G63" s="331">
        <v>713.06</v>
      </c>
      <c r="H63" s="332" t="s">
        <v>1006</v>
      </c>
      <c r="I63" s="331">
        <v>713.06</v>
      </c>
      <c r="J63" s="389">
        <v>713.06</v>
      </c>
      <c r="K63" s="333">
        <f t="shared" si="0"/>
        <v>0</v>
      </c>
      <c r="L63" s="329"/>
    </row>
    <row r="64" spans="1:12">
      <c r="A64" s="334">
        <v>52</v>
      </c>
      <c r="B64" s="354">
        <v>2060</v>
      </c>
      <c r="C64" s="328" t="s">
        <v>487</v>
      </c>
      <c r="D64" s="328" t="s">
        <v>516</v>
      </c>
      <c r="E64" s="329" t="s">
        <v>852</v>
      </c>
      <c r="F64" s="330"/>
      <c r="G64" s="331">
        <v>1182.6400000000001</v>
      </c>
      <c r="H64" s="332" t="s">
        <v>1006</v>
      </c>
      <c r="I64" s="331">
        <v>1182.6400000000001</v>
      </c>
      <c r="J64" s="389">
        <v>1182.6400000000001</v>
      </c>
      <c r="K64" s="333">
        <f t="shared" si="0"/>
        <v>0</v>
      </c>
      <c r="L64" s="329"/>
    </row>
    <row r="65" spans="1:16">
      <c r="A65" s="334"/>
      <c r="B65" s="354">
        <v>2333</v>
      </c>
      <c r="C65" s="328" t="s">
        <v>1078</v>
      </c>
      <c r="D65" s="328" t="s">
        <v>1079</v>
      </c>
      <c r="E65" s="329" t="s">
        <v>854</v>
      </c>
      <c r="F65" s="330">
        <v>1</v>
      </c>
      <c r="G65" s="331">
        <v>1166.18</v>
      </c>
      <c r="H65" s="332">
        <v>0</v>
      </c>
      <c r="I65" s="331">
        <v>1166.18</v>
      </c>
      <c r="J65" s="389">
        <v>1166.18</v>
      </c>
      <c r="K65" s="333">
        <f t="shared" si="0"/>
        <v>0</v>
      </c>
      <c r="L65" s="329"/>
    </row>
    <row r="66" spans="1:16">
      <c r="A66" s="334">
        <v>54</v>
      </c>
      <c r="B66" s="354">
        <v>1050</v>
      </c>
      <c r="C66" s="328" t="s">
        <v>773</v>
      </c>
      <c r="D66" s="328" t="s">
        <v>821</v>
      </c>
      <c r="E66" s="329" t="s">
        <v>852</v>
      </c>
      <c r="F66" s="330"/>
      <c r="G66" s="331">
        <v>1739.16</v>
      </c>
      <c r="H66" s="332" t="s">
        <v>1006</v>
      </c>
      <c r="I66" s="331">
        <v>1739.16</v>
      </c>
      <c r="J66" s="389">
        <v>1739.16</v>
      </c>
      <c r="K66" s="333">
        <f t="shared" si="0"/>
        <v>0</v>
      </c>
      <c r="L66" s="329"/>
    </row>
    <row r="67" spans="1:16">
      <c r="A67" s="334">
        <v>55</v>
      </c>
      <c r="B67" s="354">
        <v>1964</v>
      </c>
      <c r="C67" s="328" t="s">
        <v>491</v>
      </c>
      <c r="D67" s="328" t="s">
        <v>456</v>
      </c>
      <c r="E67" s="329" t="s">
        <v>852</v>
      </c>
      <c r="F67" s="330"/>
      <c r="G67" s="331">
        <v>947.85</v>
      </c>
      <c r="H67" s="332" t="s">
        <v>1006</v>
      </c>
      <c r="I67" s="331">
        <v>947.85</v>
      </c>
      <c r="J67" s="389">
        <v>947.85</v>
      </c>
      <c r="K67" s="333">
        <f t="shared" si="0"/>
        <v>0</v>
      </c>
      <c r="L67" s="329"/>
    </row>
    <row r="68" spans="1:16">
      <c r="A68" s="334">
        <v>57</v>
      </c>
      <c r="B68" s="354">
        <v>1981</v>
      </c>
      <c r="C68" s="328" t="s">
        <v>774</v>
      </c>
      <c r="D68" s="338" t="s">
        <v>822</v>
      </c>
      <c r="E68" s="329" t="s">
        <v>852</v>
      </c>
      <c r="F68" s="330"/>
      <c r="G68" s="331">
        <v>740.89</v>
      </c>
      <c r="H68" s="332" t="s">
        <v>1006</v>
      </c>
      <c r="I68" s="331">
        <v>740.89</v>
      </c>
      <c r="J68" s="389">
        <v>740.89</v>
      </c>
      <c r="K68" s="333">
        <f t="shared" si="0"/>
        <v>0</v>
      </c>
      <c r="L68" s="329"/>
    </row>
    <row r="69" spans="1:16">
      <c r="A69" s="334">
        <v>56</v>
      </c>
      <c r="B69" s="354">
        <v>1662</v>
      </c>
      <c r="C69" s="328" t="s">
        <v>774</v>
      </c>
      <c r="D69" s="328" t="s">
        <v>823</v>
      </c>
      <c r="E69" s="329" t="s">
        <v>852</v>
      </c>
      <c r="F69" s="330"/>
      <c r="G69" s="331">
        <v>989.01</v>
      </c>
      <c r="H69" s="332" t="s">
        <v>1006</v>
      </c>
      <c r="I69" s="331">
        <v>989.01</v>
      </c>
      <c r="J69" s="389">
        <v>989.01</v>
      </c>
      <c r="K69" s="333">
        <f t="shared" ref="K69:K77" si="1">I69-J69</f>
        <v>0</v>
      </c>
      <c r="L69" s="329"/>
    </row>
    <row r="70" spans="1:16">
      <c r="A70" s="334"/>
      <c r="B70" s="354">
        <v>2339</v>
      </c>
      <c r="C70" s="328" t="s">
        <v>775</v>
      </c>
      <c r="D70" s="328" t="s">
        <v>1110</v>
      </c>
      <c r="E70" s="329" t="s">
        <v>854</v>
      </c>
      <c r="F70" s="330">
        <v>1</v>
      </c>
      <c r="G70" s="331">
        <v>1568.73</v>
      </c>
      <c r="H70" s="332">
        <v>0</v>
      </c>
      <c r="I70" s="331">
        <v>1568.73</v>
      </c>
      <c r="J70" s="389">
        <v>1568.73</v>
      </c>
      <c r="K70" s="333">
        <f t="shared" si="1"/>
        <v>0</v>
      </c>
      <c r="L70" s="329"/>
    </row>
    <row r="71" spans="1:16">
      <c r="A71" s="334">
        <v>58</v>
      </c>
      <c r="B71" s="354">
        <v>1630</v>
      </c>
      <c r="C71" s="328" t="s">
        <v>775</v>
      </c>
      <c r="D71" s="338" t="s">
        <v>824</v>
      </c>
      <c r="E71" s="329" t="s">
        <v>852</v>
      </c>
      <c r="F71" s="330"/>
      <c r="G71" s="331">
        <v>1352.5</v>
      </c>
      <c r="H71" s="332" t="s">
        <v>1006</v>
      </c>
      <c r="I71" s="331">
        <v>1352.5</v>
      </c>
      <c r="J71" s="389">
        <v>1352.5</v>
      </c>
      <c r="K71" s="333">
        <f t="shared" si="1"/>
        <v>0</v>
      </c>
      <c r="L71" s="329"/>
    </row>
    <row r="72" spans="1:16">
      <c r="A72" s="334"/>
      <c r="B72" s="354">
        <v>2337</v>
      </c>
      <c r="C72" s="328" t="s">
        <v>777</v>
      </c>
      <c r="D72" s="338" t="s">
        <v>1080</v>
      </c>
      <c r="E72" s="329" t="s">
        <v>852</v>
      </c>
      <c r="F72" s="330"/>
      <c r="G72" s="331">
        <v>685.81</v>
      </c>
      <c r="H72" s="332">
        <v>0</v>
      </c>
      <c r="I72" s="331">
        <v>685.81</v>
      </c>
      <c r="J72" s="389">
        <v>685.81</v>
      </c>
      <c r="K72" s="333">
        <f t="shared" si="1"/>
        <v>0</v>
      </c>
      <c r="L72" s="329"/>
    </row>
    <row r="73" spans="1:16">
      <c r="A73" s="334">
        <v>61</v>
      </c>
      <c r="B73" s="354">
        <v>2010</v>
      </c>
      <c r="C73" s="328" t="s">
        <v>777</v>
      </c>
      <c r="D73" s="328" t="s">
        <v>826</v>
      </c>
      <c r="E73" s="329" t="s">
        <v>852</v>
      </c>
      <c r="F73" s="330"/>
      <c r="G73" s="331">
        <v>1131.6199999999999</v>
      </c>
      <c r="H73" s="332" t="s">
        <v>1006</v>
      </c>
      <c r="I73" s="331">
        <v>1131.6199999999999</v>
      </c>
      <c r="J73" s="389">
        <v>1131.6199999999999</v>
      </c>
      <c r="K73" s="333">
        <f t="shared" si="1"/>
        <v>0</v>
      </c>
      <c r="L73" s="329"/>
    </row>
    <row r="74" spans="1:16">
      <c r="A74" s="334">
        <v>60</v>
      </c>
      <c r="B74" s="354">
        <v>2187</v>
      </c>
      <c r="C74" s="328" t="s">
        <v>777</v>
      </c>
      <c r="D74" s="328" t="s">
        <v>827</v>
      </c>
      <c r="E74" s="329" t="s">
        <v>853</v>
      </c>
      <c r="F74" s="330">
        <v>2</v>
      </c>
      <c r="G74" s="331">
        <v>2082.5100000000002</v>
      </c>
      <c r="H74" s="332" t="s">
        <v>1006</v>
      </c>
      <c r="I74" s="391">
        <v>2082.5100000000002</v>
      </c>
      <c r="J74" s="389">
        <v>2082.5100000000002</v>
      </c>
      <c r="K74" s="333">
        <f t="shared" si="1"/>
        <v>0</v>
      </c>
      <c r="L74" s="329"/>
    </row>
    <row r="75" spans="1:16">
      <c r="A75" s="334">
        <v>63</v>
      </c>
      <c r="B75" s="354">
        <v>2064</v>
      </c>
      <c r="C75" s="328" t="s">
        <v>778</v>
      </c>
      <c r="D75" s="338" t="s">
        <v>829</v>
      </c>
      <c r="E75" s="341" t="s">
        <v>856</v>
      </c>
      <c r="F75" s="330">
        <v>2</v>
      </c>
      <c r="G75" s="331">
        <v>1797.13</v>
      </c>
      <c r="H75" s="332">
        <v>659.88</v>
      </c>
      <c r="I75" s="332">
        <f>SUM(G75:H75)</f>
        <v>2457.0100000000002</v>
      </c>
      <c r="J75" s="333">
        <v>2457.0100000000002</v>
      </c>
      <c r="K75" s="333">
        <f t="shared" si="1"/>
        <v>0</v>
      </c>
      <c r="L75" s="329"/>
    </row>
    <row r="76" spans="1:16">
      <c r="A76" s="334"/>
      <c r="B76" s="354">
        <v>2335</v>
      </c>
      <c r="C76" s="328" t="s">
        <v>870</v>
      </c>
      <c r="D76" s="338" t="s">
        <v>1081</v>
      </c>
      <c r="E76" s="382" t="s">
        <v>852</v>
      </c>
      <c r="F76" s="330"/>
      <c r="G76" s="331">
        <v>607.54999999999995</v>
      </c>
      <c r="H76" s="332">
        <v>0</v>
      </c>
      <c r="I76" s="331">
        <v>607.54999999999995</v>
      </c>
      <c r="J76" s="389">
        <v>607.54999999999995</v>
      </c>
      <c r="K76" s="333">
        <v>0</v>
      </c>
      <c r="L76" s="329"/>
    </row>
    <row r="77" spans="1:16">
      <c r="A77" s="334"/>
      <c r="B77" s="354">
        <v>2089</v>
      </c>
      <c r="C77" s="328" t="s">
        <v>870</v>
      </c>
      <c r="D77" s="338" t="s">
        <v>1007</v>
      </c>
      <c r="E77" s="329" t="s">
        <v>854</v>
      </c>
      <c r="F77" s="330">
        <v>1</v>
      </c>
      <c r="G77" s="331">
        <v>1161.55</v>
      </c>
      <c r="H77" s="332" t="s">
        <v>1006</v>
      </c>
      <c r="I77" s="331">
        <v>1161.55</v>
      </c>
      <c r="J77" s="389">
        <v>1161.55</v>
      </c>
      <c r="K77" s="333">
        <f t="shared" si="1"/>
        <v>0</v>
      </c>
    </row>
    <row r="78" spans="1:16">
      <c r="A78" s="7"/>
      <c r="B78" s="66"/>
      <c r="C78" s="29"/>
      <c r="D78" s="29"/>
      <c r="E78" s="410"/>
      <c r="F78" s="411"/>
      <c r="G78" s="412"/>
      <c r="H78" s="413">
        <f>SUM(H5:H77)</f>
        <v>4533.76</v>
      </c>
      <c r="I78" s="412"/>
      <c r="J78" s="414"/>
      <c r="K78" s="414"/>
      <c r="L78" s="385"/>
      <c r="M78" s="216"/>
      <c r="O78" s="15"/>
      <c r="P78" s="15"/>
    </row>
    <row r="79" spans="1:16">
      <c r="A79" s="7"/>
      <c r="B79" s="66"/>
      <c r="C79" s="29"/>
      <c r="D79" s="29"/>
      <c r="E79" s="410"/>
      <c r="F79" s="411"/>
      <c r="G79" s="412"/>
      <c r="H79" s="413"/>
      <c r="I79" s="412"/>
      <c r="J79" s="414"/>
      <c r="K79" s="414"/>
      <c r="L79" s="385"/>
      <c r="M79" s="216"/>
      <c r="O79" s="15"/>
      <c r="P79" s="15"/>
    </row>
    <row r="80" spans="1:16">
      <c r="A80" s="7"/>
      <c r="B80" s="66"/>
      <c r="C80" s="29"/>
      <c r="D80" s="29"/>
      <c r="E80" s="410"/>
      <c r="F80" s="411"/>
      <c r="G80" s="412"/>
      <c r="H80" s="413"/>
      <c r="I80" s="412"/>
      <c r="J80" s="414"/>
      <c r="K80" s="414"/>
      <c r="L80" s="385"/>
      <c r="M80" s="216"/>
      <c r="O80" s="15"/>
      <c r="P80" s="15"/>
    </row>
    <row r="81" spans="1:20">
      <c r="A81" s="7"/>
      <c r="B81" s="354">
        <v>2288</v>
      </c>
      <c r="C81" s="328" t="s">
        <v>772</v>
      </c>
      <c r="D81" s="338" t="s">
        <v>820</v>
      </c>
      <c r="E81" s="329" t="s">
        <v>852</v>
      </c>
      <c r="F81" s="330"/>
      <c r="G81" s="331">
        <v>648.71</v>
      </c>
      <c r="H81" s="412"/>
      <c r="I81" s="331">
        <v>648.71</v>
      </c>
      <c r="J81" s="331">
        <v>648.71</v>
      </c>
      <c r="K81" s="333">
        <f t="shared" ref="K81" si="2">I81-J81</f>
        <v>0</v>
      </c>
      <c r="L81" s="196" t="s">
        <v>1128</v>
      </c>
      <c r="M81" s="216"/>
      <c r="O81" s="15"/>
      <c r="P81" s="15"/>
    </row>
    <row r="82" spans="1:20">
      <c r="A82" s="7"/>
      <c r="B82" s="354"/>
      <c r="C82" s="328"/>
      <c r="D82" s="338"/>
      <c r="E82" s="329"/>
      <c r="F82" s="330"/>
      <c r="G82" s="331"/>
      <c r="H82" s="412"/>
      <c r="I82" s="331" t="s">
        <v>1113</v>
      </c>
      <c r="J82" s="415">
        <f>SUM(J81:J81)</f>
        <v>648.71</v>
      </c>
      <c r="K82" s="333"/>
      <c r="L82" s="385"/>
      <c r="M82" s="216"/>
      <c r="O82" s="15"/>
      <c r="P82" s="15"/>
    </row>
    <row r="83" spans="1:20">
      <c r="A83" s="438" t="s">
        <v>652</v>
      </c>
      <c r="B83" s="439"/>
      <c r="C83" s="439"/>
      <c r="D83" s="439"/>
      <c r="E83" s="439"/>
      <c r="F83" s="439"/>
      <c r="G83" s="440"/>
      <c r="H83" s="347"/>
      <c r="I83" s="348">
        <f>SUM(I5:I77)</f>
        <v>97889.069999999992</v>
      </c>
      <c r="J83" s="383">
        <f>SUM(J5:J77)</f>
        <v>97889.059999999983</v>
      </c>
      <c r="K83" s="383"/>
      <c r="L83" s="386"/>
    </row>
    <row r="84" spans="1:20">
      <c r="A84" s="441" t="s">
        <v>1028</v>
      </c>
      <c r="B84" s="442"/>
      <c r="C84" s="443"/>
      <c r="D84" s="351"/>
      <c r="E84" s="352" t="s">
        <v>258</v>
      </c>
      <c r="F84" s="334">
        <v>73</v>
      </c>
      <c r="G84" s="329" t="s">
        <v>1029</v>
      </c>
      <c r="H84" s="351"/>
      <c r="I84" s="352" t="s">
        <v>258</v>
      </c>
      <c r="J84" s="343">
        <v>74</v>
      </c>
      <c r="K84" s="343"/>
      <c r="L84" s="161"/>
    </row>
    <row r="85" spans="1:20">
      <c r="A85" s="353"/>
      <c r="B85" s="352"/>
      <c r="C85" s="351"/>
      <c r="D85" s="351"/>
      <c r="E85" s="351" t="s">
        <v>930</v>
      </c>
      <c r="F85" s="330">
        <v>4</v>
      </c>
      <c r="G85" s="329"/>
      <c r="H85" s="351"/>
      <c r="I85" s="351" t="s">
        <v>930</v>
      </c>
      <c r="J85" s="343">
        <v>4</v>
      </c>
      <c r="K85" s="343"/>
      <c r="L85" s="161"/>
    </row>
    <row r="86" spans="1:20">
      <c r="A86" s="441"/>
      <c r="B86" s="442"/>
      <c r="C86" s="443"/>
      <c r="D86" s="351"/>
      <c r="E86" s="352" t="s">
        <v>931</v>
      </c>
      <c r="F86" s="355">
        <v>26</v>
      </c>
      <c r="G86" s="329"/>
      <c r="H86" s="351"/>
      <c r="I86" s="352" t="s">
        <v>931</v>
      </c>
      <c r="J86" s="343">
        <v>26</v>
      </c>
      <c r="K86" s="343"/>
      <c r="L86" s="161"/>
    </row>
    <row r="87" spans="1:20">
      <c r="A87" s="444"/>
      <c r="B87" s="445"/>
      <c r="C87" s="446"/>
      <c r="D87" s="356"/>
      <c r="E87" s="357" t="s">
        <v>246</v>
      </c>
      <c r="F87" s="358">
        <v>103</v>
      </c>
      <c r="G87" s="329"/>
      <c r="H87" s="393"/>
      <c r="I87" s="394" t="s">
        <v>246</v>
      </c>
      <c r="J87" s="395">
        <v>104</v>
      </c>
      <c r="K87" s="395"/>
      <c r="L87" s="161"/>
    </row>
    <row r="88" spans="1:20">
      <c r="A88" s="447" t="s">
        <v>830</v>
      </c>
      <c r="B88" s="448"/>
      <c r="C88" s="448"/>
      <c r="D88" s="448"/>
      <c r="E88" s="448"/>
      <c r="F88" s="448"/>
      <c r="G88" s="448"/>
      <c r="H88" s="381"/>
      <c r="I88" s="381"/>
      <c r="J88" s="396"/>
      <c r="K88" s="396"/>
      <c r="L88" s="392"/>
      <c r="N88" s="15"/>
    </row>
    <row r="89" spans="1:20">
      <c r="A89" s="334">
        <v>17</v>
      </c>
      <c r="B89" s="354">
        <v>2194</v>
      </c>
      <c r="C89" s="328" t="s">
        <v>749</v>
      </c>
      <c r="D89" s="338" t="s">
        <v>789</v>
      </c>
      <c r="E89" s="329" t="s">
        <v>852</v>
      </c>
      <c r="F89" s="330"/>
      <c r="G89" s="331">
        <v>-657.99</v>
      </c>
      <c r="H89" s="332" t="s">
        <v>1006</v>
      </c>
      <c r="I89" s="331">
        <v>-657.99</v>
      </c>
      <c r="J89" s="389">
        <v>-657.99</v>
      </c>
      <c r="K89" s="333">
        <f t="shared" ref="K89" si="3">I89-J89</f>
        <v>0</v>
      </c>
      <c r="L89" s="161" t="s">
        <v>1151</v>
      </c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/>
      <c r="C90" s="328"/>
      <c r="D90" s="338"/>
      <c r="E90" s="329"/>
      <c r="F90" s="330"/>
      <c r="G90" s="331"/>
      <c r="H90" s="332"/>
      <c r="I90" s="331"/>
      <c r="J90" s="389"/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28"/>
      <c r="E91" s="329"/>
      <c r="F91" s="330"/>
      <c r="G91" s="331"/>
      <c r="H91" s="332"/>
      <c r="I91" s="331"/>
      <c r="J91" s="389"/>
      <c r="K91" s="333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28"/>
      <c r="E92" s="329"/>
      <c r="F92" s="330"/>
      <c r="G92" s="331"/>
      <c r="H92" s="332"/>
      <c r="I92" s="331"/>
      <c r="J92" s="389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28"/>
      <c r="E93" s="329"/>
      <c r="F93" s="330"/>
      <c r="G93" s="331"/>
      <c r="H93" s="332"/>
      <c r="I93" s="331"/>
      <c r="J93" s="38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28"/>
      <c r="E94" s="329"/>
      <c r="F94" s="330"/>
      <c r="G94" s="331"/>
      <c r="H94" s="332"/>
      <c r="I94" s="331"/>
      <c r="J94" s="38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28"/>
      <c r="E95" s="329"/>
      <c r="F95" s="330"/>
      <c r="G95" s="331"/>
      <c r="H95" s="332"/>
      <c r="I95" s="331"/>
      <c r="J95" s="38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29"/>
      <c r="F96" s="330"/>
      <c r="G96" s="331"/>
      <c r="H96" s="332"/>
      <c r="I96" s="331"/>
      <c r="J96" s="389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28"/>
      <c r="E97" s="329"/>
      <c r="F97" s="330"/>
      <c r="G97" s="331"/>
      <c r="H97" s="332"/>
      <c r="I97" s="331"/>
      <c r="J97" s="389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28"/>
      <c r="E98" s="329"/>
      <c r="F98" s="330"/>
      <c r="G98" s="331"/>
      <c r="H98" s="332"/>
      <c r="I98" s="331"/>
      <c r="J98" s="389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28"/>
      <c r="E99" s="329"/>
      <c r="F99" s="330"/>
      <c r="G99" s="331"/>
      <c r="H99" s="332"/>
      <c r="I99" s="331"/>
      <c r="J99" s="389"/>
      <c r="K99" s="333"/>
      <c r="L99" s="196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28"/>
      <c r="E100" s="329"/>
      <c r="F100" s="330"/>
      <c r="G100" s="331"/>
      <c r="H100" s="332"/>
      <c r="I100" s="332"/>
      <c r="J100" s="333"/>
      <c r="K100" s="333"/>
      <c r="L100" s="161"/>
      <c r="N100" s="15"/>
    </row>
    <row r="101" spans="1:20">
      <c r="A101" s="438" t="s">
        <v>846</v>
      </c>
      <c r="B101" s="439"/>
      <c r="C101" s="439"/>
      <c r="D101" s="439"/>
      <c r="E101" s="439"/>
      <c r="F101" s="439"/>
      <c r="G101" s="440"/>
      <c r="H101" s="348">
        <f>SUM(H89:H100)</f>
        <v>0</v>
      </c>
      <c r="I101" s="347"/>
      <c r="J101" s="348">
        <f>SUM(J89:J100)</f>
        <v>-657.99</v>
      </c>
      <c r="K101" s="406"/>
      <c r="L101" s="402"/>
    </row>
    <row r="102" spans="1:20">
      <c r="A102" s="365"/>
      <c r="B102" s="366"/>
      <c r="C102" s="366"/>
      <c r="D102" s="366"/>
      <c r="E102" s="366"/>
      <c r="F102" s="367"/>
      <c r="G102" s="368"/>
      <c r="H102" s="368"/>
      <c r="I102" s="368"/>
      <c r="J102" s="349"/>
      <c r="K102" s="383"/>
      <c r="L102" s="364"/>
    </row>
    <row r="103" spans="1:20" ht="16">
      <c r="A103" s="435" t="s">
        <v>881</v>
      </c>
      <c r="B103" s="436"/>
      <c r="C103" s="436"/>
      <c r="D103" s="436"/>
      <c r="E103" s="436"/>
      <c r="F103" s="436"/>
      <c r="G103" s="437"/>
      <c r="H103" s="369"/>
      <c r="I103" s="369"/>
      <c r="J103" s="370">
        <f>SUM(J83,J101)</f>
        <v>97231.069999999978</v>
      </c>
      <c r="K103" s="407"/>
      <c r="L103" s="350"/>
    </row>
    <row r="104" spans="1:20" ht="18">
      <c r="F104" s="3"/>
      <c r="G104" s="371" t="s">
        <v>1013</v>
      </c>
      <c r="H104" s="372">
        <v>45831</v>
      </c>
    </row>
    <row r="105" spans="1:20" ht="18">
      <c r="F105" s="3"/>
      <c r="G105" s="371" t="s">
        <v>1014</v>
      </c>
      <c r="H105" s="373" t="s">
        <v>990</v>
      </c>
      <c r="I105" s="373"/>
    </row>
    <row r="106" spans="1:20">
      <c r="F106" s="3"/>
      <c r="G106" s="216"/>
      <c r="H106" s="216"/>
      <c r="I106" s="216"/>
      <c r="J106" s="3"/>
      <c r="K106" s="3"/>
      <c r="L106" s="15"/>
      <c r="M106" s="216"/>
    </row>
    <row r="107" spans="1:20">
      <c r="F107" s="3"/>
      <c r="G107" s="216"/>
      <c r="H107" s="269"/>
      <c r="I107" s="216"/>
      <c r="J107" s="270"/>
      <c r="K107" s="270"/>
      <c r="L107" s="15"/>
      <c r="M107" s="216"/>
    </row>
    <row r="108" spans="1:20">
      <c r="F108" s="3"/>
      <c r="G108" s="216"/>
      <c r="H108" s="269" t="s">
        <v>1145</v>
      </c>
      <c r="I108" s="216" t="s">
        <v>1144</v>
      </c>
      <c r="J108" s="270" t="s">
        <v>1112</v>
      </c>
      <c r="K108" s="270"/>
      <c r="L108" s="15"/>
      <c r="M108" s="216"/>
    </row>
    <row r="109" spans="1:20">
      <c r="F109" s="3"/>
      <c r="G109" s="216"/>
      <c r="H109" s="388">
        <f>SUM(H78,H101)</f>
        <v>4533.76</v>
      </c>
      <c r="I109" s="269">
        <f>J103-H109</f>
        <v>92697.309999999983</v>
      </c>
      <c r="J109" s="270">
        <f>SUM(J81:J81)</f>
        <v>648.71</v>
      </c>
      <c r="K109" s="3"/>
      <c r="L109" s="15"/>
      <c r="M109" s="216"/>
    </row>
    <row r="110" spans="1:20">
      <c r="F110" s="3"/>
      <c r="G110" s="216"/>
      <c r="H110" s="216"/>
      <c r="I110" s="216"/>
      <c r="J110" s="3"/>
      <c r="K110" s="3"/>
      <c r="L110" s="15"/>
      <c r="M110" s="216"/>
      <c r="Q110" s="3"/>
      <c r="R110" s="3"/>
      <c r="S110" s="3"/>
      <c r="T110" s="3"/>
    </row>
  </sheetData>
  <mergeCells count="7">
    <mergeCell ref="A103:G103"/>
    <mergeCell ref="A83:G83"/>
    <mergeCell ref="A84:C84"/>
    <mergeCell ref="A86:C86"/>
    <mergeCell ref="A87:C87"/>
    <mergeCell ref="A88:G88"/>
    <mergeCell ref="A101:G10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51E7-FA1F-E94B-911A-0E5B0EF2FAC7}">
  <dimension ref="A1:T111"/>
  <sheetViews>
    <sheetView topLeftCell="A83" zoomScale="160" zoomScaleNormal="160" workbookViewId="0">
      <selection activeCell="A83" sqref="A1:XFD1048576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20.1640625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/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69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1711.35</v>
      </c>
      <c r="H8" s="332" t="s">
        <v>1006</v>
      </c>
      <c r="I8" s="332">
        <v>1711.35</v>
      </c>
      <c r="J8" s="335">
        <v>1711.35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2063.59</v>
      </c>
      <c r="H9" s="332" t="s">
        <v>1006</v>
      </c>
      <c r="I9" s="331">
        <v>2063.59</v>
      </c>
      <c r="J9" s="389">
        <v>2063.59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409">
        <v>1998.08</v>
      </c>
      <c r="H10" s="332" t="s">
        <v>1006</v>
      </c>
      <c r="I10" s="409">
        <v>1998.08</v>
      </c>
      <c r="J10" s="389">
        <v>1998.08</v>
      </c>
      <c r="K10" s="333">
        <f t="shared" si="0"/>
        <v>0</v>
      </c>
      <c r="L10" s="329"/>
    </row>
    <row r="11" spans="1:20">
      <c r="A11" s="334"/>
      <c r="B11" s="354">
        <v>2341</v>
      </c>
      <c r="C11" s="328" t="s">
        <v>460</v>
      </c>
      <c r="D11" s="328" t="s">
        <v>1102</v>
      </c>
      <c r="E11" s="329" t="s">
        <v>852</v>
      </c>
      <c r="F11" s="330"/>
      <c r="G11" s="331">
        <v>1035.3900000000001</v>
      </c>
      <c r="H11" s="332">
        <v>0</v>
      </c>
      <c r="I11" s="331">
        <v>1035.3900000000001</v>
      </c>
      <c r="J11" s="389">
        <v>1035.3900000000001</v>
      </c>
      <c r="K11" s="333">
        <f t="shared" si="0"/>
        <v>0</v>
      </c>
      <c r="L11" s="329"/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1629.03</v>
      </c>
      <c r="H12" s="332" t="s">
        <v>1006</v>
      </c>
      <c r="I12" s="331">
        <v>1629.03</v>
      </c>
      <c r="J12" s="389">
        <v>1629.03</v>
      </c>
      <c r="K12" s="333">
        <f t="shared" si="0"/>
        <v>0</v>
      </c>
      <c r="L12" s="329"/>
    </row>
    <row r="13" spans="1:20">
      <c r="A13" s="334"/>
      <c r="B13" s="354">
        <v>2285</v>
      </c>
      <c r="C13" s="328" t="s">
        <v>745</v>
      </c>
      <c r="D13" s="328" t="s">
        <v>1117</v>
      </c>
      <c r="E13" s="329" t="s">
        <v>852</v>
      </c>
      <c r="F13" s="330"/>
      <c r="G13" s="331">
        <v>593.64</v>
      </c>
      <c r="H13" s="332"/>
      <c r="I13" s="331">
        <v>593.64</v>
      </c>
      <c r="J13" s="389">
        <v>593.64</v>
      </c>
      <c r="K13" s="333"/>
      <c r="L13" s="329"/>
    </row>
    <row r="14" spans="1:20">
      <c r="A14" s="334">
        <v>8</v>
      </c>
      <c r="B14" s="354">
        <v>2131</v>
      </c>
      <c r="C14" s="328" t="s">
        <v>745</v>
      </c>
      <c r="D14" s="338" t="s">
        <v>784</v>
      </c>
      <c r="E14" s="329" t="s">
        <v>852</v>
      </c>
      <c r="F14" s="330"/>
      <c r="G14" s="331">
        <v>703.79</v>
      </c>
      <c r="H14" s="332" t="s">
        <v>1006</v>
      </c>
      <c r="I14" s="331">
        <v>703.79</v>
      </c>
      <c r="J14" s="389">
        <v>703.79</v>
      </c>
      <c r="K14" s="333">
        <f t="shared" si="0"/>
        <v>0</v>
      </c>
      <c r="L14" s="329"/>
      <c r="P14" s="1"/>
      <c r="Q14" s="1"/>
      <c r="R14" s="1"/>
      <c r="S14" s="1"/>
      <c r="T14" s="1"/>
    </row>
    <row r="15" spans="1:20">
      <c r="A15" s="334">
        <v>7</v>
      </c>
      <c r="B15" s="354">
        <v>1751</v>
      </c>
      <c r="C15" s="328" t="s">
        <v>745</v>
      </c>
      <c r="D15" s="339" t="s">
        <v>838</v>
      </c>
      <c r="E15" s="329" t="s">
        <v>852</v>
      </c>
      <c r="F15" s="330"/>
      <c r="G15" s="331">
        <v>989.01</v>
      </c>
      <c r="H15" s="332" t="s">
        <v>1006</v>
      </c>
      <c r="I15" s="331">
        <v>989.01</v>
      </c>
      <c r="J15" s="389">
        <v>989.01</v>
      </c>
      <c r="K15" s="333">
        <f t="shared" si="0"/>
        <v>0</v>
      </c>
      <c r="L15" s="329"/>
    </row>
    <row r="16" spans="1:20">
      <c r="A16" s="334">
        <v>9</v>
      </c>
      <c r="B16" s="354">
        <v>2023</v>
      </c>
      <c r="C16" s="328" t="s">
        <v>745</v>
      </c>
      <c r="D16" s="339" t="s">
        <v>783</v>
      </c>
      <c r="E16" s="329" t="s">
        <v>852</v>
      </c>
      <c r="F16" s="330"/>
      <c r="G16" s="331">
        <v>740.89</v>
      </c>
      <c r="H16" s="332" t="s">
        <v>1006</v>
      </c>
      <c r="I16" s="331">
        <v>740.89</v>
      </c>
      <c r="J16" s="389">
        <v>740.89</v>
      </c>
      <c r="K16" s="333">
        <f t="shared" si="0"/>
        <v>0</v>
      </c>
      <c r="L16" s="328"/>
      <c r="P16" s="1"/>
      <c r="Q16" s="1"/>
      <c r="R16" s="1"/>
      <c r="S16" s="1"/>
      <c r="T16" s="1"/>
    </row>
    <row r="17" spans="1:20">
      <c r="A17" s="334"/>
      <c r="B17" s="374">
        <v>2302</v>
      </c>
      <c r="C17" s="336" t="s">
        <v>806</v>
      </c>
      <c r="D17" s="339" t="s">
        <v>952</v>
      </c>
      <c r="E17" s="329" t="s">
        <v>852</v>
      </c>
      <c r="F17" s="330"/>
      <c r="G17" s="331">
        <v>717.7</v>
      </c>
      <c r="H17" s="332" t="s">
        <v>1006</v>
      </c>
      <c r="I17" s="331">
        <v>717.7</v>
      </c>
      <c r="J17" s="389">
        <v>717.7</v>
      </c>
      <c r="K17" s="333">
        <f t="shared" si="0"/>
        <v>0</v>
      </c>
      <c r="L17" s="340"/>
      <c r="P17" s="1"/>
      <c r="Q17" s="1"/>
      <c r="R17" s="1"/>
      <c r="S17" s="1"/>
      <c r="T17" s="1"/>
    </row>
    <row r="18" spans="1:20">
      <c r="A18" s="334">
        <v>10</v>
      </c>
      <c r="B18" s="375">
        <v>2254</v>
      </c>
      <c r="C18" s="328" t="s">
        <v>840</v>
      </c>
      <c r="D18" s="328" t="s">
        <v>841</v>
      </c>
      <c r="E18" s="341" t="s">
        <v>855</v>
      </c>
      <c r="F18" s="330">
        <v>1</v>
      </c>
      <c r="G18" s="331">
        <v>1348.64</v>
      </c>
      <c r="H18" s="332">
        <v>604.79999999999995</v>
      </c>
      <c r="I18" s="332">
        <v>1953.45</v>
      </c>
      <c r="J18" s="333">
        <v>1953.45</v>
      </c>
      <c r="K18" s="333">
        <f t="shared" si="0"/>
        <v>0</v>
      </c>
      <c r="L18" s="329"/>
    </row>
    <row r="19" spans="1:20">
      <c r="A19" s="334"/>
      <c r="B19" s="354">
        <v>2308</v>
      </c>
      <c r="C19" s="328" t="s">
        <v>1118</v>
      </c>
      <c r="D19" s="328" t="s">
        <v>1119</v>
      </c>
      <c r="E19" s="382" t="s">
        <v>852</v>
      </c>
      <c r="F19" s="330"/>
      <c r="G19" s="331">
        <v>947.85</v>
      </c>
      <c r="H19" s="332">
        <v>0</v>
      </c>
      <c r="I19" s="332">
        <v>947.85</v>
      </c>
      <c r="J19" s="389">
        <v>947.85</v>
      </c>
      <c r="K19" s="333"/>
      <c r="L19" s="329"/>
    </row>
    <row r="20" spans="1:20">
      <c r="A20" s="334">
        <v>11</v>
      </c>
      <c r="B20" s="354">
        <v>1721</v>
      </c>
      <c r="C20" s="328" t="s">
        <v>746</v>
      </c>
      <c r="D20" s="328" t="s">
        <v>785</v>
      </c>
      <c r="E20" s="329" t="s">
        <v>854</v>
      </c>
      <c r="F20" s="330">
        <v>1</v>
      </c>
      <c r="G20" s="331">
        <v>1665.55</v>
      </c>
      <c r="H20" s="332" t="s">
        <v>1006</v>
      </c>
      <c r="I20" s="331">
        <v>1665.55</v>
      </c>
      <c r="J20" s="389">
        <v>1665.55</v>
      </c>
      <c r="K20" s="333">
        <f t="shared" si="0"/>
        <v>0</v>
      </c>
      <c r="L20" s="161"/>
    </row>
    <row r="21" spans="1:20">
      <c r="A21" s="334">
        <v>12</v>
      </c>
      <c r="B21" s="354">
        <v>2123</v>
      </c>
      <c r="C21" s="328" t="s">
        <v>746</v>
      </c>
      <c r="D21" s="328" t="s">
        <v>786</v>
      </c>
      <c r="E21" s="329" t="s">
        <v>852</v>
      </c>
      <c r="F21" s="330"/>
      <c r="G21" s="331">
        <v>754.8</v>
      </c>
      <c r="H21" s="332" t="s">
        <v>1006</v>
      </c>
      <c r="I21" s="331">
        <v>754.8</v>
      </c>
      <c r="J21" s="389">
        <v>754.8</v>
      </c>
      <c r="K21" s="333">
        <f t="shared" si="0"/>
        <v>0</v>
      </c>
      <c r="L21" s="161"/>
    </row>
    <row r="22" spans="1:20">
      <c r="A22" s="334">
        <v>13</v>
      </c>
      <c r="B22" s="354">
        <v>1970</v>
      </c>
      <c r="C22" s="328" t="s">
        <v>747</v>
      </c>
      <c r="D22" s="338" t="s">
        <v>787</v>
      </c>
      <c r="E22" s="329" t="s">
        <v>854</v>
      </c>
      <c r="F22" s="330">
        <v>1</v>
      </c>
      <c r="G22" s="331">
        <v>1320.82</v>
      </c>
      <c r="H22" s="332">
        <v>618.14</v>
      </c>
      <c r="I22" s="331">
        <f>H22+G22</f>
        <v>1938.96</v>
      </c>
      <c r="J22" s="389">
        <v>1938.96</v>
      </c>
      <c r="K22" s="333">
        <f t="shared" si="0"/>
        <v>0</v>
      </c>
      <c r="L22" s="161"/>
    </row>
    <row r="23" spans="1:20">
      <c r="A23" s="334">
        <v>14</v>
      </c>
      <c r="B23" s="376" t="s">
        <v>934</v>
      </c>
      <c r="C23" s="328" t="s">
        <v>932</v>
      </c>
      <c r="D23" s="338" t="s">
        <v>933</v>
      </c>
      <c r="E23" s="329" t="s">
        <v>851</v>
      </c>
      <c r="F23" s="330"/>
      <c r="G23" s="331">
        <v>808</v>
      </c>
      <c r="H23" s="332">
        <v>480.16</v>
      </c>
      <c r="I23" s="332">
        <f>SUM(G23:H23)</f>
        <v>1288.1600000000001</v>
      </c>
      <c r="J23" s="333">
        <v>1288.1500000000001</v>
      </c>
      <c r="K23" s="333">
        <f t="shared" si="0"/>
        <v>9.9999999999909051E-3</v>
      </c>
      <c r="L23" s="188"/>
    </row>
    <row r="24" spans="1:20">
      <c r="A24" s="334">
        <v>15</v>
      </c>
      <c r="B24" s="354">
        <v>1794</v>
      </c>
      <c r="C24" s="328" t="s">
        <v>466</v>
      </c>
      <c r="D24" s="328" t="s">
        <v>431</v>
      </c>
      <c r="E24" s="329" t="s">
        <v>854</v>
      </c>
      <c r="F24" s="330">
        <v>1</v>
      </c>
      <c r="G24" s="331">
        <v>1713.66</v>
      </c>
      <c r="H24" s="332" t="s">
        <v>1006</v>
      </c>
      <c r="I24" s="331">
        <v>1713.66</v>
      </c>
      <c r="J24" s="389">
        <v>1713.66</v>
      </c>
      <c r="K24" s="333">
        <f t="shared" si="0"/>
        <v>0</v>
      </c>
      <c r="L24" s="161"/>
      <c r="P24" s="1"/>
      <c r="Q24" s="1"/>
      <c r="R24" s="1"/>
      <c r="S24" s="1"/>
      <c r="T24" s="1"/>
    </row>
    <row r="25" spans="1:20">
      <c r="A25" s="334">
        <v>16</v>
      </c>
      <c r="B25" s="354">
        <v>2201</v>
      </c>
      <c r="C25" s="328" t="s">
        <v>748</v>
      </c>
      <c r="D25" s="338" t="s">
        <v>788</v>
      </c>
      <c r="E25" s="329" t="s">
        <v>852</v>
      </c>
      <c r="F25" s="330"/>
      <c r="G25" s="331">
        <v>1412.79</v>
      </c>
      <c r="H25" s="332" t="s">
        <v>1006</v>
      </c>
      <c r="I25" s="331">
        <v>1412.79</v>
      </c>
      <c r="J25" s="389">
        <v>1412.79</v>
      </c>
      <c r="K25" s="333">
        <f t="shared" si="0"/>
        <v>0</v>
      </c>
      <c r="L25" s="161"/>
    </row>
    <row r="26" spans="1:20">
      <c r="A26" s="334">
        <v>17</v>
      </c>
      <c r="B26" s="354">
        <v>2194</v>
      </c>
      <c r="C26" s="328" t="s">
        <v>749</v>
      </c>
      <c r="D26" s="338" t="s">
        <v>789</v>
      </c>
      <c r="E26" s="329" t="s">
        <v>852</v>
      </c>
      <c r="F26" s="330"/>
      <c r="G26" s="331">
        <v>657.99</v>
      </c>
      <c r="H26" s="332" t="s">
        <v>1006</v>
      </c>
      <c r="I26" s="331">
        <v>657.99</v>
      </c>
      <c r="J26" s="389">
        <v>657.99</v>
      </c>
      <c r="K26" s="333">
        <f t="shared" si="0"/>
        <v>0</v>
      </c>
      <c r="L26" s="161" t="s">
        <v>1151</v>
      </c>
    </row>
    <row r="27" spans="1:20">
      <c r="A27" s="334"/>
      <c r="B27" s="354">
        <v>1961</v>
      </c>
      <c r="C27" s="328" t="s">
        <v>967</v>
      </c>
      <c r="D27" s="338" t="s">
        <v>968</v>
      </c>
      <c r="E27" s="329" t="s">
        <v>852</v>
      </c>
      <c r="F27" s="330"/>
      <c r="G27" s="409">
        <v>1509.02</v>
      </c>
      <c r="H27" s="332" t="s">
        <v>1006</v>
      </c>
      <c r="I27" s="409">
        <v>1509.02</v>
      </c>
      <c r="J27" s="389">
        <v>1509.02</v>
      </c>
      <c r="K27" s="333">
        <f t="shared" si="0"/>
        <v>0</v>
      </c>
      <c r="L27" s="161"/>
    </row>
    <row r="28" spans="1:20">
      <c r="A28" s="334">
        <v>18</v>
      </c>
      <c r="B28" s="354">
        <v>2289</v>
      </c>
      <c r="C28" s="328" t="s">
        <v>750</v>
      </c>
      <c r="D28" s="338" t="s">
        <v>790</v>
      </c>
      <c r="E28" s="329" t="s">
        <v>852</v>
      </c>
      <c r="F28" s="330"/>
      <c r="G28" s="331">
        <v>740.89</v>
      </c>
      <c r="H28" s="332" t="s">
        <v>1006</v>
      </c>
      <c r="I28" s="331">
        <v>740.89</v>
      </c>
      <c r="J28" s="389">
        <v>740.89</v>
      </c>
      <c r="K28" s="333">
        <f t="shared" si="0"/>
        <v>0</v>
      </c>
      <c r="L28" s="161"/>
    </row>
    <row r="29" spans="1:20">
      <c r="A29" s="334"/>
      <c r="B29" s="354">
        <v>2322</v>
      </c>
      <c r="C29" s="328" t="s">
        <v>1023</v>
      </c>
      <c r="D29" s="338" t="s">
        <v>1024</v>
      </c>
      <c r="E29" s="329" t="s">
        <v>852</v>
      </c>
      <c r="F29" s="330"/>
      <c r="G29" s="331">
        <v>582.04</v>
      </c>
      <c r="H29" s="332">
        <v>0</v>
      </c>
      <c r="I29" s="332">
        <v>582.04</v>
      </c>
      <c r="J29" s="335">
        <v>582.04</v>
      </c>
      <c r="K29" s="333">
        <f t="shared" si="0"/>
        <v>0</v>
      </c>
      <c r="L29" s="161"/>
    </row>
    <row r="30" spans="1:20">
      <c r="A30" s="334">
        <v>20</v>
      </c>
      <c r="B30" s="354">
        <v>2250</v>
      </c>
      <c r="C30" s="328" t="s">
        <v>752</v>
      </c>
      <c r="D30" s="328" t="s">
        <v>792</v>
      </c>
      <c r="E30" s="329" t="s">
        <v>853</v>
      </c>
      <c r="F30" s="330">
        <v>2</v>
      </c>
      <c r="G30" s="331">
        <v>1709.74</v>
      </c>
      <c r="H30" s="332" t="s">
        <v>1006</v>
      </c>
      <c r="I30" s="331">
        <v>1709.74</v>
      </c>
      <c r="J30" s="389">
        <v>1709.74</v>
      </c>
      <c r="K30" s="333">
        <f t="shared" si="0"/>
        <v>0</v>
      </c>
      <c r="L30" s="161"/>
    </row>
    <row r="31" spans="1:20">
      <c r="A31" s="334"/>
      <c r="B31" s="354">
        <v>2298</v>
      </c>
      <c r="C31" s="328" t="s">
        <v>752</v>
      </c>
      <c r="D31" s="328" t="s">
        <v>1106</v>
      </c>
      <c r="E31" s="329" t="s">
        <v>852</v>
      </c>
      <c r="F31" s="330"/>
      <c r="G31" s="331">
        <v>685.81</v>
      </c>
      <c r="H31" s="332">
        <v>0</v>
      </c>
      <c r="I31" s="331">
        <v>685.81</v>
      </c>
      <c r="J31" s="389">
        <v>685.81</v>
      </c>
      <c r="K31" s="333">
        <f t="shared" si="0"/>
        <v>0</v>
      </c>
      <c r="L31" s="161"/>
    </row>
    <row r="32" spans="1:20">
      <c r="A32" s="334">
        <v>21</v>
      </c>
      <c r="B32" s="354">
        <v>2193</v>
      </c>
      <c r="C32" s="328" t="s">
        <v>753</v>
      </c>
      <c r="D32" s="328" t="s">
        <v>794</v>
      </c>
      <c r="E32" s="329" t="s">
        <v>852</v>
      </c>
      <c r="F32" s="330"/>
      <c r="G32" s="331">
        <v>713.06</v>
      </c>
      <c r="H32" s="332" t="s">
        <v>1006</v>
      </c>
      <c r="I32" s="331">
        <v>713.06</v>
      </c>
      <c r="J32" s="389">
        <v>713.06</v>
      </c>
      <c r="K32" s="333">
        <f t="shared" si="0"/>
        <v>0</v>
      </c>
      <c r="L32" s="161"/>
    </row>
    <row r="33" spans="1:20">
      <c r="A33" s="334"/>
      <c r="B33" s="354">
        <v>2223</v>
      </c>
      <c r="C33" s="328" t="s">
        <v>972</v>
      </c>
      <c r="D33" s="328" t="s">
        <v>973</v>
      </c>
      <c r="E33" s="329" t="s">
        <v>852</v>
      </c>
      <c r="F33" s="330"/>
      <c r="G33" s="331">
        <v>630.16</v>
      </c>
      <c r="H33" s="332"/>
      <c r="I33" s="331">
        <v>630.16</v>
      </c>
      <c r="J33" s="389">
        <v>630.16</v>
      </c>
      <c r="K33" s="333">
        <f t="shared" si="0"/>
        <v>0</v>
      </c>
      <c r="L33" s="161"/>
    </row>
    <row r="34" spans="1:20">
      <c r="A34" s="334">
        <v>22</v>
      </c>
      <c r="B34" s="354">
        <v>640</v>
      </c>
      <c r="C34" s="328" t="s">
        <v>754</v>
      </c>
      <c r="D34" s="339" t="s">
        <v>795</v>
      </c>
      <c r="E34" s="329" t="s">
        <v>852</v>
      </c>
      <c r="F34" s="330"/>
      <c r="G34" s="331">
        <v>1509.02</v>
      </c>
      <c r="H34" s="332" t="s">
        <v>1006</v>
      </c>
      <c r="I34" s="416">
        <v>1509.02</v>
      </c>
      <c r="J34" s="389">
        <v>1509.02</v>
      </c>
      <c r="K34" s="333">
        <f t="shared" si="0"/>
        <v>0</v>
      </c>
      <c r="L34" s="329"/>
    </row>
    <row r="35" spans="1:20">
      <c r="A35" s="334">
        <v>23</v>
      </c>
      <c r="B35" s="354">
        <v>901</v>
      </c>
      <c r="C35" s="328" t="s">
        <v>439</v>
      </c>
      <c r="D35" s="328" t="s">
        <v>505</v>
      </c>
      <c r="E35" s="329" t="s">
        <v>852</v>
      </c>
      <c r="F35" s="330"/>
      <c r="G35" s="331">
        <v>1739.16</v>
      </c>
      <c r="H35" s="332" t="s">
        <v>1006</v>
      </c>
      <c r="I35" s="331">
        <v>1739.16</v>
      </c>
      <c r="J35" s="389">
        <v>1739.16</v>
      </c>
      <c r="K35" s="333">
        <f t="shared" si="0"/>
        <v>0</v>
      </c>
      <c r="L35" s="329"/>
    </row>
    <row r="36" spans="1:20">
      <c r="A36" s="334">
        <v>24</v>
      </c>
      <c r="B36" s="376" t="s">
        <v>675</v>
      </c>
      <c r="C36" s="328" t="s">
        <v>755</v>
      </c>
      <c r="D36" s="328" t="s">
        <v>796</v>
      </c>
      <c r="E36" s="329" t="s">
        <v>852</v>
      </c>
      <c r="F36" s="330"/>
      <c r="G36" s="331">
        <v>786.69</v>
      </c>
      <c r="H36" s="332" t="s">
        <v>1006</v>
      </c>
      <c r="I36" s="332">
        <v>786.69</v>
      </c>
      <c r="J36" s="333">
        <v>786.69</v>
      </c>
      <c r="K36" s="333">
        <f t="shared" si="0"/>
        <v>0</v>
      </c>
      <c r="L36" s="329"/>
    </row>
    <row r="37" spans="1:20">
      <c r="A37" s="334">
        <v>26</v>
      </c>
      <c r="B37" s="354">
        <v>1741</v>
      </c>
      <c r="C37" s="328" t="s">
        <v>755</v>
      </c>
      <c r="D37" s="328" t="s">
        <v>797</v>
      </c>
      <c r="E37" s="329" t="s">
        <v>852</v>
      </c>
      <c r="F37" s="330"/>
      <c r="G37" s="331">
        <v>1292.79</v>
      </c>
      <c r="H37" s="332" t="s">
        <v>1006</v>
      </c>
      <c r="I37" s="331">
        <v>1292.79</v>
      </c>
      <c r="J37" s="389">
        <v>1292.79</v>
      </c>
      <c r="K37" s="333">
        <f t="shared" si="0"/>
        <v>0</v>
      </c>
      <c r="L37" s="329"/>
    </row>
    <row r="38" spans="1:20">
      <c r="A38" s="334">
        <v>25</v>
      </c>
      <c r="B38" s="354">
        <v>1757</v>
      </c>
      <c r="C38" s="328" t="s">
        <v>755</v>
      </c>
      <c r="D38" s="338" t="s">
        <v>798</v>
      </c>
      <c r="E38" s="329" t="s">
        <v>853</v>
      </c>
      <c r="F38" s="330">
        <v>2</v>
      </c>
      <c r="G38" s="331">
        <v>2170.85</v>
      </c>
      <c r="H38" s="332" t="s">
        <v>1006</v>
      </c>
      <c r="I38" s="331">
        <v>2170.85</v>
      </c>
      <c r="J38" s="389">
        <v>2170.85</v>
      </c>
      <c r="K38" s="333">
        <f t="shared" si="0"/>
        <v>0</v>
      </c>
      <c r="L38" s="329"/>
      <c r="N38" s="12"/>
      <c r="O38" s="12"/>
      <c r="P38" s="12"/>
      <c r="Q38" s="12"/>
      <c r="R38" s="12"/>
      <c r="S38" s="12"/>
      <c r="T38" s="12"/>
    </row>
    <row r="39" spans="1:20">
      <c r="A39" s="334">
        <v>27</v>
      </c>
      <c r="B39" s="354">
        <v>2057</v>
      </c>
      <c r="C39" s="328" t="s">
        <v>756</v>
      </c>
      <c r="D39" s="338" t="s">
        <v>799</v>
      </c>
      <c r="E39" s="329" t="s">
        <v>852</v>
      </c>
      <c r="F39" s="330"/>
      <c r="G39" s="331">
        <v>1739.16</v>
      </c>
      <c r="H39" s="332" t="s">
        <v>1006</v>
      </c>
      <c r="I39" s="331">
        <v>1739.16</v>
      </c>
      <c r="J39" s="389">
        <v>1739.16</v>
      </c>
      <c r="K39" s="333">
        <f t="shared" si="0"/>
        <v>0</v>
      </c>
      <c r="L39" s="329"/>
    </row>
    <row r="40" spans="1:20">
      <c r="A40" s="334">
        <v>28</v>
      </c>
      <c r="B40" s="354">
        <v>1210</v>
      </c>
      <c r="C40" s="328" t="s">
        <v>756</v>
      </c>
      <c r="D40" s="338" t="s">
        <v>800</v>
      </c>
      <c r="E40" s="329" t="s">
        <v>852</v>
      </c>
      <c r="F40" s="330"/>
      <c r="G40" s="331">
        <v>1739.16</v>
      </c>
      <c r="H40" s="332" t="s">
        <v>1006</v>
      </c>
      <c r="I40" s="331">
        <v>1739.16</v>
      </c>
      <c r="J40" s="389">
        <v>1739.16</v>
      </c>
      <c r="K40" s="333">
        <f t="shared" si="0"/>
        <v>0</v>
      </c>
      <c r="L40" s="329"/>
    </row>
    <row r="41" spans="1:20">
      <c r="A41" s="334"/>
      <c r="B41" s="354">
        <v>2310</v>
      </c>
      <c r="C41" s="328" t="s">
        <v>756</v>
      </c>
      <c r="D41" s="338" t="s">
        <v>977</v>
      </c>
      <c r="E41" s="329" t="s">
        <v>852</v>
      </c>
      <c r="F41" s="330"/>
      <c r="G41" s="331">
        <v>1035.3900000000001</v>
      </c>
      <c r="H41" s="332" t="s">
        <v>1006</v>
      </c>
      <c r="I41" s="331">
        <v>1035.3900000000001</v>
      </c>
      <c r="J41" s="389">
        <v>1035.3900000000001</v>
      </c>
      <c r="K41" s="333">
        <f t="shared" si="0"/>
        <v>0</v>
      </c>
      <c r="L41" s="329"/>
    </row>
    <row r="42" spans="1:20">
      <c r="A42" s="334">
        <v>29</v>
      </c>
      <c r="B42" s="354">
        <v>1460</v>
      </c>
      <c r="C42" s="328" t="s">
        <v>444</v>
      </c>
      <c r="D42" s="328" t="s">
        <v>506</v>
      </c>
      <c r="E42" s="329" t="s">
        <v>852</v>
      </c>
      <c r="F42" s="330"/>
      <c r="G42" s="331">
        <v>1081.19</v>
      </c>
      <c r="H42" s="332" t="s">
        <v>1006</v>
      </c>
      <c r="I42" s="331">
        <v>1081.19</v>
      </c>
      <c r="J42" s="389">
        <v>1081.19</v>
      </c>
      <c r="K42" s="333">
        <f t="shared" si="0"/>
        <v>0</v>
      </c>
      <c r="L42" s="329"/>
    </row>
    <row r="43" spans="1:20">
      <c r="A43" s="334">
        <v>32</v>
      </c>
      <c r="B43" s="354">
        <v>2248</v>
      </c>
      <c r="C43" s="328" t="s">
        <v>757</v>
      </c>
      <c r="D43" s="328" t="s">
        <v>801</v>
      </c>
      <c r="E43" s="341" t="s">
        <v>856</v>
      </c>
      <c r="F43" s="330">
        <v>2</v>
      </c>
      <c r="G43" s="331">
        <v>1778.57</v>
      </c>
      <c r="H43" s="332">
        <v>581.62</v>
      </c>
      <c r="I43" s="332">
        <f>SUM(G43:H43)</f>
        <v>2360.19</v>
      </c>
      <c r="J43" s="333">
        <v>2360.19</v>
      </c>
      <c r="K43" s="333">
        <f t="shared" si="0"/>
        <v>0</v>
      </c>
      <c r="L43" s="329"/>
    </row>
    <row r="44" spans="1:20">
      <c r="A44" s="334"/>
      <c r="B44" s="354">
        <v>2319</v>
      </c>
      <c r="C44" s="328" t="s">
        <v>757</v>
      </c>
      <c r="D44" s="328" t="s">
        <v>1026</v>
      </c>
      <c r="E44" s="382" t="s">
        <v>853</v>
      </c>
      <c r="F44" s="330">
        <v>2</v>
      </c>
      <c r="G44" s="331">
        <v>1623.94</v>
      </c>
      <c r="H44" s="332">
        <v>0</v>
      </c>
      <c r="I44" s="331">
        <v>1623.94</v>
      </c>
      <c r="J44" s="389">
        <v>1623.94</v>
      </c>
      <c r="K44" s="333">
        <f t="shared" si="0"/>
        <v>0</v>
      </c>
      <c r="L44" s="329"/>
    </row>
    <row r="45" spans="1:20">
      <c r="A45" s="334"/>
      <c r="B45" s="354">
        <v>1300</v>
      </c>
      <c r="C45" s="328" t="s">
        <v>757</v>
      </c>
      <c r="D45" s="328" t="s">
        <v>1037</v>
      </c>
      <c r="E45" s="382" t="s">
        <v>854</v>
      </c>
      <c r="F45" s="330">
        <v>1</v>
      </c>
      <c r="G45" s="331">
        <v>1783.23</v>
      </c>
      <c r="H45" s="332">
        <v>0</v>
      </c>
      <c r="I45" s="331">
        <v>1783.23</v>
      </c>
      <c r="J45" s="389">
        <v>1783.23</v>
      </c>
      <c r="K45" s="333">
        <f t="shared" si="0"/>
        <v>0</v>
      </c>
      <c r="L45" s="329"/>
    </row>
    <row r="46" spans="1:20">
      <c r="A46" s="334">
        <v>30</v>
      </c>
      <c r="B46" s="354">
        <v>2062</v>
      </c>
      <c r="C46" s="328" t="s">
        <v>757</v>
      </c>
      <c r="D46" s="328" t="s">
        <v>802</v>
      </c>
      <c r="E46" s="329" t="s">
        <v>853</v>
      </c>
      <c r="F46" s="330">
        <v>2</v>
      </c>
      <c r="G46" s="331">
        <v>1633.22</v>
      </c>
      <c r="H46" s="332" t="s">
        <v>1006</v>
      </c>
      <c r="I46" s="331">
        <v>1633.22</v>
      </c>
      <c r="J46" s="389">
        <v>1633.22</v>
      </c>
      <c r="K46" s="333">
        <f t="shared" si="0"/>
        <v>0</v>
      </c>
      <c r="L46" s="329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1907.43</v>
      </c>
      <c r="H47" s="332" t="s">
        <v>1006</v>
      </c>
      <c r="I47" s="331">
        <v>1907.43</v>
      </c>
      <c r="J47" s="389">
        <v>1907.43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1267.6400000000001</v>
      </c>
      <c r="H48" s="332" t="s">
        <v>1006</v>
      </c>
      <c r="I48" s="331">
        <v>1267.6400000000001</v>
      </c>
      <c r="J48" s="389">
        <v>1267.6400000000001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657.99</v>
      </c>
      <c r="H49" s="332" t="s">
        <v>1006</v>
      </c>
      <c r="I49" s="331">
        <v>657.99</v>
      </c>
      <c r="J49" s="389">
        <v>657.99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1739.16</v>
      </c>
      <c r="H50" s="332" t="s">
        <v>1006</v>
      </c>
      <c r="I50" s="331">
        <v>1739.16</v>
      </c>
      <c r="J50" s="399">
        <v>1739.16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713.06</v>
      </c>
      <c r="H51" s="332" t="s">
        <v>1006</v>
      </c>
      <c r="I51" s="331">
        <v>713.06</v>
      </c>
      <c r="J51" s="333">
        <v>713.06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630.16</v>
      </c>
      <c r="H52" s="332" t="s">
        <v>1006</v>
      </c>
      <c r="I52" s="331">
        <v>630.16</v>
      </c>
      <c r="J52" s="389">
        <v>630.16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657.99</v>
      </c>
      <c r="H53" s="332" t="s">
        <v>1006</v>
      </c>
      <c r="I53" s="331">
        <v>657.99</v>
      </c>
      <c r="J53" s="389">
        <v>657.99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1647.13</v>
      </c>
      <c r="H54" s="332" t="s">
        <v>1006</v>
      </c>
      <c r="I54" s="331">
        <v>1647.13</v>
      </c>
      <c r="J54" s="389">
        <v>1647.13</v>
      </c>
      <c r="K54" s="333" t="e">
        <f>#REF!-#REF!</f>
        <v>#REF!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1501.26</v>
      </c>
      <c r="H55" s="332" t="s">
        <v>1006</v>
      </c>
      <c r="I55" s="331">
        <v>1501.26</v>
      </c>
      <c r="J55" s="389">
        <v>1501.26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1789.97</v>
      </c>
      <c r="H56" s="332" t="s">
        <v>1006</v>
      </c>
      <c r="I56" s="331">
        <v>1789.97</v>
      </c>
      <c r="J56" s="389">
        <v>1789.97</v>
      </c>
      <c r="K56" s="333">
        <f t="shared" si="0"/>
        <v>0</v>
      </c>
      <c r="L56" s="329"/>
    </row>
    <row r="57" spans="1:12">
      <c r="A57" s="334"/>
      <c r="B57" s="354">
        <v>2281</v>
      </c>
      <c r="C57" s="328" t="s">
        <v>1146</v>
      </c>
      <c r="D57" s="328" t="s">
        <v>1147</v>
      </c>
      <c r="E57" s="329" t="s">
        <v>855</v>
      </c>
      <c r="F57" s="330">
        <v>1</v>
      </c>
      <c r="G57" s="331">
        <v>2468.88</v>
      </c>
      <c r="H57" s="332">
        <v>1589.16</v>
      </c>
      <c r="I57" s="331">
        <f>SUM(G57:H57)</f>
        <v>4058.04</v>
      </c>
      <c r="J57" s="389">
        <v>4058.04</v>
      </c>
      <c r="K57" s="333"/>
      <c r="L57" s="329"/>
    </row>
    <row r="58" spans="1:12">
      <c r="A58" s="334">
        <v>44</v>
      </c>
      <c r="B58" s="354">
        <v>2001</v>
      </c>
      <c r="C58" s="328" t="s">
        <v>766</v>
      </c>
      <c r="D58" s="338" t="s">
        <v>814</v>
      </c>
      <c r="E58" s="329" t="s">
        <v>854</v>
      </c>
      <c r="F58" s="330">
        <v>1</v>
      </c>
      <c r="G58" s="331">
        <v>1934.9</v>
      </c>
      <c r="H58" s="332" t="s">
        <v>1006</v>
      </c>
      <c r="I58" s="331">
        <v>1934.9</v>
      </c>
      <c r="J58" s="389">
        <v>1934.9</v>
      </c>
      <c r="K58" s="333">
        <f t="shared" si="0"/>
        <v>0</v>
      </c>
      <c r="L58" s="329"/>
    </row>
    <row r="59" spans="1:12">
      <c r="A59" s="334">
        <v>45</v>
      </c>
      <c r="B59" s="354">
        <v>2160</v>
      </c>
      <c r="C59" s="328" t="s">
        <v>767</v>
      </c>
      <c r="D59" s="338" t="s">
        <v>815</v>
      </c>
      <c r="E59" s="329" t="s">
        <v>854</v>
      </c>
      <c r="F59" s="330">
        <v>1</v>
      </c>
      <c r="G59" s="331">
        <v>2091.06</v>
      </c>
      <c r="H59" s="332" t="s">
        <v>1006</v>
      </c>
      <c r="I59" s="331">
        <v>2091.06</v>
      </c>
      <c r="J59" s="331">
        <v>2091.06</v>
      </c>
      <c r="K59" s="333">
        <f t="shared" si="0"/>
        <v>0</v>
      </c>
      <c r="L59" s="329"/>
    </row>
    <row r="60" spans="1:12">
      <c r="A60" s="334">
        <v>48</v>
      </c>
      <c r="B60" s="354">
        <v>2246</v>
      </c>
      <c r="C60" s="328" t="s">
        <v>769</v>
      </c>
      <c r="D60" s="338" t="s">
        <v>817</v>
      </c>
      <c r="E60" s="329" t="s">
        <v>852</v>
      </c>
      <c r="F60" s="330"/>
      <c r="G60" s="331">
        <v>703.79</v>
      </c>
      <c r="H60" s="332" t="s">
        <v>1006</v>
      </c>
      <c r="I60" s="331">
        <v>703.79</v>
      </c>
      <c r="J60" s="389">
        <v>703.79</v>
      </c>
      <c r="K60" s="333">
        <f t="shared" si="0"/>
        <v>0</v>
      </c>
      <c r="L60" s="188"/>
    </row>
    <row r="61" spans="1:12">
      <c r="A61" s="334">
        <v>49</v>
      </c>
      <c r="B61" s="354">
        <v>2018</v>
      </c>
      <c r="C61" s="328" t="s">
        <v>770</v>
      </c>
      <c r="D61" s="328" t="s">
        <v>818</v>
      </c>
      <c r="E61" s="329" t="s">
        <v>852</v>
      </c>
      <c r="F61" s="330"/>
      <c r="G61" s="331">
        <v>1739.16</v>
      </c>
      <c r="H61" s="332" t="s">
        <v>1006</v>
      </c>
      <c r="I61" s="331">
        <v>1739.16</v>
      </c>
      <c r="J61" s="389">
        <v>1739.16</v>
      </c>
      <c r="K61" s="333">
        <f t="shared" si="0"/>
        <v>0</v>
      </c>
      <c r="L61" s="161"/>
    </row>
    <row r="62" spans="1:12">
      <c r="A62" s="334"/>
      <c r="B62" s="354">
        <v>2329</v>
      </c>
      <c r="C62" s="328" t="s">
        <v>1070</v>
      </c>
      <c r="D62" s="328" t="s">
        <v>1071</v>
      </c>
      <c r="E62" s="329" t="s">
        <v>854</v>
      </c>
      <c r="F62" s="330">
        <v>1</v>
      </c>
      <c r="G62" s="331">
        <v>579.72</v>
      </c>
      <c r="H62" s="332">
        <v>0</v>
      </c>
      <c r="I62" s="331">
        <v>579.72</v>
      </c>
      <c r="J62" s="389">
        <v>579.72</v>
      </c>
      <c r="K62" s="333">
        <f t="shared" si="0"/>
        <v>0</v>
      </c>
      <c r="L62" s="329"/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2088.7399999999998</v>
      </c>
      <c r="H63" s="332" t="s">
        <v>1006</v>
      </c>
      <c r="I63" s="331">
        <v>2088.7399999999998</v>
      </c>
      <c r="J63" s="333">
        <v>2088.7399999999998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713.06</v>
      </c>
      <c r="H64" s="332" t="s">
        <v>1006</v>
      </c>
      <c r="I64" s="331">
        <v>713.06</v>
      </c>
      <c r="J64" s="389">
        <v>713.06</v>
      </c>
      <c r="K64" s="333">
        <f t="shared" si="0"/>
        <v>0</v>
      </c>
      <c r="L64" s="329"/>
    </row>
    <row r="65" spans="1:16">
      <c r="A65" s="334">
        <v>52</v>
      </c>
      <c r="B65" s="354">
        <v>2060</v>
      </c>
      <c r="C65" s="328" t="s">
        <v>487</v>
      </c>
      <c r="D65" s="328" t="s">
        <v>516</v>
      </c>
      <c r="E65" s="329" t="s">
        <v>852</v>
      </c>
      <c r="F65" s="330"/>
      <c r="G65" s="331">
        <v>1182.6400000000001</v>
      </c>
      <c r="H65" s="332" t="s">
        <v>1006</v>
      </c>
      <c r="I65" s="331">
        <v>1182.6400000000001</v>
      </c>
      <c r="J65" s="389">
        <v>1182.6400000000001</v>
      </c>
      <c r="K65" s="333">
        <f t="shared" si="0"/>
        <v>0</v>
      </c>
      <c r="L65" s="329"/>
    </row>
    <row r="66" spans="1:16">
      <c r="A66" s="334"/>
      <c r="B66" s="354">
        <v>2333</v>
      </c>
      <c r="C66" s="328" t="s">
        <v>1078</v>
      </c>
      <c r="D66" s="328" t="s">
        <v>1079</v>
      </c>
      <c r="E66" s="329" t="s">
        <v>854</v>
      </c>
      <c r="F66" s="330">
        <v>1</v>
      </c>
      <c r="G66" s="331">
        <v>1166.18</v>
      </c>
      <c r="H66" s="332">
        <v>0</v>
      </c>
      <c r="I66" s="331">
        <v>1166.18</v>
      </c>
      <c r="J66" s="389">
        <v>1166.18</v>
      </c>
      <c r="K66" s="333">
        <f t="shared" si="0"/>
        <v>0</v>
      </c>
      <c r="L66" s="329"/>
    </row>
    <row r="67" spans="1:16">
      <c r="A67" s="334">
        <v>54</v>
      </c>
      <c r="B67" s="354">
        <v>1050</v>
      </c>
      <c r="C67" s="328" t="s">
        <v>773</v>
      </c>
      <c r="D67" s="328" t="s">
        <v>821</v>
      </c>
      <c r="E67" s="329" t="s">
        <v>852</v>
      </c>
      <c r="F67" s="330"/>
      <c r="G67" s="331">
        <v>1739.16</v>
      </c>
      <c r="H67" s="332" t="s">
        <v>1006</v>
      </c>
      <c r="I67" s="331">
        <v>1739.16</v>
      </c>
      <c r="J67" s="389">
        <v>1739.16</v>
      </c>
      <c r="K67" s="333">
        <f t="shared" si="0"/>
        <v>0</v>
      </c>
      <c r="L67" s="329"/>
    </row>
    <row r="68" spans="1:16">
      <c r="A68" s="334">
        <v>55</v>
      </c>
      <c r="B68" s="354">
        <v>1964</v>
      </c>
      <c r="C68" s="328" t="s">
        <v>491</v>
      </c>
      <c r="D68" s="328" t="s">
        <v>456</v>
      </c>
      <c r="E68" s="329" t="s">
        <v>852</v>
      </c>
      <c r="F68" s="330"/>
      <c r="G68" s="331">
        <v>947.85</v>
      </c>
      <c r="H68" s="332" t="s">
        <v>1006</v>
      </c>
      <c r="I68" s="331">
        <v>947.85</v>
      </c>
      <c r="J68" s="389">
        <v>947.85</v>
      </c>
      <c r="K68" s="333">
        <f t="shared" si="0"/>
        <v>0</v>
      </c>
      <c r="L68" s="329"/>
    </row>
    <row r="69" spans="1:16">
      <c r="A69" s="334">
        <v>57</v>
      </c>
      <c r="B69" s="354">
        <v>1981</v>
      </c>
      <c r="C69" s="328" t="s">
        <v>774</v>
      </c>
      <c r="D69" s="338" t="s">
        <v>822</v>
      </c>
      <c r="E69" s="329" t="s">
        <v>852</v>
      </c>
      <c r="F69" s="330"/>
      <c r="G69" s="331">
        <v>740.89</v>
      </c>
      <c r="H69" s="332" t="s">
        <v>1006</v>
      </c>
      <c r="I69" s="331">
        <v>740.89</v>
      </c>
      <c r="J69" s="389">
        <v>740.89</v>
      </c>
      <c r="K69" s="333">
        <f t="shared" si="0"/>
        <v>0</v>
      </c>
      <c r="L69" s="329"/>
    </row>
    <row r="70" spans="1:16">
      <c r="A70" s="334">
        <v>56</v>
      </c>
      <c r="B70" s="354">
        <v>1662</v>
      </c>
      <c r="C70" s="328" t="s">
        <v>774</v>
      </c>
      <c r="D70" s="328" t="s">
        <v>823</v>
      </c>
      <c r="E70" s="329" t="s">
        <v>852</v>
      </c>
      <c r="F70" s="330"/>
      <c r="G70" s="331">
        <v>989.01</v>
      </c>
      <c r="H70" s="332" t="s">
        <v>1006</v>
      </c>
      <c r="I70" s="331">
        <v>989.01</v>
      </c>
      <c r="J70" s="389">
        <v>989.01</v>
      </c>
      <c r="K70" s="333">
        <f t="shared" ref="K70:K78" si="1">I70-J70</f>
        <v>0</v>
      </c>
      <c r="L70" s="329"/>
    </row>
    <row r="71" spans="1:16">
      <c r="A71" s="334"/>
      <c r="B71" s="354">
        <v>2339</v>
      </c>
      <c r="C71" s="328" t="s">
        <v>775</v>
      </c>
      <c r="D71" s="328" t="s">
        <v>1110</v>
      </c>
      <c r="E71" s="329" t="s">
        <v>854</v>
      </c>
      <c r="F71" s="330">
        <v>1</v>
      </c>
      <c r="G71" s="331">
        <v>1568.73</v>
      </c>
      <c r="H71" s="332">
        <v>0</v>
      </c>
      <c r="I71" s="331">
        <v>1568.73</v>
      </c>
      <c r="J71" s="389">
        <v>1568.73</v>
      </c>
      <c r="K71" s="333">
        <f t="shared" si="1"/>
        <v>0</v>
      </c>
      <c r="L71" s="329"/>
    </row>
    <row r="72" spans="1:16">
      <c r="A72" s="334">
        <v>58</v>
      </c>
      <c r="B72" s="354">
        <v>1630</v>
      </c>
      <c r="C72" s="328" t="s">
        <v>775</v>
      </c>
      <c r="D72" s="338" t="s">
        <v>824</v>
      </c>
      <c r="E72" s="329" t="s">
        <v>852</v>
      </c>
      <c r="F72" s="330"/>
      <c r="G72" s="331">
        <v>1352.5</v>
      </c>
      <c r="H72" s="332" t="s">
        <v>1006</v>
      </c>
      <c r="I72" s="331">
        <v>1352.5</v>
      </c>
      <c r="J72" s="389">
        <v>1352.5</v>
      </c>
      <c r="K72" s="333">
        <f t="shared" si="1"/>
        <v>0</v>
      </c>
      <c r="L72" s="329"/>
    </row>
    <row r="73" spans="1:16">
      <c r="A73" s="334"/>
      <c r="B73" s="354">
        <v>2337</v>
      </c>
      <c r="C73" s="328" t="s">
        <v>777</v>
      </c>
      <c r="D73" s="338" t="s">
        <v>1080</v>
      </c>
      <c r="E73" s="329" t="s">
        <v>852</v>
      </c>
      <c r="F73" s="330"/>
      <c r="G73" s="331">
        <v>685.81</v>
      </c>
      <c r="H73" s="332">
        <v>0</v>
      </c>
      <c r="I73" s="331">
        <v>685.81</v>
      </c>
      <c r="J73" s="389">
        <v>685.81</v>
      </c>
      <c r="K73" s="333">
        <f t="shared" si="1"/>
        <v>0</v>
      </c>
      <c r="L73" s="329"/>
    </row>
    <row r="74" spans="1:16">
      <c r="A74" s="334">
        <v>61</v>
      </c>
      <c r="B74" s="354">
        <v>2010</v>
      </c>
      <c r="C74" s="328" t="s">
        <v>777</v>
      </c>
      <c r="D74" s="328" t="s">
        <v>826</v>
      </c>
      <c r="E74" s="329" t="s">
        <v>852</v>
      </c>
      <c r="F74" s="330"/>
      <c r="G74" s="331">
        <v>1131.6199999999999</v>
      </c>
      <c r="H74" s="332" t="s">
        <v>1006</v>
      </c>
      <c r="I74" s="331">
        <v>1131.6199999999999</v>
      </c>
      <c r="J74" s="389">
        <v>1131.6199999999999</v>
      </c>
      <c r="K74" s="333">
        <f t="shared" si="1"/>
        <v>0</v>
      </c>
      <c r="L74" s="329"/>
    </row>
    <row r="75" spans="1:16">
      <c r="A75" s="334">
        <v>60</v>
      </c>
      <c r="B75" s="354">
        <v>2187</v>
      </c>
      <c r="C75" s="328" t="s">
        <v>777</v>
      </c>
      <c r="D75" s="328" t="s">
        <v>827</v>
      </c>
      <c r="E75" s="329" t="s">
        <v>853</v>
      </c>
      <c r="F75" s="330">
        <v>2</v>
      </c>
      <c r="G75" s="331">
        <v>2082.5100000000002</v>
      </c>
      <c r="H75" s="332" t="s">
        <v>1006</v>
      </c>
      <c r="I75" s="391">
        <v>2082.5100000000002</v>
      </c>
      <c r="J75" s="389">
        <v>2082.5100000000002</v>
      </c>
      <c r="K75" s="333">
        <f t="shared" si="1"/>
        <v>0</v>
      </c>
      <c r="L75" s="329"/>
    </row>
    <row r="76" spans="1:16">
      <c r="A76" s="334">
        <v>63</v>
      </c>
      <c r="B76" s="354">
        <v>2064</v>
      </c>
      <c r="C76" s="328" t="s">
        <v>778</v>
      </c>
      <c r="D76" s="338" t="s">
        <v>829</v>
      </c>
      <c r="E76" s="341" t="s">
        <v>856</v>
      </c>
      <c r="F76" s="330">
        <v>2</v>
      </c>
      <c r="G76" s="331">
        <v>1797.13</v>
      </c>
      <c r="H76" s="332">
        <v>659.88</v>
      </c>
      <c r="I76" s="332">
        <f>SUM(G76:H76)</f>
        <v>2457.0100000000002</v>
      </c>
      <c r="J76" s="333">
        <v>2457.0100000000002</v>
      </c>
      <c r="K76" s="333">
        <f t="shared" si="1"/>
        <v>0</v>
      </c>
      <c r="L76" s="329"/>
    </row>
    <row r="77" spans="1:16">
      <c r="A77" s="334"/>
      <c r="B77" s="354">
        <v>2335</v>
      </c>
      <c r="C77" s="328" t="s">
        <v>870</v>
      </c>
      <c r="D77" s="338" t="s">
        <v>1081</v>
      </c>
      <c r="E77" s="382" t="s">
        <v>852</v>
      </c>
      <c r="F77" s="330"/>
      <c r="G77" s="331">
        <v>607.54999999999995</v>
      </c>
      <c r="H77" s="332">
        <v>0</v>
      </c>
      <c r="I77" s="331">
        <v>607.54999999999995</v>
      </c>
      <c r="J77" s="389">
        <v>607.54999999999995</v>
      </c>
      <c r="K77" s="333">
        <v>0</v>
      </c>
      <c r="L77" s="329"/>
    </row>
    <row r="78" spans="1:16">
      <c r="A78" s="334"/>
      <c r="B78" s="354">
        <v>2089</v>
      </c>
      <c r="C78" s="328" t="s">
        <v>870</v>
      </c>
      <c r="D78" s="338" t="s">
        <v>1007</v>
      </c>
      <c r="E78" s="329" t="s">
        <v>854</v>
      </c>
      <c r="F78" s="330">
        <v>1</v>
      </c>
      <c r="G78" s="331">
        <v>1161.55</v>
      </c>
      <c r="H78" s="332" t="s">
        <v>1006</v>
      </c>
      <c r="I78" s="331">
        <v>1161.55</v>
      </c>
      <c r="J78" s="389">
        <v>1161.55</v>
      </c>
      <c r="K78" s="333">
        <f t="shared" si="1"/>
        <v>0</v>
      </c>
    </row>
    <row r="79" spans="1:16">
      <c r="A79" s="7"/>
      <c r="B79" s="66"/>
      <c r="C79" s="29"/>
      <c r="D79" s="29"/>
      <c r="E79" s="410"/>
      <c r="F79" s="411"/>
      <c r="G79" s="412"/>
      <c r="H79" s="413">
        <f>SUM(H5:H78)</f>
        <v>4533.76</v>
      </c>
      <c r="I79" s="412"/>
      <c r="J79" s="414"/>
      <c r="K79" s="414"/>
      <c r="L79" s="385"/>
      <c r="M79" s="216"/>
      <c r="O79" s="15"/>
      <c r="P79" s="15"/>
    </row>
    <row r="80" spans="1:16">
      <c r="A80" s="7"/>
      <c r="B80" s="66"/>
      <c r="C80" s="29"/>
      <c r="D80" s="29"/>
      <c r="E80" s="410"/>
      <c r="F80" s="411"/>
      <c r="G80" s="412"/>
      <c r="H80" s="413"/>
      <c r="I80" s="412"/>
      <c r="J80" s="414"/>
      <c r="K80" s="414"/>
      <c r="L80" s="385"/>
      <c r="M80" s="216"/>
      <c r="O80" s="15"/>
      <c r="P80" s="15"/>
    </row>
    <row r="81" spans="1:20">
      <c r="A81" s="7"/>
      <c r="B81" s="66"/>
      <c r="C81" s="29"/>
      <c r="D81" s="29"/>
      <c r="E81" s="410"/>
      <c r="F81" s="411"/>
      <c r="G81" s="412"/>
      <c r="H81" s="413"/>
      <c r="I81" s="412"/>
      <c r="J81" s="414"/>
      <c r="K81" s="414"/>
      <c r="L81" s="385"/>
      <c r="M81" s="216"/>
      <c r="O81" s="15"/>
      <c r="P81" s="15"/>
    </row>
    <row r="82" spans="1:20">
      <c r="A82" s="7"/>
      <c r="B82" s="354">
        <v>2288</v>
      </c>
      <c r="C82" s="328" t="s">
        <v>772</v>
      </c>
      <c r="D82" s="338" t="s">
        <v>820</v>
      </c>
      <c r="E82" s="329" t="s">
        <v>852</v>
      </c>
      <c r="F82" s="330"/>
      <c r="G82" s="331">
        <v>648.71</v>
      </c>
      <c r="H82" s="412"/>
      <c r="I82" s="331">
        <v>648.71</v>
      </c>
      <c r="J82" s="331">
        <v>648.71</v>
      </c>
      <c r="K82" s="333">
        <f t="shared" ref="K82" si="2">I82-J82</f>
        <v>0</v>
      </c>
      <c r="L82" s="196" t="s">
        <v>1128</v>
      </c>
      <c r="M82" s="216"/>
      <c r="O82" s="15"/>
      <c r="P82" s="15"/>
    </row>
    <row r="83" spans="1:20">
      <c r="A83" s="7"/>
      <c r="B83" s="354"/>
      <c r="C83" s="328"/>
      <c r="D83" s="338"/>
      <c r="E83" s="329"/>
      <c r="F83" s="330"/>
      <c r="G83" s="331"/>
      <c r="H83" s="412"/>
      <c r="I83" s="331" t="s">
        <v>1113</v>
      </c>
      <c r="J83" s="415">
        <f>SUM(J82:J82)</f>
        <v>648.71</v>
      </c>
      <c r="K83" s="333"/>
      <c r="L83" s="385"/>
      <c r="M83" s="216"/>
      <c r="O83" s="15"/>
      <c r="P83" s="15"/>
    </row>
    <row r="84" spans="1:20">
      <c r="A84" s="438" t="s">
        <v>652</v>
      </c>
      <c r="B84" s="439"/>
      <c r="C84" s="439"/>
      <c r="D84" s="439"/>
      <c r="E84" s="439"/>
      <c r="F84" s="439"/>
      <c r="G84" s="440"/>
      <c r="H84" s="347"/>
      <c r="I84" s="348">
        <f>SUM(I5:I78)</f>
        <v>98547.059999999983</v>
      </c>
      <c r="J84" s="383">
        <f>SUM(J5:J78)</f>
        <v>98547.049999999988</v>
      </c>
      <c r="K84" s="383"/>
      <c r="L84" s="386"/>
    </row>
    <row r="85" spans="1:20">
      <c r="A85" s="441" t="s">
        <v>1028</v>
      </c>
      <c r="B85" s="442"/>
      <c r="C85" s="443"/>
      <c r="D85" s="351"/>
      <c r="E85" s="352" t="s">
        <v>258</v>
      </c>
      <c r="F85" s="334">
        <v>73</v>
      </c>
      <c r="G85" s="329" t="s">
        <v>1029</v>
      </c>
      <c r="H85" s="351"/>
      <c r="I85" s="352" t="s">
        <v>258</v>
      </c>
      <c r="J85" s="343">
        <v>74</v>
      </c>
      <c r="K85" s="343"/>
      <c r="L85" s="161"/>
    </row>
    <row r="86" spans="1:20">
      <c r="A86" s="353"/>
      <c r="B86" s="352"/>
      <c r="C86" s="351"/>
      <c r="D86" s="351"/>
      <c r="E86" s="351" t="s">
        <v>930</v>
      </c>
      <c r="F86" s="330">
        <v>4</v>
      </c>
      <c r="G86" s="329"/>
      <c r="H86" s="351"/>
      <c r="I86" s="351" t="s">
        <v>930</v>
      </c>
      <c r="J86" s="343">
        <v>4</v>
      </c>
      <c r="K86" s="343"/>
      <c r="L86" s="161"/>
    </row>
    <row r="87" spans="1:20">
      <c r="A87" s="441"/>
      <c r="B87" s="442"/>
      <c r="C87" s="443"/>
      <c r="D87" s="351"/>
      <c r="E87" s="352" t="s">
        <v>931</v>
      </c>
      <c r="F87" s="355">
        <v>26</v>
      </c>
      <c r="G87" s="329"/>
      <c r="H87" s="351"/>
      <c r="I87" s="352" t="s">
        <v>931</v>
      </c>
      <c r="J87" s="343">
        <v>26</v>
      </c>
      <c r="K87" s="343"/>
      <c r="L87" s="161"/>
    </row>
    <row r="88" spans="1:20">
      <c r="A88" s="444"/>
      <c r="B88" s="445"/>
      <c r="C88" s="446"/>
      <c r="D88" s="356"/>
      <c r="E88" s="357" t="s">
        <v>246</v>
      </c>
      <c r="F88" s="358">
        <v>103</v>
      </c>
      <c r="G88" s="329"/>
      <c r="H88" s="393"/>
      <c r="I88" s="394" t="s">
        <v>246</v>
      </c>
      <c r="J88" s="395">
        <v>104</v>
      </c>
      <c r="K88" s="395"/>
      <c r="L88" s="161"/>
    </row>
    <row r="89" spans="1:20">
      <c r="A89" s="447" t="s">
        <v>830</v>
      </c>
      <c r="B89" s="448"/>
      <c r="C89" s="448"/>
      <c r="D89" s="448"/>
      <c r="E89" s="448"/>
      <c r="F89" s="448"/>
      <c r="G89" s="448"/>
      <c r="H89" s="381"/>
      <c r="I89" s="381"/>
      <c r="J89" s="396"/>
      <c r="K89" s="396"/>
      <c r="L89" s="392"/>
      <c r="N89" s="15"/>
    </row>
    <row r="90" spans="1:20">
      <c r="A90" s="334"/>
      <c r="B90" s="354">
        <v>2279</v>
      </c>
      <c r="C90" s="328" t="s">
        <v>769</v>
      </c>
      <c r="D90" s="328" t="s">
        <v>843</v>
      </c>
      <c r="E90" s="329" t="s">
        <v>852</v>
      </c>
      <c r="F90" s="330"/>
      <c r="G90" s="331">
        <v>-607.54999999999995</v>
      </c>
      <c r="H90" s="332" t="s">
        <v>1006</v>
      </c>
      <c r="I90" s="331">
        <v>-607.54999999999995</v>
      </c>
      <c r="J90" s="389">
        <v>-607.54999999999995</v>
      </c>
      <c r="K90" s="333"/>
      <c r="L90" s="196" t="s">
        <v>1152</v>
      </c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38"/>
      <c r="E91" s="329"/>
      <c r="F91" s="330"/>
      <c r="G91" s="331"/>
      <c r="H91" s="332"/>
      <c r="I91" s="331"/>
      <c r="J91" s="389"/>
      <c r="K91" s="333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28"/>
      <c r="E92" s="329"/>
      <c r="F92" s="330"/>
      <c r="G92" s="331"/>
      <c r="H92" s="332"/>
      <c r="I92" s="331"/>
      <c r="J92" s="389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28"/>
      <c r="E93" s="329"/>
      <c r="F93" s="330"/>
      <c r="G93" s="331"/>
      <c r="H93" s="332"/>
      <c r="I93" s="331"/>
      <c r="J93" s="38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28"/>
      <c r="E94" s="329"/>
      <c r="F94" s="330"/>
      <c r="G94" s="331"/>
      <c r="H94" s="332"/>
      <c r="I94" s="331"/>
      <c r="J94" s="38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28"/>
      <c r="E95" s="329"/>
      <c r="F95" s="330"/>
      <c r="G95" s="331"/>
      <c r="H95" s="332"/>
      <c r="I95" s="331"/>
      <c r="J95" s="38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29"/>
      <c r="F96" s="330"/>
      <c r="G96" s="331"/>
      <c r="H96" s="332"/>
      <c r="I96" s="331"/>
      <c r="J96" s="389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28"/>
      <c r="E97" s="329"/>
      <c r="F97" s="330"/>
      <c r="G97" s="331"/>
      <c r="H97" s="332"/>
      <c r="I97" s="331"/>
      <c r="J97" s="389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28"/>
      <c r="E98" s="329"/>
      <c r="F98" s="330"/>
      <c r="G98" s="331"/>
      <c r="H98" s="332"/>
      <c r="I98" s="331"/>
      <c r="J98" s="389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28"/>
      <c r="E99" s="329"/>
      <c r="F99" s="330"/>
      <c r="G99" s="331"/>
      <c r="H99" s="332"/>
      <c r="I99" s="331"/>
      <c r="J99" s="389"/>
      <c r="K99" s="333"/>
      <c r="L99" s="196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28"/>
      <c r="E100" s="329"/>
      <c r="F100" s="330"/>
      <c r="G100" s="331"/>
      <c r="H100" s="332"/>
      <c r="I100" s="331"/>
      <c r="J100" s="389"/>
      <c r="K100" s="333"/>
      <c r="L100" s="196"/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/>
      <c r="C101" s="328"/>
      <c r="D101" s="328"/>
      <c r="E101" s="329"/>
      <c r="F101" s="330"/>
      <c r="G101" s="331"/>
      <c r="H101" s="332"/>
      <c r="I101" s="332"/>
      <c r="J101" s="333"/>
      <c r="K101" s="333"/>
      <c r="L101" s="161"/>
      <c r="N101" s="15"/>
    </row>
    <row r="102" spans="1:20">
      <c r="A102" s="438" t="s">
        <v>846</v>
      </c>
      <c r="B102" s="439"/>
      <c r="C102" s="439"/>
      <c r="D102" s="439"/>
      <c r="E102" s="439"/>
      <c r="F102" s="439"/>
      <c r="G102" s="440"/>
      <c r="H102" s="348">
        <f>SUM(H90:H101)</f>
        <v>0</v>
      </c>
      <c r="I102" s="347"/>
      <c r="J102" s="348">
        <f>SUM(J90:J101)</f>
        <v>-607.54999999999995</v>
      </c>
      <c r="K102" s="406"/>
      <c r="L102" s="402"/>
    </row>
    <row r="103" spans="1:20">
      <c r="A103" s="365"/>
      <c r="B103" s="366"/>
      <c r="C103" s="366"/>
      <c r="D103" s="366"/>
      <c r="E103" s="366"/>
      <c r="F103" s="367"/>
      <c r="G103" s="368"/>
      <c r="H103" s="368"/>
      <c r="I103" s="368"/>
      <c r="J103" s="349"/>
      <c r="K103" s="383"/>
      <c r="L103" s="364"/>
    </row>
    <row r="104" spans="1:20" ht="16">
      <c r="A104" s="435" t="s">
        <v>881</v>
      </c>
      <c r="B104" s="436"/>
      <c r="C104" s="436"/>
      <c r="D104" s="436"/>
      <c r="E104" s="436"/>
      <c r="F104" s="436"/>
      <c r="G104" s="437"/>
      <c r="H104" s="369"/>
      <c r="I104" s="369"/>
      <c r="J104" s="370">
        <f>SUM(J84,J102)</f>
        <v>97939.499999999985</v>
      </c>
      <c r="K104" s="407"/>
      <c r="L104" s="350"/>
    </row>
    <row r="105" spans="1:20" ht="18">
      <c r="F105" s="3"/>
      <c r="G105" s="371" t="s">
        <v>1013</v>
      </c>
      <c r="H105" s="372">
        <v>45730</v>
      </c>
    </row>
    <row r="106" spans="1:20" ht="18">
      <c r="F106" s="3"/>
      <c r="G106" s="371" t="s">
        <v>1014</v>
      </c>
      <c r="H106" s="373" t="s">
        <v>990</v>
      </c>
      <c r="I106" s="373"/>
    </row>
    <row r="107" spans="1:20">
      <c r="F107" s="3"/>
      <c r="G107" s="216"/>
      <c r="H107" s="216"/>
      <c r="I107" s="216"/>
      <c r="J107" s="3"/>
      <c r="K107" s="3"/>
      <c r="L107" s="15"/>
      <c r="M107" s="216"/>
    </row>
    <row r="108" spans="1:20">
      <c r="F108" s="3"/>
      <c r="G108" s="216"/>
      <c r="H108" s="269"/>
      <c r="I108" s="216"/>
      <c r="J108" s="270"/>
      <c r="K108" s="270"/>
      <c r="L108" s="15"/>
      <c r="M108" s="216"/>
    </row>
    <row r="109" spans="1:20">
      <c r="F109" s="3"/>
      <c r="G109" s="216"/>
      <c r="H109" s="269" t="s">
        <v>1145</v>
      </c>
      <c r="I109" s="216" t="s">
        <v>1144</v>
      </c>
      <c r="J109" s="270" t="s">
        <v>1112</v>
      </c>
      <c r="K109" s="270"/>
      <c r="L109" s="15"/>
      <c r="M109" s="216"/>
    </row>
    <row r="110" spans="1:20">
      <c r="F110" s="3"/>
      <c r="G110" s="216"/>
      <c r="H110" s="388">
        <f>SUM(H79,H102)</f>
        <v>4533.76</v>
      </c>
      <c r="I110" s="269">
        <f>J104-H110</f>
        <v>93405.739999999991</v>
      </c>
      <c r="J110" s="270">
        <f>SUM(J82:J82)</f>
        <v>648.71</v>
      </c>
      <c r="K110" s="3"/>
      <c r="L110" s="15"/>
      <c r="M110" s="216"/>
    </row>
    <row r="111" spans="1:20">
      <c r="F111" s="3"/>
      <c r="G111" s="216"/>
      <c r="H111" s="216"/>
      <c r="I111" s="216"/>
      <c r="J111" s="3"/>
      <c r="K111" s="3"/>
      <c r="L111" s="15"/>
      <c r="M111" s="216"/>
      <c r="Q111" s="3"/>
      <c r="R111" s="3"/>
      <c r="S111" s="3"/>
      <c r="T111" s="3"/>
    </row>
  </sheetData>
  <mergeCells count="7">
    <mergeCell ref="A104:G104"/>
    <mergeCell ref="A84:G84"/>
    <mergeCell ref="A85:C85"/>
    <mergeCell ref="A87:C87"/>
    <mergeCell ref="A88:C88"/>
    <mergeCell ref="A89:G89"/>
    <mergeCell ref="A102:G10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3E6B-6537-1440-AE6D-993FABA14F90}">
  <dimension ref="A1:T112"/>
  <sheetViews>
    <sheetView topLeftCell="C90" zoomScale="181" zoomScaleNormal="170" workbookViewId="0">
      <selection activeCell="C90" sqref="A1:XFD1048576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20.1640625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45778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70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1711.35</v>
      </c>
      <c r="H8" s="332" t="s">
        <v>1006</v>
      </c>
      <c r="I8" s="332">
        <v>1711.35</v>
      </c>
      <c r="J8" s="335">
        <v>1711.35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2063.59</v>
      </c>
      <c r="H9" s="332" t="s">
        <v>1006</v>
      </c>
      <c r="I9" s="331">
        <v>2063.59</v>
      </c>
      <c r="J9" s="389">
        <v>2063.59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409">
        <v>1998.08</v>
      </c>
      <c r="H10" s="332" t="s">
        <v>1006</v>
      </c>
      <c r="I10" s="409">
        <v>1998.08</v>
      </c>
      <c r="J10" s="389">
        <v>1998.08</v>
      </c>
      <c r="K10" s="333">
        <f t="shared" si="0"/>
        <v>0</v>
      </c>
      <c r="L10" s="329"/>
    </row>
    <row r="11" spans="1:20">
      <c r="A11" s="334"/>
      <c r="B11" s="354">
        <v>2341</v>
      </c>
      <c r="C11" s="328" t="s">
        <v>460</v>
      </c>
      <c r="D11" s="328" t="s">
        <v>1102</v>
      </c>
      <c r="E11" s="329" t="s">
        <v>852</v>
      </c>
      <c r="F11" s="330"/>
      <c r="G11" s="331">
        <v>1035.3900000000001</v>
      </c>
      <c r="H11" s="332">
        <v>0</v>
      </c>
      <c r="I11" s="331">
        <v>1035.3900000000001</v>
      </c>
      <c r="J11" s="389">
        <v>1035.3900000000001</v>
      </c>
      <c r="K11" s="333">
        <f t="shared" si="0"/>
        <v>0</v>
      </c>
      <c r="L11" s="329"/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1629.03</v>
      </c>
      <c r="H12" s="332" t="s">
        <v>1006</v>
      </c>
      <c r="I12" s="331">
        <v>1629.03</v>
      </c>
      <c r="J12" s="389">
        <v>1629.03</v>
      </c>
      <c r="K12" s="333">
        <f t="shared" si="0"/>
        <v>0</v>
      </c>
      <c r="L12" s="329"/>
    </row>
    <row r="13" spans="1:20">
      <c r="A13" s="334"/>
      <c r="B13" s="354">
        <v>2285</v>
      </c>
      <c r="C13" s="328" t="s">
        <v>745</v>
      </c>
      <c r="D13" s="328" t="s">
        <v>1117</v>
      </c>
      <c r="E13" s="329" t="s">
        <v>852</v>
      </c>
      <c r="F13" s="330"/>
      <c r="G13" s="331">
        <v>593.64</v>
      </c>
      <c r="H13" s="332"/>
      <c r="I13" s="331">
        <v>593.64</v>
      </c>
      <c r="J13" s="389">
        <v>593.64</v>
      </c>
      <c r="K13" s="333"/>
      <c r="L13" s="329"/>
    </row>
    <row r="14" spans="1:20">
      <c r="A14" s="334">
        <v>8</v>
      </c>
      <c r="B14" s="354">
        <v>2131</v>
      </c>
      <c r="C14" s="328" t="s">
        <v>745</v>
      </c>
      <c r="D14" s="338" t="s">
        <v>784</v>
      </c>
      <c r="E14" s="329" t="s">
        <v>852</v>
      </c>
      <c r="F14" s="330"/>
      <c r="G14" s="331">
        <v>703.79</v>
      </c>
      <c r="H14" s="332" t="s">
        <v>1006</v>
      </c>
      <c r="I14" s="331">
        <v>703.79</v>
      </c>
      <c r="J14" s="389">
        <v>703.79</v>
      </c>
      <c r="K14" s="333">
        <f t="shared" si="0"/>
        <v>0</v>
      </c>
      <c r="L14" s="329"/>
      <c r="P14" s="1"/>
      <c r="Q14" s="1"/>
      <c r="R14" s="1"/>
      <c r="S14" s="1"/>
      <c r="T14" s="1"/>
    </row>
    <row r="15" spans="1:20">
      <c r="A15" s="334">
        <v>7</v>
      </c>
      <c r="B15" s="354">
        <v>1751</v>
      </c>
      <c r="C15" s="328" t="s">
        <v>745</v>
      </c>
      <c r="D15" s="339" t="s">
        <v>838</v>
      </c>
      <c r="E15" s="329" t="s">
        <v>852</v>
      </c>
      <c r="F15" s="330"/>
      <c r="G15" s="331">
        <v>989.01</v>
      </c>
      <c r="H15" s="332" t="s">
        <v>1006</v>
      </c>
      <c r="I15" s="331">
        <v>989.01</v>
      </c>
      <c r="J15" s="389">
        <v>989.01</v>
      </c>
      <c r="K15" s="333">
        <f t="shared" si="0"/>
        <v>0</v>
      </c>
      <c r="L15" s="329"/>
    </row>
    <row r="16" spans="1:20">
      <c r="A16" s="334">
        <v>9</v>
      </c>
      <c r="B16" s="354">
        <v>2023</v>
      </c>
      <c r="C16" s="328" t="s">
        <v>745</v>
      </c>
      <c r="D16" s="339" t="s">
        <v>783</v>
      </c>
      <c r="E16" s="329" t="s">
        <v>852</v>
      </c>
      <c r="F16" s="330"/>
      <c r="G16" s="331">
        <v>740.89</v>
      </c>
      <c r="H16" s="332" t="s">
        <v>1006</v>
      </c>
      <c r="I16" s="331">
        <v>740.89</v>
      </c>
      <c r="J16" s="389">
        <v>740.89</v>
      </c>
      <c r="K16" s="333">
        <f t="shared" si="0"/>
        <v>0</v>
      </c>
      <c r="L16" s="328"/>
      <c r="P16" s="1"/>
      <c r="Q16" s="1"/>
      <c r="R16" s="1"/>
      <c r="S16" s="1"/>
      <c r="T16" s="1"/>
    </row>
    <row r="17" spans="1:20">
      <c r="A17" s="334"/>
      <c r="B17" s="374">
        <v>2302</v>
      </c>
      <c r="C17" s="336" t="s">
        <v>806</v>
      </c>
      <c r="D17" s="339" t="s">
        <v>952</v>
      </c>
      <c r="E17" s="329" t="s">
        <v>852</v>
      </c>
      <c r="F17" s="330"/>
      <c r="G17" s="331">
        <v>717.7</v>
      </c>
      <c r="H17" s="332" t="s">
        <v>1006</v>
      </c>
      <c r="I17" s="331">
        <v>717.7</v>
      </c>
      <c r="J17" s="389">
        <v>717.7</v>
      </c>
      <c r="K17" s="333">
        <f t="shared" si="0"/>
        <v>0</v>
      </c>
      <c r="L17" s="340"/>
      <c r="P17" s="1"/>
      <c r="Q17" s="1"/>
      <c r="R17" s="1"/>
      <c r="S17" s="1"/>
      <c r="T17" s="1"/>
    </row>
    <row r="18" spans="1:20">
      <c r="A18" s="334">
        <v>10</v>
      </c>
      <c r="B18" s="375">
        <v>2254</v>
      </c>
      <c r="C18" s="328" t="s">
        <v>840</v>
      </c>
      <c r="D18" s="328" t="s">
        <v>841</v>
      </c>
      <c r="E18" s="341" t="s">
        <v>855</v>
      </c>
      <c r="F18" s="330">
        <v>1</v>
      </c>
      <c r="G18" s="331">
        <v>1348.64</v>
      </c>
      <c r="H18" s="332">
        <v>604.79999999999995</v>
      </c>
      <c r="I18" s="332">
        <v>1953.45</v>
      </c>
      <c r="J18" s="333">
        <v>1953.45</v>
      </c>
      <c r="K18" s="333">
        <f t="shared" si="0"/>
        <v>0</v>
      </c>
      <c r="L18" s="329"/>
    </row>
    <row r="19" spans="1:20">
      <c r="A19" s="334"/>
      <c r="B19" s="354">
        <v>2308</v>
      </c>
      <c r="C19" s="328" t="s">
        <v>1118</v>
      </c>
      <c r="D19" s="328" t="s">
        <v>1119</v>
      </c>
      <c r="E19" s="382" t="s">
        <v>852</v>
      </c>
      <c r="F19" s="330"/>
      <c r="G19" s="331">
        <v>947.85</v>
      </c>
      <c r="H19" s="332">
        <v>0</v>
      </c>
      <c r="I19" s="332">
        <v>947.85</v>
      </c>
      <c r="J19" s="389">
        <v>947.85</v>
      </c>
      <c r="K19" s="333"/>
      <c r="L19" s="329"/>
    </row>
    <row r="20" spans="1:20">
      <c r="A20" s="334">
        <v>11</v>
      </c>
      <c r="B20" s="354">
        <v>1721</v>
      </c>
      <c r="C20" s="328" t="s">
        <v>746</v>
      </c>
      <c r="D20" s="328" t="s">
        <v>785</v>
      </c>
      <c r="E20" s="329" t="s">
        <v>854</v>
      </c>
      <c r="F20" s="330">
        <v>1</v>
      </c>
      <c r="G20" s="331">
        <v>1665.55</v>
      </c>
      <c r="H20" s="332" t="s">
        <v>1006</v>
      </c>
      <c r="I20" s="331">
        <v>1665.55</v>
      </c>
      <c r="J20" s="389">
        <v>1665.55</v>
      </c>
      <c r="K20" s="333">
        <f t="shared" si="0"/>
        <v>0</v>
      </c>
      <c r="L20" s="161"/>
    </row>
    <row r="21" spans="1:20">
      <c r="A21" s="334">
        <v>12</v>
      </c>
      <c r="B21" s="354">
        <v>2123</v>
      </c>
      <c r="C21" s="328" t="s">
        <v>746</v>
      </c>
      <c r="D21" s="328" t="s">
        <v>786</v>
      </c>
      <c r="E21" s="329" t="s">
        <v>852</v>
      </c>
      <c r="F21" s="330"/>
      <c r="G21" s="331">
        <v>754.8</v>
      </c>
      <c r="H21" s="332" t="s">
        <v>1006</v>
      </c>
      <c r="I21" s="331">
        <v>754.8</v>
      </c>
      <c r="J21" s="389">
        <v>754.8</v>
      </c>
      <c r="K21" s="333">
        <f t="shared" si="0"/>
        <v>0</v>
      </c>
      <c r="L21" s="161"/>
    </row>
    <row r="22" spans="1:20">
      <c r="A22" s="334">
        <v>13</v>
      </c>
      <c r="B22" s="354">
        <v>1970</v>
      </c>
      <c r="C22" s="328" t="s">
        <v>747</v>
      </c>
      <c r="D22" s="338" t="s">
        <v>787</v>
      </c>
      <c r="E22" s="329" t="s">
        <v>854</v>
      </c>
      <c r="F22" s="330">
        <v>1</v>
      </c>
      <c r="G22" s="331">
        <v>1320.82</v>
      </c>
      <c r="H22" s="332">
        <v>618.14</v>
      </c>
      <c r="I22" s="331">
        <f>H22+G22</f>
        <v>1938.96</v>
      </c>
      <c r="J22" s="389">
        <v>1938.96</v>
      </c>
      <c r="K22" s="333">
        <f t="shared" si="0"/>
        <v>0</v>
      </c>
      <c r="L22" s="161"/>
    </row>
    <row r="23" spans="1:20">
      <c r="A23" s="334">
        <v>14</v>
      </c>
      <c r="B23" s="376" t="s">
        <v>934</v>
      </c>
      <c r="C23" s="328" t="s">
        <v>932</v>
      </c>
      <c r="D23" s="338" t="s">
        <v>933</v>
      </c>
      <c r="E23" s="329" t="s">
        <v>851</v>
      </c>
      <c r="F23" s="330"/>
      <c r="G23" s="331">
        <v>808</v>
      </c>
      <c r="H23" s="332">
        <v>480.16</v>
      </c>
      <c r="I23" s="332">
        <f>SUM(G23:H23)</f>
        <v>1288.1600000000001</v>
      </c>
      <c r="J23" s="333">
        <v>1288.1500000000001</v>
      </c>
      <c r="K23" s="333">
        <f t="shared" si="0"/>
        <v>9.9999999999909051E-3</v>
      </c>
      <c r="L23" s="188"/>
    </row>
    <row r="24" spans="1:20">
      <c r="A24" s="334">
        <v>15</v>
      </c>
      <c r="B24" s="354">
        <v>1794</v>
      </c>
      <c r="C24" s="328" t="s">
        <v>466</v>
      </c>
      <c r="D24" s="328" t="s">
        <v>431</v>
      </c>
      <c r="E24" s="329" t="s">
        <v>854</v>
      </c>
      <c r="F24" s="330">
        <v>1</v>
      </c>
      <c r="G24" s="331">
        <v>1713.66</v>
      </c>
      <c r="H24" s="332" t="s">
        <v>1006</v>
      </c>
      <c r="I24" s="331">
        <v>1713.66</v>
      </c>
      <c r="J24" s="389">
        <v>1713.66</v>
      </c>
      <c r="K24" s="333">
        <f t="shared" si="0"/>
        <v>0</v>
      </c>
      <c r="L24" s="161"/>
      <c r="P24" s="1"/>
      <c r="Q24" s="1"/>
      <c r="R24" s="1"/>
      <c r="S24" s="1"/>
      <c r="T24" s="1"/>
    </row>
    <row r="25" spans="1:20">
      <c r="A25" s="334">
        <v>16</v>
      </c>
      <c r="B25" s="354">
        <v>2201</v>
      </c>
      <c r="C25" s="328" t="s">
        <v>748</v>
      </c>
      <c r="D25" s="338" t="s">
        <v>788</v>
      </c>
      <c r="E25" s="329" t="s">
        <v>852</v>
      </c>
      <c r="F25" s="330"/>
      <c r="G25" s="331">
        <v>1412.79</v>
      </c>
      <c r="H25" s="332" t="s">
        <v>1006</v>
      </c>
      <c r="I25" s="331">
        <v>1412.79</v>
      </c>
      <c r="J25" s="389">
        <v>1412.79</v>
      </c>
      <c r="K25" s="333">
        <f t="shared" si="0"/>
        <v>0</v>
      </c>
      <c r="L25" s="161"/>
    </row>
    <row r="26" spans="1:20">
      <c r="A26" s="334">
        <v>17</v>
      </c>
      <c r="B26" s="354">
        <v>2194</v>
      </c>
      <c r="C26" s="328" t="s">
        <v>749</v>
      </c>
      <c r="D26" s="338" t="s">
        <v>789</v>
      </c>
      <c r="E26" s="329" t="s">
        <v>852</v>
      </c>
      <c r="F26" s="330"/>
      <c r="G26" s="331">
        <v>657.99</v>
      </c>
      <c r="H26" s="332" t="s">
        <v>1006</v>
      </c>
      <c r="I26" s="331">
        <v>657.99</v>
      </c>
      <c r="J26" s="389">
        <v>657.99</v>
      </c>
      <c r="K26" s="333">
        <f t="shared" si="0"/>
        <v>0</v>
      </c>
      <c r="L26" s="161"/>
    </row>
    <row r="27" spans="1:20">
      <c r="A27" s="334"/>
      <c r="B27" s="354">
        <v>1961</v>
      </c>
      <c r="C27" s="328" t="s">
        <v>967</v>
      </c>
      <c r="D27" s="338" t="s">
        <v>968</v>
      </c>
      <c r="E27" s="329" t="s">
        <v>852</v>
      </c>
      <c r="F27" s="330"/>
      <c r="G27" s="409">
        <v>1509.02</v>
      </c>
      <c r="H27" s="332" t="s">
        <v>1006</v>
      </c>
      <c r="I27" s="409">
        <v>1509.02</v>
      </c>
      <c r="J27" s="389">
        <v>1509.02</v>
      </c>
      <c r="K27" s="333">
        <f t="shared" si="0"/>
        <v>0</v>
      </c>
      <c r="L27" s="161"/>
    </row>
    <row r="28" spans="1:20">
      <c r="A28" s="334">
        <v>18</v>
      </c>
      <c r="B28" s="354">
        <v>2289</v>
      </c>
      <c r="C28" s="328" t="s">
        <v>750</v>
      </c>
      <c r="D28" s="338" t="s">
        <v>790</v>
      </c>
      <c r="E28" s="329" t="s">
        <v>852</v>
      </c>
      <c r="F28" s="330"/>
      <c r="G28" s="331">
        <v>740.89</v>
      </c>
      <c r="H28" s="332" t="s">
        <v>1006</v>
      </c>
      <c r="I28" s="331">
        <v>740.89</v>
      </c>
      <c r="J28" s="389">
        <v>740.89</v>
      </c>
      <c r="K28" s="333">
        <f t="shared" si="0"/>
        <v>0</v>
      </c>
      <c r="L28" s="161"/>
    </row>
    <row r="29" spans="1:20">
      <c r="A29" s="334"/>
      <c r="B29" s="354">
        <v>2322</v>
      </c>
      <c r="C29" s="328" t="s">
        <v>1023</v>
      </c>
      <c r="D29" s="338" t="s">
        <v>1024</v>
      </c>
      <c r="E29" s="329" t="s">
        <v>852</v>
      </c>
      <c r="F29" s="330"/>
      <c r="G29" s="331">
        <v>582.04</v>
      </c>
      <c r="H29" s="332">
        <v>0</v>
      </c>
      <c r="I29" s="332">
        <v>582.04</v>
      </c>
      <c r="J29" s="335">
        <v>582.04</v>
      </c>
      <c r="K29" s="333">
        <f t="shared" si="0"/>
        <v>0</v>
      </c>
      <c r="L29" s="161"/>
    </row>
    <row r="30" spans="1:20">
      <c r="A30" s="334">
        <v>20</v>
      </c>
      <c r="B30" s="354">
        <v>2250</v>
      </c>
      <c r="C30" s="328" t="s">
        <v>752</v>
      </c>
      <c r="D30" s="328" t="s">
        <v>792</v>
      </c>
      <c r="E30" s="329" t="s">
        <v>853</v>
      </c>
      <c r="F30" s="330">
        <v>2</v>
      </c>
      <c r="G30" s="331">
        <v>1709.74</v>
      </c>
      <c r="H30" s="332" t="s">
        <v>1006</v>
      </c>
      <c r="I30" s="331">
        <v>1709.74</v>
      </c>
      <c r="J30" s="389">
        <v>1709.74</v>
      </c>
      <c r="K30" s="333">
        <f t="shared" si="0"/>
        <v>0</v>
      </c>
      <c r="L30" s="161"/>
    </row>
    <row r="31" spans="1:20">
      <c r="A31" s="334"/>
      <c r="B31" s="354">
        <v>2298</v>
      </c>
      <c r="C31" s="328" t="s">
        <v>752</v>
      </c>
      <c r="D31" s="328" t="s">
        <v>1106</v>
      </c>
      <c r="E31" s="329" t="s">
        <v>852</v>
      </c>
      <c r="F31" s="330"/>
      <c r="G31" s="331">
        <v>685.81</v>
      </c>
      <c r="H31" s="332">
        <v>0</v>
      </c>
      <c r="I31" s="331">
        <v>685.81</v>
      </c>
      <c r="J31" s="389">
        <v>685.81</v>
      </c>
      <c r="K31" s="333">
        <f t="shared" si="0"/>
        <v>0</v>
      </c>
      <c r="L31" s="161"/>
    </row>
    <row r="32" spans="1:20">
      <c r="A32" s="334">
        <v>21</v>
      </c>
      <c r="B32" s="354">
        <v>2193</v>
      </c>
      <c r="C32" s="328" t="s">
        <v>753</v>
      </c>
      <c r="D32" s="328" t="s">
        <v>794</v>
      </c>
      <c r="E32" s="329" t="s">
        <v>852</v>
      </c>
      <c r="F32" s="330"/>
      <c r="G32" s="331">
        <v>713.06</v>
      </c>
      <c r="H32" s="332" t="s">
        <v>1006</v>
      </c>
      <c r="I32" s="331">
        <v>713.06</v>
      </c>
      <c r="J32" s="389">
        <v>713.06</v>
      </c>
      <c r="K32" s="333">
        <f t="shared" si="0"/>
        <v>0</v>
      </c>
      <c r="L32" s="161"/>
    </row>
    <row r="33" spans="1:20">
      <c r="A33" s="334"/>
      <c r="B33" s="354">
        <v>2223</v>
      </c>
      <c r="C33" s="328" t="s">
        <v>972</v>
      </c>
      <c r="D33" s="328" t="s">
        <v>973</v>
      </c>
      <c r="E33" s="329" t="s">
        <v>852</v>
      </c>
      <c r="F33" s="330"/>
      <c r="G33" s="331">
        <v>630.16</v>
      </c>
      <c r="H33" s="332"/>
      <c r="I33" s="331">
        <v>630.16</v>
      </c>
      <c r="J33" s="389">
        <v>630.16</v>
      </c>
      <c r="K33" s="333">
        <f t="shared" si="0"/>
        <v>0</v>
      </c>
      <c r="L33" s="161"/>
    </row>
    <row r="34" spans="1:20">
      <c r="A34" s="334">
        <v>22</v>
      </c>
      <c r="B34" s="354">
        <v>640</v>
      </c>
      <c r="C34" s="328" t="s">
        <v>754</v>
      </c>
      <c r="D34" s="339" t="s">
        <v>795</v>
      </c>
      <c r="E34" s="329" t="s">
        <v>852</v>
      </c>
      <c r="F34" s="330"/>
      <c r="G34" s="331">
        <v>1509.02</v>
      </c>
      <c r="H34" s="332" t="s">
        <v>1006</v>
      </c>
      <c r="I34" s="416">
        <v>1509.02</v>
      </c>
      <c r="J34" s="389">
        <v>1509.02</v>
      </c>
      <c r="K34" s="333">
        <f t="shared" si="0"/>
        <v>0</v>
      </c>
      <c r="L34" s="329"/>
    </row>
    <row r="35" spans="1:20">
      <c r="A35" s="334">
        <v>23</v>
      </c>
      <c r="B35" s="354">
        <v>901</v>
      </c>
      <c r="C35" s="328" t="s">
        <v>439</v>
      </c>
      <c r="D35" s="328" t="s">
        <v>505</v>
      </c>
      <c r="E35" s="329" t="s">
        <v>852</v>
      </c>
      <c r="F35" s="330"/>
      <c r="G35" s="331">
        <v>1739.16</v>
      </c>
      <c r="H35" s="332" t="s">
        <v>1006</v>
      </c>
      <c r="I35" s="331">
        <v>1739.16</v>
      </c>
      <c r="J35" s="389">
        <v>1739.16</v>
      </c>
      <c r="K35" s="333">
        <f t="shared" si="0"/>
        <v>0</v>
      </c>
      <c r="L35" s="329"/>
    </row>
    <row r="36" spans="1:20">
      <c r="A36" s="334">
        <v>24</v>
      </c>
      <c r="B36" s="376" t="s">
        <v>675</v>
      </c>
      <c r="C36" s="328" t="s">
        <v>755</v>
      </c>
      <c r="D36" s="328" t="s">
        <v>796</v>
      </c>
      <c r="E36" s="329" t="s">
        <v>852</v>
      </c>
      <c r="F36" s="330"/>
      <c r="G36" s="331">
        <v>786.69</v>
      </c>
      <c r="H36" s="332" t="s">
        <v>1006</v>
      </c>
      <c r="I36" s="332">
        <v>786.69</v>
      </c>
      <c r="J36" s="333">
        <v>786.69</v>
      </c>
      <c r="K36" s="333">
        <f t="shared" si="0"/>
        <v>0</v>
      </c>
      <c r="L36" s="329"/>
    </row>
    <row r="37" spans="1:20">
      <c r="A37" s="334">
        <v>26</v>
      </c>
      <c r="B37" s="354">
        <v>1741</v>
      </c>
      <c r="C37" s="328" t="s">
        <v>755</v>
      </c>
      <c r="D37" s="328" t="s">
        <v>797</v>
      </c>
      <c r="E37" s="329" t="s">
        <v>852</v>
      </c>
      <c r="F37" s="330"/>
      <c r="G37" s="331">
        <v>1292.79</v>
      </c>
      <c r="H37" s="332" t="s">
        <v>1006</v>
      </c>
      <c r="I37" s="331">
        <v>1292.79</v>
      </c>
      <c r="J37" s="389">
        <v>1292.79</v>
      </c>
      <c r="K37" s="333">
        <f t="shared" si="0"/>
        <v>0</v>
      </c>
      <c r="L37" s="329"/>
    </row>
    <row r="38" spans="1:20">
      <c r="A38" s="334">
        <v>25</v>
      </c>
      <c r="B38" s="354">
        <v>1757</v>
      </c>
      <c r="C38" s="328" t="s">
        <v>755</v>
      </c>
      <c r="D38" s="338" t="s">
        <v>798</v>
      </c>
      <c r="E38" s="329" t="s">
        <v>853</v>
      </c>
      <c r="F38" s="330">
        <v>2</v>
      </c>
      <c r="G38" s="331">
        <v>2170.85</v>
      </c>
      <c r="H38" s="332" t="s">
        <v>1006</v>
      </c>
      <c r="I38" s="331">
        <v>2170.85</v>
      </c>
      <c r="J38" s="389">
        <v>2170.85</v>
      </c>
      <c r="K38" s="333">
        <f t="shared" si="0"/>
        <v>0</v>
      </c>
      <c r="L38" s="329"/>
      <c r="N38" s="12"/>
      <c r="O38" s="12"/>
      <c r="P38" s="12"/>
      <c r="Q38" s="12"/>
      <c r="R38" s="12"/>
      <c r="S38" s="12"/>
      <c r="T38" s="12"/>
    </row>
    <row r="39" spans="1:20">
      <c r="A39" s="334">
        <v>27</v>
      </c>
      <c r="B39" s="354">
        <v>2057</v>
      </c>
      <c r="C39" s="328" t="s">
        <v>756</v>
      </c>
      <c r="D39" s="338" t="s">
        <v>799</v>
      </c>
      <c r="E39" s="329" t="s">
        <v>852</v>
      </c>
      <c r="F39" s="330"/>
      <c r="G39" s="331">
        <v>1739.16</v>
      </c>
      <c r="H39" s="332" t="s">
        <v>1006</v>
      </c>
      <c r="I39" s="331">
        <v>1739.16</v>
      </c>
      <c r="J39" s="389">
        <v>1739.16</v>
      </c>
      <c r="K39" s="333">
        <f t="shared" si="0"/>
        <v>0</v>
      </c>
      <c r="L39" s="329"/>
    </row>
    <row r="40" spans="1:20">
      <c r="A40" s="334">
        <v>28</v>
      </c>
      <c r="B40" s="354">
        <v>1210</v>
      </c>
      <c r="C40" s="328" t="s">
        <v>756</v>
      </c>
      <c r="D40" s="338" t="s">
        <v>800</v>
      </c>
      <c r="E40" s="329" t="s">
        <v>852</v>
      </c>
      <c r="F40" s="330"/>
      <c r="G40" s="331">
        <v>1739.16</v>
      </c>
      <c r="H40" s="332" t="s">
        <v>1006</v>
      </c>
      <c r="I40" s="331">
        <v>1739.16</v>
      </c>
      <c r="J40" s="389">
        <v>1739.16</v>
      </c>
      <c r="K40" s="333">
        <f t="shared" si="0"/>
        <v>0</v>
      </c>
      <c r="L40" s="329"/>
    </row>
    <row r="41" spans="1:20">
      <c r="A41" s="334"/>
      <c r="B41" s="354">
        <v>2310</v>
      </c>
      <c r="C41" s="328" t="s">
        <v>756</v>
      </c>
      <c r="D41" s="338" t="s">
        <v>977</v>
      </c>
      <c r="E41" s="329" t="s">
        <v>852</v>
      </c>
      <c r="F41" s="330"/>
      <c r="G41" s="331">
        <v>1035.3900000000001</v>
      </c>
      <c r="H41" s="332" t="s">
        <v>1006</v>
      </c>
      <c r="I41" s="331">
        <v>1035.3900000000001</v>
      </c>
      <c r="J41" s="389">
        <v>1035.3900000000001</v>
      </c>
      <c r="K41" s="333">
        <f t="shared" si="0"/>
        <v>0</v>
      </c>
      <c r="L41" s="329"/>
    </row>
    <row r="42" spans="1:20">
      <c r="A42" s="334">
        <v>29</v>
      </c>
      <c r="B42" s="354">
        <v>1460</v>
      </c>
      <c r="C42" s="328" t="s">
        <v>444</v>
      </c>
      <c r="D42" s="328" t="s">
        <v>506</v>
      </c>
      <c r="E42" s="329" t="s">
        <v>852</v>
      </c>
      <c r="F42" s="330"/>
      <c r="G42" s="331">
        <v>1081.19</v>
      </c>
      <c r="H42" s="332" t="s">
        <v>1006</v>
      </c>
      <c r="I42" s="331">
        <v>1081.19</v>
      </c>
      <c r="J42" s="389">
        <v>1081.19</v>
      </c>
      <c r="K42" s="333">
        <f t="shared" si="0"/>
        <v>0</v>
      </c>
      <c r="L42" s="329"/>
    </row>
    <row r="43" spans="1:20">
      <c r="A43" s="334">
        <v>32</v>
      </c>
      <c r="B43" s="354">
        <v>2248</v>
      </c>
      <c r="C43" s="328" t="s">
        <v>757</v>
      </c>
      <c r="D43" s="328" t="s">
        <v>801</v>
      </c>
      <c r="E43" s="341" t="s">
        <v>856</v>
      </c>
      <c r="F43" s="330">
        <v>2</v>
      </c>
      <c r="G43" s="331">
        <v>1778.57</v>
      </c>
      <c r="H43" s="332">
        <v>581.62</v>
      </c>
      <c r="I43" s="332">
        <f>SUM(G43:H43)</f>
        <v>2360.19</v>
      </c>
      <c r="J43" s="333">
        <v>2360.19</v>
      </c>
      <c r="K43" s="333">
        <f t="shared" si="0"/>
        <v>0</v>
      </c>
      <c r="L43" s="329"/>
    </row>
    <row r="44" spans="1:20">
      <c r="A44" s="334"/>
      <c r="B44" s="354">
        <v>2319</v>
      </c>
      <c r="C44" s="328" t="s">
        <v>757</v>
      </c>
      <c r="D44" s="328" t="s">
        <v>1026</v>
      </c>
      <c r="E44" s="382" t="s">
        <v>853</v>
      </c>
      <c r="F44" s="330">
        <v>2</v>
      </c>
      <c r="G44" s="331">
        <v>1623.94</v>
      </c>
      <c r="H44" s="332">
        <v>0</v>
      </c>
      <c r="I44" s="331">
        <v>1623.94</v>
      </c>
      <c r="J44" s="389">
        <v>1623.94</v>
      </c>
      <c r="K44" s="333">
        <f t="shared" si="0"/>
        <v>0</v>
      </c>
      <c r="L44" s="329"/>
    </row>
    <row r="45" spans="1:20">
      <c r="A45" s="334"/>
      <c r="B45" s="354">
        <v>1300</v>
      </c>
      <c r="C45" s="328" t="s">
        <v>757</v>
      </c>
      <c r="D45" s="328" t="s">
        <v>1037</v>
      </c>
      <c r="E45" s="382" t="s">
        <v>854</v>
      </c>
      <c r="F45" s="330">
        <v>1</v>
      </c>
      <c r="G45" s="331">
        <v>1783.23</v>
      </c>
      <c r="H45" s="332">
        <v>0</v>
      </c>
      <c r="I45" s="331">
        <v>1783.23</v>
      </c>
      <c r="J45" s="389">
        <v>1783.23</v>
      </c>
      <c r="K45" s="333">
        <f t="shared" si="0"/>
        <v>0</v>
      </c>
      <c r="L45" s="329"/>
    </row>
    <row r="46" spans="1:20">
      <c r="A46" s="334">
        <v>30</v>
      </c>
      <c r="B46" s="354">
        <v>2062</v>
      </c>
      <c r="C46" s="328" t="s">
        <v>757</v>
      </c>
      <c r="D46" s="328" t="s">
        <v>802</v>
      </c>
      <c r="E46" s="329" t="s">
        <v>853</v>
      </c>
      <c r="F46" s="330">
        <v>2</v>
      </c>
      <c r="G46" s="331">
        <v>1633.22</v>
      </c>
      <c r="H46" s="332" t="s">
        <v>1006</v>
      </c>
      <c r="I46" s="331">
        <v>1633.22</v>
      </c>
      <c r="J46" s="389">
        <v>1633.22</v>
      </c>
      <c r="K46" s="333">
        <f t="shared" si="0"/>
        <v>0</v>
      </c>
      <c r="L46" s="329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1907.43</v>
      </c>
      <c r="H47" s="332" t="s">
        <v>1006</v>
      </c>
      <c r="I47" s="331">
        <v>1907.43</v>
      </c>
      <c r="J47" s="389">
        <v>1907.43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1267.6400000000001</v>
      </c>
      <c r="H48" s="332" t="s">
        <v>1006</v>
      </c>
      <c r="I48" s="331">
        <v>1267.6400000000001</v>
      </c>
      <c r="J48" s="389">
        <v>1267.6400000000001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657.99</v>
      </c>
      <c r="H49" s="332" t="s">
        <v>1006</v>
      </c>
      <c r="I49" s="331">
        <v>657.99</v>
      </c>
      <c r="J49" s="389">
        <v>657.99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1739.16</v>
      </c>
      <c r="H50" s="332" t="s">
        <v>1006</v>
      </c>
      <c r="I50" s="331">
        <v>1739.16</v>
      </c>
      <c r="J50" s="399">
        <v>1739.16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713.06</v>
      </c>
      <c r="H51" s="332" t="s">
        <v>1006</v>
      </c>
      <c r="I51" s="331">
        <v>713.06</v>
      </c>
      <c r="J51" s="333">
        <v>713.06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630.16</v>
      </c>
      <c r="H52" s="332" t="s">
        <v>1006</v>
      </c>
      <c r="I52" s="331">
        <v>630.16</v>
      </c>
      <c r="J52" s="389">
        <v>630.16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657.99</v>
      </c>
      <c r="H53" s="332" t="s">
        <v>1006</v>
      </c>
      <c r="I53" s="331">
        <v>657.99</v>
      </c>
      <c r="J53" s="389">
        <v>657.99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1647.13</v>
      </c>
      <c r="H54" s="332" t="s">
        <v>1006</v>
      </c>
      <c r="I54" s="331">
        <v>1647.13</v>
      </c>
      <c r="J54" s="389">
        <v>1647.13</v>
      </c>
      <c r="K54" s="333" t="e">
        <f>#REF!-#REF!</f>
        <v>#REF!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1501.26</v>
      </c>
      <c r="H55" s="332" t="s">
        <v>1006</v>
      </c>
      <c r="I55" s="331">
        <v>1501.26</v>
      </c>
      <c r="J55" s="389">
        <v>1501.26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1789.97</v>
      </c>
      <c r="H56" s="332" t="s">
        <v>1006</v>
      </c>
      <c r="I56" s="331">
        <v>1789.97</v>
      </c>
      <c r="J56" s="389">
        <v>1789.97</v>
      </c>
      <c r="K56" s="333">
        <f t="shared" si="0"/>
        <v>0</v>
      </c>
      <c r="L56" s="329"/>
    </row>
    <row r="57" spans="1:12">
      <c r="A57" s="334"/>
      <c r="B57" s="354">
        <v>2281</v>
      </c>
      <c r="C57" s="328" t="s">
        <v>1146</v>
      </c>
      <c r="D57" s="328" t="s">
        <v>1147</v>
      </c>
      <c r="E57" s="329" t="s">
        <v>855</v>
      </c>
      <c r="F57" s="330">
        <v>1</v>
      </c>
      <c r="G57" s="331">
        <v>2468.88</v>
      </c>
      <c r="H57" s="332">
        <v>1589.16</v>
      </c>
      <c r="I57" s="331">
        <f>SUM(G57:H57)</f>
        <v>4058.04</v>
      </c>
      <c r="J57" s="389">
        <v>4058.04</v>
      </c>
      <c r="K57" s="333"/>
      <c r="L57" s="329"/>
    </row>
    <row r="58" spans="1:12">
      <c r="A58" s="334">
        <v>44</v>
      </c>
      <c r="B58" s="354">
        <v>2001</v>
      </c>
      <c r="C58" s="328" t="s">
        <v>766</v>
      </c>
      <c r="D58" s="338" t="s">
        <v>814</v>
      </c>
      <c r="E58" s="329" t="s">
        <v>854</v>
      </c>
      <c r="F58" s="330">
        <v>1</v>
      </c>
      <c r="G58" s="331">
        <v>1934.9</v>
      </c>
      <c r="H58" s="332" t="s">
        <v>1006</v>
      </c>
      <c r="I58" s="331">
        <v>1934.9</v>
      </c>
      <c r="J58" s="389">
        <v>1934.9</v>
      </c>
      <c r="K58" s="333">
        <f t="shared" si="0"/>
        <v>0</v>
      </c>
      <c r="L58" s="329"/>
    </row>
    <row r="59" spans="1:12">
      <c r="A59" s="334">
        <v>45</v>
      </c>
      <c r="B59" s="354">
        <v>2160</v>
      </c>
      <c r="C59" s="328" t="s">
        <v>767</v>
      </c>
      <c r="D59" s="338" t="s">
        <v>815</v>
      </c>
      <c r="E59" s="329" t="s">
        <v>854</v>
      </c>
      <c r="F59" s="330">
        <v>1</v>
      </c>
      <c r="G59" s="331">
        <v>2091.06</v>
      </c>
      <c r="H59" s="332" t="s">
        <v>1006</v>
      </c>
      <c r="I59" s="331">
        <v>2091.06</v>
      </c>
      <c r="J59" s="331">
        <v>2091.06</v>
      </c>
      <c r="K59" s="333">
        <f t="shared" si="0"/>
        <v>0</v>
      </c>
      <c r="L59" s="329"/>
    </row>
    <row r="60" spans="1:12">
      <c r="A60" s="334">
        <v>47</v>
      </c>
      <c r="B60" s="354">
        <v>2279</v>
      </c>
      <c r="C60" s="328" t="s">
        <v>769</v>
      </c>
      <c r="D60" s="328" t="s">
        <v>843</v>
      </c>
      <c r="E60" s="329" t="s">
        <v>852</v>
      </c>
      <c r="F60" s="330"/>
      <c r="G60" s="331">
        <v>607.54999999999995</v>
      </c>
      <c r="H60" s="332" t="s">
        <v>1006</v>
      </c>
      <c r="I60" s="331">
        <v>607.54999999999995</v>
      </c>
      <c r="J60" s="389">
        <v>607.54999999999995</v>
      </c>
      <c r="K60" s="333">
        <f t="shared" si="0"/>
        <v>0</v>
      </c>
      <c r="L60" s="161"/>
    </row>
    <row r="61" spans="1:12">
      <c r="A61" s="334">
        <v>48</v>
      </c>
      <c r="B61" s="354">
        <v>2246</v>
      </c>
      <c r="C61" s="328" t="s">
        <v>769</v>
      </c>
      <c r="D61" s="338" t="s">
        <v>817</v>
      </c>
      <c r="E61" s="329" t="s">
        <v>852</v>
      </c>
      <c r="F61" s="330"/>
      <c r="G61" s="331">
        <v>703.79</v>
      </c>
      <c r="H61" s="332" t="s">
        <v>1006</v>
      </c>
      <c r="I61" s="331">
        <v>703.79</v>
      </c>
      <c r="J61" s="389">
        <v>703.79</v>
      </c>
      <c r="K61" s="333">
        <f t="shared" si="0"/>
        <v>0</v>
      </c>
      <c r="L61" s="188"/>
    </row>
    <row r="62" spans="1:12">
      <c r="A62" s="334">
        <v>49</v>
      </c>
      <c r="B62" s="354">
        <v>2018</v>
      </c>
      <c r="C62" s="328" t="s">
        <v>770</v>
      </c>
      <c r="D62" s="328" t="s">
        <v>818</v>
      </c>
      <c r="E62" s="329" t="s">
        <v>852</v>
      </c>
      <c r="F62" s="330"/>
      <c r="G62" s="331">
        <v>1739.16</v>
      </c>
      <c r="H62" s="332" t="s">
        <v>1006</v>
      </c>
      <c r="I62" s="331">
        <v>1739.16</v>
      </c>
      <c r="J62" s="389">
        <v>1739.16</v>
      </c>
      <c r="K62" s="333">
        <f t="shared" si="0"/>
        <v>0</v>
      </c>
      <c r="L62" s="161"/>
    </row>
    <row r="63" spans="1:12">
      <c r="A63" s="334"/>
      <c r="B63" s="354">
        <v>2329</v>
      </c>
      <c r="C63" s="328" t="s">
        <v>1070</v>
      </c>
      <c r="D63" s="328" t="s">
        <v>1071</v>
      </c>
      <c r="E63" s="329" t="s">
        <v>854</v>
      </c>
      <c r="F63" s="330">
        <v>1</v>
      </c>
      <c r="G63" s="331">
        <v>579.72</v>
      </c>
      <c r="H63" s="332">
        <v>0</v>
      </c>
      <c r="I63" s="331">
        <v>579.72</v>
      </c>
      <c r="J63" s="389">
        <v>579.72</v>
      </c>
      <c r="K63" s="333">
        <f t="shared" si="0"/>
        <v>0</v>
      </c>
      <c r="L63" s="329"/>
    </row>
    <row r="64" spans="1:12">
      <c r="A64" s="334">
        <v>50</v>
      </c>
      <c r="B64" s="354">
        <v>1692</v>
      </c>
      <c r="C64" s="328" t="s">
        <v>771</v>
      </c>
      <c r="D64" s="338" t="s">
        <v>819</v>
      </c>
      <c r="E64" s="329" t="s">
        <v>852</v>
      </c>
      <c r="F64" s="330"/>
      <c r="G64" s="331">
        <v>2088.7399999999998</v>
      </c>
      <c r="H64" s="332" t="s">
        <v>1006</v>
      </c>
      <c r="I64" s="331">
        <v>2088.7399999999998</v>
      </c>
      <c r="J64" s="333">
        <v>2088.7399999999998</v>
      </c>
      <c r="K64" s="333">
        <f t="shared" si="0"/>
        <v>0</v>
      </c>
      <c r="L64" s="329"/>
    </row>
    <row r="65" spans="1:16">
      <c r="A65" s="334"/>
      <c r="B65" s="354">
        <v>2027</v>
      </c>
      <c r="C65" s="328" t="s">
        <v>771</v>
      </c>
      <c r="D65" s="338" t="s">
        <v>982</v>
      </c>
      <c r="E65" s="329" t="s">
        <v>852</v>
      </c>
      <c r="F65" s="330"/>
      <c r="G65" s="331">
        <v>713.06</v>
      </c>
      <c r="H65" s="332" t="s">
        <v>1006</v>
      </c>
      <c r="I65" s="331">
        <v>713.06</v>
      </c>
      <c r="J65" s="389">
        <v>713.06</v>
      </c>
      <c r="K65" s="333">
        <f t="shared" si="0"/>
        <v>0</v>
      </c>
      <c r="L65" s="329"/>
    </row>
    <row r="66" spans="1:16">
      <c r="A66" s="334">
        <v>52</v>
      </c>
      <c r="B66" s="354">
        <v>2060</v>
      </c>
      <c r="C66" s="328" t="s">
        <v>487</v>
      </c>
      <c r="D66" s="328" t="s">
        <v>516</v>
      </c>
      <c r="E66" s="329" t="s">
        <v>852</v>
      </c>
      <c r="F66" s="330"/>
      <c r="G66" s="331">
        <v>1182.6400000000001</v>
      </c>
      <c r="H66" s="332" t="s">
        <v>1006</v>
      </c>
      <c r="I66" s="331">
        <v>1182.6400000000001</v>
      </c>
      <c r="J66" s="389">
        <v>1182.6400000000001</v>
      </c>
      <c r="K66" s="333">
        <f t="shared" si="0"/>
        <v>0</v>
      </c>
      <c r="L66" s="329"/>
    </row>
    <row r="67" spans="1:16">
      <c r="A67" s="334"/>
      <c r="B67" s="354">
        <v>2333</v>
      </c>
      <c r="C67" s="328" t="s">
        <v>1078</v>
      </c>
      <c r="D67" s="328" t="s">
        <v>1079</v>
      </c>
      <c r="E67" s="329" t="s">
        <v>854</v>
      </c>
      <c r="F67" s="330">
        <v>1</v>
      </c>
      <c r="G67" s="331">
        <v>1166.18</v>
      </c>
      <c r="H67" s="332">
        <v>0</v>
      </c>
      <c r="I67" s="331">
        <v>1166.18</v>
      </c>
      <c r="J67" s="389">
        <v>1166.18</v>
      </c>
      <c r="K67" s="333">
        <f t="shared" si="0"/>
        <v>0</v>
      </c>
      <c r="L67" s="329"/>
    </row>
    <row r="68" spans="1:16">
      <c r="A68" s="334">
        <v>54</v>
      </c>
      <c r="B68" s="354">
        <v>1050</v>
      </c>
      <c r="C68" s="328" t="s">
        <v>773</v>
      </c>
      <c r="D68" s="328" t="s">
        <v>821</v>
      </c>
      <c r="E68" s="329" t="s">
        <v>852</v>
      </c>
      <c r="F68" s="330"/>
      <c r="G68" s="331">
        <v>1739.16</v>
      </c>
      <c r="H68" s="332" t="s">
        <v>1006</v>
      </c>
      <c r="I68" s="331">
        <v>1739.16</v>
      </c>
      <c r="J68" s="389">
        <v>1739.16</v>
      </c>
      <c r="K68" s="333">
        <f t="shared" si="0"/>
        <v>0</v>
      </c>
      <c r="L68" s="329"/>
    </row>
    <row r="69" spans="1:16">
      <c r="A69" s="334">
        <v>55</v>
      </c>
      <c r="B69" s="354">
        <v>1964</v>
      </c>
      <c r="C69" s="328" t="s">
        <v>491</v>
      </c>
      <c r="D69" s="328" t="s">
        <v>456</v>
      </c>
      <c r="E69" s="329" t="s">
        <v>852</v>
      </c>
      <c r="F69" s="330"/>
      <c r="G69" s="331">
        <v>947.85</v>
      </c>
      <c r="H69" s="332" t="s">
        <v>1006</v>
      </c>
      <c r="I69" s="331">
        <v>947.85</v>
      </c>
      <c r="J69" s="389">
        <v>947.85</v>
      </c>
      <c r="K69" s="333">
        <f t="shared" si="0"/>
        <v>0</v>
      </c>
      <c r="L69" s="329"/>
    </row>
    <row r="70" spans="1:16">
      <c r="A70" s="334">
        <v>57</v>
      </c>
      <c r="B70" s="354">
        <v>1981</v>
      </c>
      <c r="C70" s="328" t="s">
        <v>774</v>
      </c>
      <c r="D70" s="338" t="s">
        <v>822</v>
      </c>
      <c r="E70" s="329" t="s">
        <v>852</v>
      </c>
      <c r="F70" s="330"/>
      <c r="G70" s="331">
        <v>740.89</v>
      </c>
      <c r="H70" s="332" t="s">
        <v>1006</v>
      </c>
      <c r="I70" s="331">
        <v>740.89</v>
      </c>
      <c r="J70" s="389">
        <v>740.89</v>
      </c>
      <c r="K70" s="333">
        <f t="shared" si="0"/>
        <v>0</v>
      </c>
      <c r="L70" s="329"/>
    </row>
    <row r="71" spans="1:16">
      <c r="A71" s="334">
        <v>56</v>
      </c>
      <c r="B71" s="354">
        <v>1662</v>
      </c>
      <c r="C71" s="328" t="s">
        <v>774</v>
      </c>
      <c r="D71" s="328" t="s">
        <v>823</v>
      </c>
      <c r="E71" s="329" t="s">
        <v>852</v>
      </c>
      <c r="F71" s="330"/>
      <c r="G71" s="331">
        <v>989.01</v>
      </c>
      <c r="H71" s="332" t="s">
        <v>1006</v>
      </c>
      <c r="I71" s="331">
        <v>989.01</v>
      </c>
      <c r="J71" s="389">
        <v>989.01</v>
      </c>
      <c r="K71" s="333">
        <f t="shared" ref="K71:K79" si="1">I71-J71</f>
        <v>0</v>
      </c>
      <c r="L71" s="329"/>
    </row>
    <row r="72" spans="1:16">
      <c r="A72" s="334"/>
      <c r="B72" s="354">
        <v>2339</v>
      </c>
      <c r="C72" s="328" t="s">
        <v>775</v>
      </c>
      <c r="D72" s="328" t="s">
        <v>1110</v>
      </c>
      <c r="E72" s="329" t="s">
        <v>854</v>
      </c>
      <c r="F72" s="330">
        <v>1</v>
      </c>
      <c r="G72" s="331">
        <v>1568.73</v>
      </c>
      <c r="H72" s="332">
        <v>0</v>
      </c>
      <c r="I72" s="331">
        <v>1568.73</v>
      </c>
      <c r="J72" s="389">
        <v>1568.73</v>
      </c>
      <c r="K72" s="333">
        <f t="shared" si="1"/>
        <v>0</v>
      </c>
      <c r="L72" s="329"/>
    </row>
    <row r="73" spans="1:16">
      <c r="A73" s="334">
        <v>58</v>
      </c>
      <c r="B73" s="354">
        <v>1630</v>
      </c>
      <c r="C73" s="328" t="s">
        <v>775</v>
      </c>
      <c r="D73" s="338" t="s">
        <v>824</v>
      </c>
      <c r="E73" s="329" t="s">
        <v>852</v>
      </c>
      <c r="F73" s="330"/>
      <c r="G73" s="331">
        <v>1352.5</v>
      </c>
      <c r="H73" s="332" t="s">
        <v>1006</v>
      </c>
      <c r="I73" s="331">
        <v>1352.5</v>
      </c>
      <c r="J73" s="389">
        <v>1352.5</v>
      </c>
      <c r="K73" s="333">
        <f t="shared" si="1"/>
        <v>0</v>
      </c>
      <c r="L73" s="329"/>
    </row>
    <row r="74" spans="1:16">
      <c r="A74" s="334"/>
      <c r="B74" s="354">
        <v>2337</v>
      </c>
      <c r="C74" s="328" t="s">
        <v>777</v>
      </c>
      <c r="D74" s="338" t="s">
        <v>1080</v>
      </c>
      <c r="E74" s="329" t="s">
        <v>852</v>
      </c>
      <c r="F74" s="330"/>
      <c r="G74" s="331">
        <v>685.81</v>
      </c>
      <c r="H74" s="332">
        <v>0</v>
      </c>
      <c r="I74" s="331">
        <v>685.81</v>
      </c>
      <c r="J74" s="389">
        <v>685.81</v>
      </c>
      <c r="K74" s="333">
        <f t="shared" si="1"/>
        <v>0</v>
      </c>
      <c r="L74" s="329"/>
    </row>
    <row r="75" spans="1:16">
      <c r="A75" s="334">
        <v>61</v>
      </c>
      <c r="B75" s="354">
        <v>2010</v>
      </c>
      <c r="C75" s="328" t="s">
        <v>777</v>
      </c>
      <c r="D75" s="328" t="s">
        <v>826</v>
      </c>
      <c r="E75" s="329" t="s">
        <v>852</v>
      </c>
      <c r="F75" s="330"/>
      <c r="G75" s="331">
        <v>1131.6199999999999</v>
      </c>
      <c r="H75" s="332" t="s">
        <v>1006</v>
      </c>
      <c r="I75" s="331">
        <v>1131.6199999999999</v>
      </c>
      <c r="J75" s="389">
        <v>1131.6199999999999</v>
      </c>
      <c r="K75" s="333">
        <f t="shared" si="1"/>
        <v>0</v>
      </c>
      <c r="L75" s="329"/>
    </row>
    <row r="76" spans="1:16">
      <c r="A76" s="334">
        <v>60</v>
      </c>
      <c r="B76" s="354">
        <v>2187</v>
      </c>
      <c r="C76" s="328" t="s">
        <v>777</v>
      </c>
      <c r="D76" s="328" t="s">
        <v>827</v>
      </c>
      <c r="E76" s="329" t="s">
        <v>853</v>
      </c>
      <c r="F76" s="330">
        <v>2</v>
      </c>
      <c r="G76" s="331">
        <v>2082.5100000000002</v>
      </c>
      <c r="H76" s="332" t="s">
        <v>1006</v>
      </c>
      <c r="I76" s="391">
        <v>2082.5100000000002</v>
      </c>
      <c r="J76" s="389">
        <v>2082.5100000000002</v>
      </c>
      <c r="K76" s="333">
        <f t="shared" si="1"/>
        <v>0</v>
      </c>
      <c r="L76" s="329"/>
    </row>
    <row r="77" spans="1:16">
      <c r="A77" s="334">
        <v>63</v>
      </c>
      <c r="B77" s="354">
        <v>2064</v>
      </c>
      <c r="C77" s="328" t="s">
        <v>778</v>
      </c>
      <c r="D77" s="338" t="s">
        <v>829</v>
      </c>
      <c r="E77" s="341" t="s">
        <v>856</v>
      </c>
      <c r="F77" s="330">
        <v>2</v>
      </c>
      <c r="G77" s="331">
        <v>1797.13</v>
      </c>
      <c r="H77" s="332">
        <v>659.88</v>
      </c>
      <c r="I77" s="332">
        <f>SUM(G77:H77)</f>
        <v>2457.0100000000002</v>
      </c>
      <c r="J77" s="333">
        <v>2457.0100000000002</v>
      </c>
      <c r="K77" s="333">
        <f t="shared" si="1"/>
        <v>0</v>
      </c>
      <c r="L77" s="329"/>
    </row>
    <row r="78" spans="1:16">
      <c r="A78" s="334"/>
      <c r="B78" s="354">
        <v>2335</v>
      </c>
      <c r="C78" s="328" t="s">
        <v>870</v>
      </c>
      <c r="D78" s="338" t="s">
        <v>1081</v>
      </c>
      <c r="E78" s="382" t="s">
        <v>852</v>
      </c>
      <c r="F78" s="330"/>
      <c r="G78" s="331">
        <v>607.54999999999995</v>
      </c>
      <c r="H78" s="332">
        <v>0</v>
      </c>
      <c r="I78" s="331">
        <v>607.54999999999995</v>
      </c>
      <c r="J78" s="389">
        <v>607.54999999999995</v>
      </c>
      <c r="K78" s="333">
        <v>0</v>
      </c>
      <c r="L78" s="329"/>
    </row>
    <row r="79" spans="1:16">
      <c r="A79" s="334"/>
      <c r="B79" s="354">
        <v>2089</v>
      </c>
      <c r="C79" s="328" t="s">
        <v>870</v>
      </c>
      <c r="D79" s="338" t="s">
        <v>1007</v>
      </c>
      <c r="E79" s="329" t="s">
        <v>854</v>
      </c>
      <c r="F79" s="330">
        <v>1</v>
      </c>
      <c r="G79" s="331">
        <v>1161.55</v>
      </c>
      <c r="H79" s="332" t="s">
        <v>1006</v>
      </c>
      <c r="I79" s="331">
        <v>1161.55</v>
      </c>
      <c r="J79" s="389">
        <v>1161.55</v>
      </c>
      <c r="K79" s="333">
        <f t="shared" si="1"/>
        <v>0</v>
      </c>
      <c r="L79" s="329" t="s">
        <v>1107</v>
      </c>
    </row>
    <row r="80" spans="1:16">
      <c r="A80" s="7"/>
      <c r="B80" s="66"/>
      <c r="C80" s="29"/>
      <c r="D80" s="29"/>
      <c r="E80" s="410"/>
      <c r="F80" s="411"/>
      <c r="G80" s="412"/>
      <c r="H80" s="413">
        <f>SUM(H5:H79)</f>
        <v>4533.76</v>
      </c>
      <c r="I80" s="412"/>
      <c r="J80" s="414"/>
      <c r="K80" s="414"/>
      <c r="L80" s="385"/>
      <c r="M80" s="216"/>
      <c r="O80" s="15"/>
      <c r="P80" s="15"/>
    </row>
    <row r="81" spans="1:20">
      <c r="A81" s="7"/>
      <c r="B81" s="66"/>
      <c r="C81" s="29"/>
      <c r="D81" s="29"/>
      <c r="E81" s="410"/>
      <c r="F81" s="411"/>
      <c r="G81" s="412"/>
      <c r="H81" s="413"/>
      <c r="I81" s="412"/>
      <c r="J81" s="414"/>
      <c r="K81" s="414"/>
      <c r="L81" s="385"/>
      <c r="M81" s="216"/>
      <c r="O81" s="15"/>
      <c r="P81" s="15"/>
    </row>
    <row r="82" spans="1:20">
      <c r="A82" s="7"/>
      <c r="B82" s="66"/>
      <c r="C82" s="29"/>
      <c r="D82" s="29"/>
      <c r="E82" s="410"/>
      <c r="F82" s="411"/>
      <c r="G82" s="412"/>
      <c r="H82" s="413"/>
      <c r="I82" s="412"/>
      <c r="J82" s="414"/>
      <c r="K82" s="414"/>
      <c r="L82" s="385"/>
      <c r="M82" s="216"/>
      <c r="O82" s="15"/>
      <c r="P82" s="15"/>
    </row>
    <row r="83" spans="1:20">
      <c r="A83" s="7"/>
      <c r="B83" s="354">
        <v>2288</v>
      </c>
      <c r="C83" s="328" t="s">
        <v>772</v>
      </c>
      <c r="D83" s="338" t="s">
        <v>820</v>
      </c>
      <c r="E83" s="329" t="s">
        <v>852</v>
      </c>
      <c r="F83" s="330"/>
      <c r="G83" s="331">
        <v>648.71</v>
      </c>
      <c r="H83" s="412"/>
      <c r="I83" s="331">
        <v>648.71</v>
      </c>
      <c r="J83" s="331">
        <v>648.71</v>
      </c>
      <c r="K83" s="333">
        <f t="shared" ref="K83" si="2">I83-J83</f>
        <v>0</v>
      </c>
      <c r="L83" s="196" t="s">
        <v>1128</v>
      </c>
      <c r="M83" s="216"/>
      <c r="O83" s="15"/>
      <c r="P83" s="15"/>
    </row>
    <row r="84" spans="1:20">
      <c r="A84" s="7"/>
      <c r="B84" s="354"/>
      <c r="C84" s="328"/>
      <c r="D84" s="338"/>
      <c r="E84" s="329"/>
      <c r="F84" s="330"/>
      <c r="G84" s="331"/>
      <c r="H84" s="412"/>
      <c r="I84" s="331" t="s">
        <v>1113</v>
      </c>
      <c r="J84" s="415">
        <f>SUM(J83:J83)</f>
        <v>648.71</v>
      </c>
      <c r="K84" s="333"/>
      <c r="L84" s="385"/>
      <c r="M84" s="216"/>
      <c r="O84" s="15"/>
      <c r="P84" s="15"/>
    </row>
    <row r="85" spans="1:20">
      <c r="A85" s="438" t="s">
        <v>652</v>
      </c>
      <c r="B85" s="439"/>
      <c r="C85" s="439"/>
      <c r="D85" s="439"/>
      <c r="E85" s="439"/>
      <c r="F85" s="439"/>
      <c r="G85" s="440"/>
      <c r="H85" s="347"/>
      <c r="I85" s="348">
        <f>SUM(I5:I79)</f>
        <v>99154.609999999986</v>
      </c>
      <c r="J85" s="383">
        <f>SUM(J5:J79)</f>
        <v>99154.599999999991</v>
      </c>
      <c r="K85" s="383"/>
      <c r="L85" s="386"/>
    </row>
    <row r="86" spans="1:20">
      <c r="A86" s="441" t="s">
        <v>1028</v>
      </c>
      <c r="B86" s="442"/>
      <c r="C86" s="443"/>
      <c r="D86" s="351"/>
      <c r="E86" s="352" t="s">
        <v>258</v>
      </c>
      <c r="F86" s="334">
        <v>73</v>
      </c>
      <c r="G86" s="329" t="s">
        <v>1029</v>
      </c>
      <c r="H86" s="351"/>
      <c r="I86" s="352" t="s">
        <v>258</v>
      </c>
      <c r="J86" s="343">
        <v>74</v>
      </c>
      <c r="K86" s="343"/>
      <c r="L86" s="161"/>
    </row>
    <row r="87" spans="1:20">
      <c r="A87" s="353"/>
      <c r="B87" s="352"/>
      <c r="C87" s="351"/>
      <c r="D87" s="351"/>
      <c r="E87" s="351" t="s">
        <v>930</v>
      </c>
      <c r="F87" s="330">
        <v>4</v>
      </c>
      <c r="G87" s="329"/>
      <c r="H87" s="351"/>
      <c r="I87" s="351" t="s">
        <v>930</v>
      </c>
      <c r="J87" s="343">
        <v>4</v>
      </c>
      <c r="K87" s="343"/>
      <c r="L87" s="161"/>
    </row>
    <row r="88" spans="1:20">
      <c r="A88" s="441"/>
      <c r="B88" s="442"/>
      <c r="C88" s="443"/>
      <c r="D88" s="351"/>
      <c r="E88" s="352" t="s">
        <v>931</v>
      </c>
      <c r="F88" s="355">
        <v>26</v>
      </c>
      <c r="G88" s="329"/>
      <c r="H88" s="351"/>
      <c r="I88" s="352" t="s">
        <v>931</v>
      </c>
      <c r="J88" s="343">
        <v>26</v>
      </c>
      <c r="K88" s="343"/>
      <c r="L88" s="161"/>
    </row>
    <row r="89" spans="1:20">
      <c r="A89" s="444"/>
      <c r="B89" s="445"/>
      <c r="C89" s="446"/>
      <c r="D89" s="356"/>
      <c r="E89" s="357" t="s">
        <v>246</v>
      </c>
      <c r="F89" s="358">
        <v>103</v>
      </c>
      <c r="G89" s="329"/>
      <c r="H89" s="393"/>
      <c r="I89" s="394" t="s">
        <v>246</v>
      </c>
      <c r="J89" s="395">
        <v>104</v>
      </c>
      <c r="K89" s="395"/>
      <c r="L89" s="161"/>
    </row>
    <row r="90" spans="1:20">
      <c r="A90" s="447" t="s">
        <v>830</v>
      </c>
      <c r="B90" s="448"/>
      <c r="C90" s="448"/>
      <c r="D90" s="448"/>
      <c r="E90" s="448"/>
      <c r="F90" s="448"/>
      <c r="G90" s="448"/>
      <c r="H90" s="381"/>
      <c r="I90" s="381"/>
      <c r="J90" s="396"/>
      <c r="K90" s="396"/>
      <c r="L90" s="392"/>
      <c r="N90" s="15"/>
    </row>
    <row r="91" spans="1:20">
      <c r="A91" s="334"/>
      <c r="B91" s="354">
        <v>2281</v>
      </c>
      <c r="C91" s="328" t="s">
        <v>1146</v>
      </c>
      <c r="D91" s="328" t="s">
        <v>1147</v>
      </c>
      <c r="E91" s="329" t="s">
        <v>855</v>
      </c>
      <c r="F91" s="330">
        <v>1</v>
      </c>
      <c r="G91" s="331">
        <v>2468.88</v>
      </c>
      <c r="H91" s="332">
        <v>1589.16</v>
      </c>
      <c r="I91" s="331">
        <f>SUM(G91:H91)</f>
        <v>4058.04</v>
      </c>
      <c r="J91" s="389">
        <v>4058.04</v>
      </c>
      <c r="K91" s="333"/>
      <c r="L91" s="196" t="s">
        <v>1148</v>
      </c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>
        <v>2001</v>
      </c>
      <c r="C92" s="328" t="s">
        <v>766</v>
      </c>
      <c r="D92" s="338" t="s">
        <v>814</v>
      </c>
      <c r="E92" s="329" t="s">
        <v>854</v>
      </c>
      <c r="F92" s="330">
        <v>1</v>
      </c>
      <c r="G92" s="331"/>
      <c r="H92" s="332" t="s">
        <v>1006</v>
      </c>
      <c r="I92" s="331"/>
      <c r="J92" s="389">
        <v>457.76</v>
      </c>
      <c r="K92" s="333"/>
      <c r="L92" s="196" t="s">
        <v>1149</v>
      </c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28"/>
      <c r="E93" s="329"/>
      <c r="F93" s="330"/>
      <c r="G93" s="331"/>
      <c r="H93" s="332"/>
      <c r="I93" s="331"/>
      <c r="J93" s="389">
        <v>-1465.63</v>
      </c>
      <c r="K93" s="333"/>
      <c r="L93" s="196" t="s">
        <v>1150</v>
      </c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28"/>
      <c r="E94" s="329"/>
      <c r="F94" s="330"/>
      <c r="G94" s="331"/>
      <c r="H94" s="332"/>
      <c r="I94" s="331"/>
      <c r="J94" s="38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28"/>
      <c r="E95" s="329"/>
      <c r="F95" s="330"/>
      <c r="G95" s="331"/>
      <c r="H95" s="332"/>
      <c r="I95" s="331"/>
      <c r="J95" s="38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29"/>
      <c r="F96" s="330"/>
      <c r="G96" s="331"/>
      <c r="H96" s="332"/>
      <c r="I96" s="331"/>
      <c r="J96" s="389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28"/>
      <c r="E97" s="329"/>
      <c r="F97" s="330"/>
      <c r="G97" s="331"/>
      <c r="H97" s="332"/>
      <c r="I97" s="331"/>
      <c r="J97" s="389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28"/>
      <c r="E98" s="329"/>
      <c r="F98" s="330"/>
      <c r="G98" s="331"/>
      <c r="H98" s="332"/>
      <c r="I98" s="331"/>
      <c r="J98" s="389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28"/>
      <c r="E99" s="329"/>
      <c r="F99" s="330"/>
      <c r="G99" s="331"/>
      <c r="H99" s="332"/>
      <c r="I99" s="331"/>
      <c r="J99" s="389"/>
      <c r="K99" s="333"/>
      <c r="L99" s="196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28"/>
      <c r="E100" s="329"/>
      <c r="F100" s="330"/>
      <c r="G100" s="331"/>
      <c r="H100" s="332"/>
      <c r="I100" s="331"/>
      <c r="J100" s="389"/>
      <c r="K100" s="333"/>
      <c r="L100" s="196"/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/>
      <c r="C101" s="328"/>
      <c r="D101" s="328"/>
      <c r="E101" s="329"/>
      <c r="F101" s="330"/>
      <c r="G101" s="331"/>
      <c r="H101" s="332"/>
      <c r="I101" s="331"/>
      <c r="J101" s="389"/>
      <c r="K101" s="333"/>
      <c r="L101" s="196"/>
      <c r="M101" s="362"/>
      <c r="N101" s="363"/>
      <c r="O101" s="362"/>
      <c r="P101" s="362"/>
      <c r="Q101" s="362"/>
      <c r="R101" s="362"/>
      <c r="S101" s="362"/>
      <c r="T101" s="362"/>
    </row>
    <row r="102" spans="1:20">
      <c r="A102" s="334"/>
      <c r="B102" s="354"/>
      <c r="C102" s="328"/>
      <c r="D102" s="328"/>
      <c r="E102" s="329"/>
      <c r="F102" s="330"/>
      <c r="G102" s="331"/>
      <c r="H102" s="332"/>
      <c r="I102" s="332"/>
      <c r="J102" s="333"/>
      <c r="K102" s="333"/>
      <c r="L102" s="161"/>
      <c r="N102" s="15"/>
    </row>
    <row r="103" spans="1:20">
      <c r="A103" s="438" t="s">
        <v>846</v>
      </c>
      <c r="B103" s="439"/>
      <c r="C103" s="439"/>
      <c r="D103" s="439"/>
      <c r="E103" s="439"/>
      <c r="F103" s="439"/>
      <c r="G103" s="440"/>
      <c r="H103" s="348">
        <f>SUM(H91:H102)</f>
        <v>1589.16</v>
      </c>
      <c r="I103" s="347"/>
      <c r="J103" s="348">
        <f>SUM(J91:J102)</f>
        <v>3050.17</v>
      </c>
      <c r="K103" s="406"/>
      <c r="L103" s="402"/>
    </row>
    <row r="104" spans="1:20">
      <c r="A104" s="365"/>
      <c r="B104" s="366"/>
      <c r="C104" s="366"/>
      <c r="D104" s="366"/>
      <c r="E104" s="366"/>
      <c r="F104" s="367"/>
      <c r="G104" s="368"/>
      <c r="H104" s="368"/>
      <c r="I104" s="368"/>
      <c r="J104" s="349"/>
      <c r="K104" s="383"/>
      <c r="L104" s="364"/>
    </row>
    <row r="105" spans="1:20" ht="16">
      <c r="A105" s="435" t="s">
        <v>881</v>
      </c>
      <c r="B105" s="436"/>
      <c r="C105" s="436"/>
      <c r="D105" s="436"/>
      <c r="E105" s="436"/>
      <c r="F105" s="436"/>
      <c r="G105" s="437"/>
      <c r="H105" s="369"/>
      <c r="I105" s="369"/>
      <c r="J105" s="370">
        <f>SUM(J85,J103)</f>
        <v>102204.76999999999</v>
      </c>
      <c r="K105" s="407"/>
      <c r="L105" s="350"/>
    </row>
    <row r="106" spans="1:20" ht="18">
      <c r="F106" s="3"/>
      <c r="G106" s="371" t="s">
        <v>1013</v>
      </c>
      <c r="H106" s="372">
        <v>45730</v>
      </c>
    </row>
    <row r="107" spans="1:20" ht="18">
      <c r="F107" s="3"/>
      <c r="G107" s="371" t="s">
        <v>1014</v>
      </c>
      <c r="H107" s="373" t="s">
        <v>990</v>
      </c>
      <c r="I107" s="373"/>
    </row>
    <row r="108" spans="1:20">
      <c r="F108" s="3"/>
      <c r="G108" s="216"/>
      <c r="H108" s="216"/>
      <c r="I108" s="216"/>
      <c r="J108" s="3"/>
      <c r="K108" s="3"/>
      <c r="L108" s="15"/>
      <c r="M108" s="216"/>
    </row>
    <row r="109" spans="1:20">
      <c r="F109" s="3"/>
      <c r="G109" s="216"/>
      <c r="H109" s="269"/>
      <c r="I109" s="216"/>
      <c r="J109" s="270"/>
      <c r="K109" s="270"/>
      <c r="L109" s="15"/>
      <c r="M109" s="216"/>
    </row>
    <row r="110" spans="1:20">
      <c r="F110" s="3"/>
      <c r="G110" s="216"/>
      <c r="H110" s="269" t="s">
        <v>1145</v>
      </c>
      <c r="I110" s="216" t="s">
        <v>1144</v>
      </c>
      <c r="J110" s="270" t="s">
        <v>1112</v>
      </c>
      <c r="K110" s="270"/>
      <c r="L110" s="15"/>
      <c r="M110" s="216"/>
    </row>
    <row r="111" spans="1:20">
      <c r="F111" s="3"/>
      <c r="G111" s="216"/>
      <c r="H111" s="388">
        <f>SUM(H80,H103)</f>
        <v>6122.92</v>
      </c>
      <c r="I111" s="269">
        <f>J105-H111</f>
        <v>96081.849999999991</v>
      </c>
      <c r="J111" s="270">
        <f>SUM(J83:J83)</f>
        <v>648.71</v>
      </c>
      <c r="K111" s="3"/>
      <c r="L111" s="15"/>
      <c r="M111" s="216"/>
    </row>
    <row r="112" spans="1:20">
      <c r="F112" s="3"/>
      <c r="G112" s="216"/>
      <c r="H112" s="216"/>
      <c r="I112" s="216"/>
      <c r="J112" s="3"/>
      <c r="K112" s="3"/>
      <c r="L112" s="15"/>
      <c r="M112" s="216"/>
      <c r="Q112" s="3"/>
      <c r="R112" s="3"/>
      <c r="S112" s="3"/>
      <c r="T112" s="3"/>
    </row>
  </sheetData>
  <mergeCells count="7">
    <mergeCell ref="A105:G105"/>
    <mergeCell ref="A85:G85"/>
    <mergeCell ref="A86:C86"/>
    <mergeCell ref="A88:C88"/>
    <mergeCell ref="A89:C89"/>
    <mergeCell ref="A90:G90"/>
    <mergeCell ref="A103:G10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CCEE-6329-BB42-9F29-AD448D32CE43}">
  <dimension ref="A1:T116"/>
  <sheetViews>
    <sheetView zoomScale="160" zoomScaleNormal="160" workbookViewId="0">
      <selection sqref="A1:XFD1048576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20.1640625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45748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69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1711.35</v>
      </c>
      <c r="H8" s="332" t="s">
        <v>1006</v>
      </c>
      <c r="I8" s="332">
        <v>1711.35</v>
      </c>
      <c r="J8" s="335">
        <v>1711.35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2063.59</v>
      </c>
      <c r="H9" s="332" t="s">
        <v>1006</v>
      </c>
      <c r="I9" s="331">
        <v>2063.59</v>
      </c>
      <c r="J9" s="389">
        <v>2063.59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409">
        <v>1998.08</v>
      </c>
      <c r="H10" s="332" t="s">
        <v>1006</v>
      </c>
      <c r="I10" s="409">
        <v>1998.08</v>
      </c>
      <c r="J10" s="389">
        <v>1998.08</v>
      </c>
      <c r="K10" s="333">
        <f t="shared" si="0"/>
        <v>0</v>
      </c>
      <c r="L10" s="329"/>
    </row>
    <row r="11" spans="1:20">
      <c r="A11" s="334"/>
      <c r="B11" s="354">
        <v>2341</v>
      </c>
      <c r="C11" s="328" t="s">
        <v>460</v>
      </c>
      <c r="D11" s="328" t="s">
        <v>1102</v>
      </c>
      <c r="E11" s="329" t="s">
        <v>852</v>
      </c>
      <c r="F11" s="330"/>
      <c r="G11" s="331">
        <v>1035.3900000000001</v>
      </c>
      <c r="H11" s="332">
        <v>0</v>
      </c>
      <c r="I11" s="331">
        <v>1035.3900000000001</v>
      </c>
      <c r="J11" s="389">
        <v>1035.3900000000001</v>
      </c>
      <c r="K11" s="333">
        <f t="shared" si="0"/>
        <v>0</v>
      </c>
      <c r="L11" s="329"/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1629.03</v>
      </c>
      <c r="H12" s="332" t="s">
        <v>1006</v>
      </c>
      <c r="I12" s="331">
        <v>1629.03</v>
      </c>
      <c r="J12" s="389">
        <v>1629.03</v>
      </c>
      <c r="K12" s="333">
        <f t="shared" si="0"/>
        <v>0</v>
      </c>
      <c r="L12" s="329"/>
    </row>
    <row r="13" spans="1:20">
      <c r="A13" s="334"/>
      <c r="B13" s="354">
        <v>2285</v>
      </c>
      <c r="C13" s="328" t="s">
        <v>745</v>
      </c>
      <c r="D13" s="328" t="s">
        <v>1117</v>
      </c>
      <c r="E13" s="329" t="s">
        <v>852</v>
      </c>
      <c r="F13" s="330"/>
      <c r="G13" s="331">
        <v>593.64</v>
      </c>
      <c r="H13" s="332"/>
      <c r="I13" s="331">
        <v>593.64</v>
      </c>
      <c r="J13" s="389">
        <v>593.64</v>
      </c>
      <c r="K13" s="333"/>
      <c r="L13" s="329"/>
    </row>
    <row r="14" spans="1:20">
      <c r="A14" s="334">
        <v>8</v>
      </c>
      <c r="B14" s="354">
        <v>2131</v>
      </c>
      <c r="C14" s="328" t="s">
        <v>745</v>
      </c>
      <c r="D14" s="338" t="s">
        <v>784</v>
      </c>
      <c r="E14" s="329" t="s">
        <v>852</v>
      </c>
      <c r="F14" s="330"/>
      <c r="G14" s="331">
        <v>703.79</v>
      </c>
      <c r="H14" s="332" t="s">
        <v>1006</v>
      </c>
      <c r="I14" s="331">
        <v>703.79</v>
      </c>
      <c r="J14" s="389">
        <v>703.79</v>
      </c>
      <c r="K14" s="333">
        <f t="shared" si="0"/>
        <v>0</v>
      </c>
      <c r="L14" s="329"/>
      <c r="P14" s="1"/>
      <c r="Q14" s="1"/>
      <c r="R14" s="1"/>
      <c r="S14" s="1"/>
      <c r="T14" s="1"/>
    </row>
    <row r="15" spans="1:20">
      <c r="A15" s="334">
        <v>7</v>
      </c>
      <c r="B15" s="354">
        <v>1751</v>
      </c>
      <c r="C15" s="328" t="s">
        <v>745</v>
      </c>
      <c r="D15" s="339" t="s">
        <v>838</v>
      </c>
      <c r="E15" s="329" t="s">
        <v>852</v>
      </c>
      <c r="F15" s="330"/>
      <c r="G15" s="331">
        <v>989.01</v>
      </c>
      <c r="H15" s="332" t="s">
        <v>1006</v>
      </c>
      <c r="I15" s="331">
        <v>989.01</v>
      </c>
      <c r="J15" s="389">
        <v>989.01</v>
      </c>
      <c r="K15" s="333">
        <f t="shared" si="0"/>
        <v>0</v>
      </c>
      <c r="L15" s="329"/>
    </row>
    <row r="16" spans="1:20">
      <c r="A16" s="334">
        <v>9</v>
      </c>
      <c r="B16" s="354">
        <v>2023</v>
      </c>
      <c r="C16" s="328" t="s">
        <v>745</v>
      </c>
      <c r="D16" s="339" t="s">
        <v>783</v>
      </c>
      <c r="E16" s="329" t="s">
        <v>852</v>
      </c>
      <c r="F16" s="330"/>
      <c r="G16" s="331">
        <v>740.89</v>
      </c>
      <c r="H16" s="332" t="s">
        <v>1006</v>
      </c>
      <c r="I16" s="331">
        <v>740.89</v>
      </c>
      <c r="J16" s="389">
        <v>740.89</v>
      </c>
      <c r="K16" s="333">
        <f t="shared" si="0"/>
        <v>0</v>
      </c>
      <c r="L16" s="328"/>
      <c r="P16" s="1"/>
      <c r="Q16" s="1"/>
      <c r="R16" s="1"/>
      <c r="S16" s="1"/>
      <c r="T16" s="1"/>
    </row>
    <row r="17" spans="1:20">
      <c r="A17" s="334"/>
      <c r="B17" s="374">
        <v>2302</v>
      </c>
      <c r="C17" s="336" t="s">
        <v>806</v>
      </c>
      <c r="D17" s="339" t="s">
        <v>952</v>
      </c>
      <c r="E17" s="329" t="s">
        <v>852</v>
      </c>
      <c r="F17" s="330"/>
      <c r="G17" s="331">
        <v>717.7</v>
      </c>
      <c r="H17" s="332" t="s">
        <v>1006</v>
      </c>
      <c r="I17" s="331">
        <v>717.7</v>
      </c>
      <c r="J17" s="389">
        <v>717.7</v>
      </c>
      <c r="K17" s="333">
        <f t="shared" si="0"/>
        <v>0</v>
      </c>
      <c r="L17" s="340"/>
      <c r="P17" s="1"/>
      <c r="Q17" s="1"/>
      <c r="R17" s="1"/>
      <c r="S17" s="1"/>
      <c r="T17" s="1"/>
    </row>
    <row r="18" spans="1:20">
      <c r="A18" s="334">
        <v>10</v>
      </c>
      <c r="B18" s="375">
        <v>2254</v>
      </c>
      <c r="C18" s="328" t="s">
        <v>840</v>
      </c>
      <c r="D18" s="328" t="s">
        <v>841</v>
      </c>
      <c r="E18" s="341" t="s">
        <v>855</v>
      </c>
      <c r="F18" s="330">
        <v>1</v>
      </c>
      <c r="G18" s="331">
        <v>1348.64</v>
      </c>
      <c r="H18" s="332">
        <v>604.79999999999995</v>
      </c>
      <c r="I18" s="332">
        <v>1953.45</v>
      </c>
      <c r="J18" s="333">
        <v>1953.45</v>
      </c>
      <c r="K18" s="333">
        <f t="shared" si="0"/>
        <v>0</v>
      </c>
      <c r="L18" s="329"/>
    </row>
    <row r="19" spans="1:20">
      <c r="A19" s="334"/>
      <c r="B19" s="354">
        <v>2308</v>
      </c>
      <c r="C19" s="328" t="s">
        <v>1118</v>
      </c>
      <c r="D19" s="328" t="s">
        <v>1119</v>
      </c>
      <c r="E19" s="382" t="s">
        <v>852</v>
      </c>
      <c r="F19" s="330"/>
      <c r="G19" s="331">
        <v>947.85</v>
      </c>
      <c r="H19" s="332">
        <v>0</v>
      </c>
      <c r="I19" s="332">
        <v>947.85</v>
      </c>
      <c r="J19" s="389">
        <v>947.85</v>
      </c>
      <c r="K19" s="333"/>
      <c r="L19" s="329"/>
    </row>
    <row r="20" spans="1:20">
      <c r="A20" s="334">
        <v>11</v>
      </c>
      <c r="B20" s="354">
        <v>1721</v>
      </c>
      <c r="C20" s="328" t="s">
        <v>746</v>
      </c>
      <c r="D20" s="328" t="s">
        <v>785</v>
      </c>
      <c r="E20" s="329" t="s">
        <v>854</v>
      </c>
      <c r="F20" s="330">
        <v>1</v>
      </c>
      <c r="G20" s="331">
        <v>1665.55</v>
      </c>
      <c r="H20" s="332" t="s">
        <v>1006</v>
      </c>
      <c r="I20" s="331">
        <v>1665.55</v>
      </c>
      <c r="J20" s="389">
        <v>1665.55</v>
      </c>
      <c r="K20" s="333">
        <f t="shared" si="0"/>
        <v>0</v>
      </c>
      <c r="L20" s="161"/>
    </row>
    <row r="21" spans="1:20">
      <c r="A21" s="334">
        <v>12</v>
      </c>
      <c r="B21" s="354">
        <v>2123</v>
      </c>
      <c r="C21" s="328" t="s">
        <v>746</v>
      </c>
      <c r="D21" s="328" t="s">
        <v>786</v>
      </c>
      <c r="E21" s="329" t="s">
        <v>852</v>
      </c>
      <c r="F21" s="330"/>
      <c r="G21" s="331">
        <v>754.8</v>
      </c>
      <c r="H21" s="332" t="s">
        <v>1006</v>
      </c>
      <c r="I21" s="331">
        <v>754.8</v>
      </c>
      <c r="J21" s="389">
        <v>754.8</v>
      </c>
      <c r="K21" s="333">
        <f t="shared" si="0"/>
        <v>0</v>
      </c>
      <c r="L21" s="161"/>
    </row>
    <row r="22" spans="1:20">
      <c r="A22" s="334">
        <v>13</v>
      </c>
      <c r="B22" s="354">
        <v>1970</v>
      </c>
      <c r="C22" s="328" t="s">
        <v>747</v>
      </c>
      <c r="D22" s="338" t="s">
        <v>787</v>
      </c>
      <c r="E22" s="329" t="s">
        <v>854</v>
      </c>
      <c r="F22" s="330">
        <v>1</v>
      </c>
      <c r="G22" s="331">
        <v>1320.82</v>
      </c>
      <c r="H22" s="332">
        <v>618.14</v>
      </c>
      <c r="I22" s="331">
        <f>H22+G22</f>
        <v>1938.96</v>
      </c>
      <c r="J22" s="389">
        <v>1938.96</v>
      </c>
      <c r="K22" s="333">
        <f t="shared" si="0"/>
        <v>0</v>
      </c>
      <c r="L22" s="161"/>
    </row>
    <row r="23" spans="1:20">
      <c r="A23" s="334">
        <v>14</v>
      </c>
      <c r="B23" s="376" t="s">
        <v>934</v>
      </c>
      <c r="C23" s="328" t="s">
        <v>932</v>
      </c>
      <c r="D23" s="338" t="s">
        <v>933</v>
      </c>
      <c r="E23" s="329" t="s">
        <v>851</v>
      </c>
      <c r="F23" s="330"/>
      <c r="G23" s="331">
        <v>808</v>
      </c>
      <c r="H23" s="332">
        <v>480.16</v>
      </c>
      <c r="I23" s="332">
        <f>SUM(G23:H23)</f>
        <v>1288.1600000000001</v>
      </c>
      <c r="J23" s="333">
        <v>1288.1500000000001</v>
      </c>
      <c r="K23" s="333">
        <f t="shared" si="0"/>
        <v>9.9999999999909051E-3</v>
      </c>
      <c r="L23" s="188"/>
    </row>
    <row r="24" spans="1:20">
      <c r="A24" s="334">
        <v>15</v>
      </c>
      <c r="B24" s="354">
        <v>1794</v>
      </c>
      <c r="C24" s="328" t="s">
        <v>466</v>
      </c>
      <c r="D24" s="328" t="s">
        <v>431</v>
      </c>
      <c r="E24" s="329" t="s">
        <v>854</v>
      </c>
      <c r="F24" s="330">
        <v>1</v>
      </c>
      <c r="G24" s="331">
        <v>1713.66</v>
      </c>
      <c r="H24" s="332" t="s">
        <v>1006</v>
      </c>
      <c r="I24" s="331">
        <v>1713.66</v>
      </c>
      <c r="J24" s="389">
        <v>1713.66</v>
      </c>
      <c r="K24" s="333">
        <f t="shared" si="0"/>
        <v>0</v>
      </c>
      <c r="L24" s="161"/>
      <c r="P24" s="1"/>
      <c r="Q24" s="1"/>
      <c r="R24" s="1"/>
      <c r="S24" s="1"/>
      <c r="T24" s="1"/>
    </row>
    <row r="25" spans="1:20">
      <c r="A25" s="334">
        <v>16</v>
      </c>
      <c r="B25" s="354">
        <v>2201</v>
      </c>
      <c r="C25" s="328" t="s">
        <v>748</v>
      </c>
      <c r="D25" s="338" t="s">
        <v>788</v>
      </c>
      <c r="E25" s="329" t="s">
        <v>852</v>
      </c>
      <c r="F25" s="330"/>
      <c r="G25" s="331">
        <v>1412.79</v>
      </c>
      <c r="H25" s="332" t="s">
        <v>1006</v>
      </c>
      <c r="I25" s="331">
        <v>1412.79</v>
      </c>
      <c r="J25" s="389">
        <v>1412.79</v>
      </c>
      <c r="K25" s="333">
        <f t="shared" si="0"/>
        <v>0</v>
      </c>
      <c r="L25" s="161"/>
    </row>
    <row r="26" spans="1:20">
      <c r="A26" s="334">
        <v>17</v>
      </c>
      <c r="B26" s="354">
        <v>2194</v>
      </c>
      <c r="C26" s="328" t="s">
        <v>749</v>
      </c>
      <c r="D26" s="338" t="s">
        <v>789</v>
      </c>
      <c r="E26" s="329" t="s">
        <v>852</v>
      </c>
      <c r="F26" s="330"/>
      <c r="G26" s="331">
        <v>657.99</v>
      </c>
      <c r="H26" s="332" t="s">
        <v>1006</v>
      </c>
      <c r="I26" s="331">
        <v>657.99</v>
      </c>
      <c r="J26" s="389">
        <v>657.99</v>
      </c>
      <c r="K26" s="333">
        <f t="shared" si="0"/>
        <v>0</v>
      </c>
      <c r="L26" s="161"/>
    </row>
    <row r="27" spans="1:20">
      <c r="A27" s="334"/>
      <c r="B27" s="354">
        <v>1961</v>
      </c>
      <c r="C27" s="328" t="s">
        <v>967</v>
      </c>
      <c r="D27" s="338" t="s">
        <v>968</v>
      </c>
      <c r="E27" s="329" t="s">
        <v>852</v>
      </c>
      <c r="F27" s="330"/>
      <c r="G27" s="409">
        <v>1509.02</v>
      </c>
      <c r="H27" s="332" t="s">
        <v>1006</v>
      </c>
      <c r="I27" s="409">
        <v>1509.02</v>
      </c>
      <c r="J27" s="389">
        <v>1509.02</v>
      </c>
      <c r="K27" s="333">
        <f t="shared" si="0"/>
        <v>0</v>
      </c>
      <c r="L27" s="161"/>
    </row>
    <row r="28" spans="1:20">
      <c r="A28" s="334">
        <v>18</v>
      </c>
      <c r="B28" s="354">
        <v>2289</v>
      </c>
      <c r="C28" s="328" t="s">
        <v>750</v>
      </c>
      <c r="D28" s="338" t="s">
        <v>790</v>
      </c>
      <c r="E28" s="329" t="s">
        <v>852</v>
      </c>
      <c r="F28" s="330"/>
      <c r="G28" s="331">
        <v>740.89</v>
      </c>
      <c r="H28" s="332" t="s">
        <v>1006</v>
      </c>
      <c r="I28" s="331">
        <v>740.89</v>
      </c>
      <c r="J28" s="389">
        <v>740.89</v>
      </c>
      <c r="K28" s="333">
        <f t="shared" si="0"/>
        <v>0</v>
      </c>
      <c r="L28" s="161"/>
    </row>
    <row r="29" spans="1:20">
      <c r="A29" s="334"/>
      <c r="B29" s="354">
        <v>2322</v>
      </c>
      <c r="C29" s="328" t="s">
        <v>1023</v>
      </c>
      <c r="D29" s="338" t="s">
        <v>1024</v>
      </c>
      <c r="E29" s="329" t="s">
        <v>852</v>
      </c>
      <c r="F29" s="330"/>
      <c r="G29" s="331">
        <v>582.04</v>
      </c>
      <c r="H29" s="332">
        <v>0</v>
      </c>
      <c r="I29" s="332">
        <v>582.04</v>
      </c>
      <c r="J29" s="335">
        <v>582.04</v>
      </c>
      <c r="K29" s="333">
        <f t="shared" si="0"/>
        <v>0</v>
      </c>
      <c r="L29" s="161"/>
    </row>
    <row r="30" spans="1:20">
      <c r="A30" s="334">
        <v>20</v>
      </c>
      <c r="B30" s="354">
        <v>2250</v>
      </c>
      <c r="C30" s="328" t="s">
        <v>752</v>
      </c>
      <c r="D30" s="328" t="s">
        <v>792</v>
      </c>
      <c r="E30" s="329" t="s">
        <v>853</v>
      </c>
      <c r="F30" s="330">
        <v>2</v>
      </c>
      <c r="G30" s="331">
        <v>1709.74</v>
      </c>
      <c r="H30" s="332" t="s">
        <v>1006</v>
      </c>
      <c r="I30" s="331">
        <v>1709.74</v>
      </c>
      <c r="J30" s="389">
        <v>1709.74</v>
      </c>
      <c r="K30" s="333">
        <f t="shared" si="0"/>
        <v>0</v>
      </c>
      <c r="L30" s="161"/>
    </row>
    <row r="31" spans="1:20">
      <c r="A31" s="334"/>
      <c r="B31" s="354">
        <v>2298</v>
      </c>
      <c r="C31" s="328" t="s">
        <v>752</v>
      </c>
      <c r="D31" s="328" t="s">
        <v>1106</v>
      </c>
      <c r="E31" s="329" t="s">
        <v>852</v>
      </c>
      <c r="F31" s="330"/>
      <c r="G31" s="331">
        <v>685.81</v>
      </c>
      <c r="H31" s="332">
        <v>0</v>
      </c>
      <c r="I31" s="331">
        <v>685.81</v>
      </c>
      <c r="J31" s="389">
        <v>685.81</v>
      </c>
      <c r="K31" s="333">
        <f t="shared" si="0"/>
        <v>0</v>
      </c>
      <c r="L31" s="161"/>
    </row>
    <row r="32" spans="1:20">
      <c r="A32" s="334">
        <v>21</v>
      </c>
      <c r="B32" s="354">
        <v>2193</v>
      </c>
      <c r="C32" s="328" t="s">
        <v>753</v>
      </c>
      <c r="D32" s="328" t="s">
        <v>794</v>
      </c>
      <c r="E32" s="329" t="s">
        <v>852</v>
      </c>
      <c r="F32" s="330"/>
      <c r="G32" s="331">
        <v>713.06</v>
      </c>
      <c r="H32" s="332" t="s">
        <v>1006</v>
      </c>
      <c r="I32" s="331">
        <v>713.06</v>
      </c>
      <c r="J32" s="389">
        <v>713.06</v>
      </c>
      <c r="K32" s="333">
        <f t="shared" si="0"/>
        <v>0</v>
      </c>
      <c r="L32" s="161"/>
    </row>
    <row r="33" spans="1:20">
      <c r="A33" s="334"/>
      <c r="B33" s="354">
        <v>2223</v>
      </c>
      <c r="C33" s="328" t="s">
        <v>972</v>
      </c>
      <c r="D33" s="328" t="s">
        <v>973</v>
      </c>
      <c r="E33" s="329" t="s">
        <v>852</v>
      </c>
      <c r="F33" s="330"/>
      <c r="G33" s="331">
        <v>630.16</v>
      </c>
      <c r="H33" s="332"/>
      <c r="I33" s="331">
        <v>630.16</v>
      </c>
      <c r="J33" s="389">
        <v>630.16</v>
      </c>
      <c r="K33" s="333">
        <f t="shared" si="0"/>
        <v>0</v>
      </c>
      <c r="L33" s="161"/>
    </row>
    <row r="34" spans="1:20">
      <c r="A34" s="334">
        <v>22</v>
      </c>
      <c r="B34" s="354">
        <v>640</v>
      </c>
      <c r="C34" s="328" t="s">
        <v>754</v>
      </c>
      <c r="D34" s="339" t="s">
        <v>795</v>
      </c>
      <c r="E34" s="329" t="s">
        <v>852</v>
      </c>
      <c r="F34" s="330"/>
      <c r="G34" s="331">
        <v>1509.02</v>
      </c>
      <c r="H34" s="332" t="s">
        <v>1006</v>
      </c>
      <c r="I34" s="416">
        <v>1509.02</v>
      </c>
      <c r="J34" s="389">
        <v>1509.02</v>
      </c>
      <c r="K34" s="333">
        <f t="shared" si="0"/>
        <v>0</v>
      </c>
      <c r="L34" s="329"/>
    </row>
    <row r="35" spans="1:20">
      <c r="A35" s="334">
        <v>23</v>
      </c>
      <c r="B35" s="354">
        <v>901</v>
      </c>
      <c r="C35" s="328" t="s">
        <v>439</v>
      </c>
      <c r="D35" s="328" t="s">
        <v>505</v>
      </c>
      <c r="E35" s="329" t="s">
        <v>852</v>
      </c>
      <c r="F35" s="330"/>
      <c r="G35" s="331">
        <v>1739.16</v>
      </c>
      <c r="H35" s="332" t="s">
        <v>1006</v>
      </c>
      <c r="I35" s="331">
        <v>1739.16</v>
      </c>
      <c r="J35" s="389">
        <v>1739.16</v>
      </c>
      <c r="K35" s="333">
        <f t="shared" si="0"/>
        <v>0</v>
      </c>
      <c r="L35" s="329"/>
    </row>
    <row r="36" spans="1:20">
      <c r="A36" s="334">
        <v>24</v>
      </c>
      <c r="B36" s="376" t="s">
        <v>675</v>
      </c>
      <c r="C36" s="328" t="s">
        <v>755</v>
      </c>
      <c r="D36" s="328" t="s">
        <v>796</v>
      </c>
      <c r="E36" s="329" t="s">
        <v>852</v>
      </c>
      <c r="F36" s="330"/>
      <c r="G36" s="331">
        <v>786.69</v>
      </c>
      <c r="H36" s="332" t="s">
        <v>1006</v>
      </c>
      <c r="I36" s="332">
        <v>786.69</v>
      </c>
      <c r="J36" s="333">
        <v>786.69</v>
      </c>
      <c r="K36" s="333">
        <f t="shared" si="0"/>
        <v>0</v>
      </c>
      <c r="L36" s="329"/>
    </row>
    <row r="37" spans="1:20">
      <c r="A37" s="334">
        <v>26</v>
      </c>
      <c r="B37" s="354">
        <v>1741</v>
      </c>
      <c r="C37" s="328" t="s">
        <v>755</v>
      </c>
      <c r="D37" s="328" t="s">
        <v>797</v>
      </c>
      <c r="E37" s="329" t="s">
        <v>852</v>
      </c>
      <c r="F37" s="330"/>
      <c r="G37" s="331">
        <v>1292.79</v>
      </c>
      <c r="H37" s="332" t="s">
        <v>1006</v>
      </c>
      <c r="I37" s="331">
        <v>1292.79</v>
      </c>
      <c r="J37" s="389">
        <v>1292.79</v>
      </c>
      <c r="K37" s="333">
        <f t="shared" si="0"/>
        <v>0</v>
      </c>
      <c r="L37" s="329"/>
    </row>
    <row r="38" spans="1:20">
      <c r="A38" s="334">
        <v>25</v>
      </c>
      <c r="B38" s="354">
        <v>1757</v>
      </c>
      <c r="C38" s="328" t="s">
        <v>755</v>
      </c>
      <c r="D38" s="338" t="s">
        <v>798</v>
      </c>
      <c r="E38" s="329" t="s">
        <v>853</v>
      </c>
      <c r="F38" s="330">
        <v>2</v>
      </c>
      <c r="G38" s="331">
        <v>2170.85</v>
      </c>
      <c r="H38" s="332" t="s">
        <v>1006</v>
      </c>
      <c r="I38" s="331">
        <v>2170.85</v>
      </c>
      <c r="J38" s="389">
        <v>2170.85</v>
      </c>
      <c r="K38" s="333">
        <f t="shared" si="0"/>
        <v>0</v>
      </c>
      <c r="L38" s="329"/>
      <c r="N38" s="12"/>
      <c r="O38" s="12"/>
      <c r="P38" s="12"/>
      <c r="Q38" s="12"/>
      <c r="R38" s="12"/>
      <c r="S38" s="12"/>
      <c r="T38" s="12"/>
    </row>
    <row r="39" spans="1:20">
      <c r="A39" s="334">
        <v>27</v>
      </c>
      <c r="B39" s="354">
        <v>2057</v>
      </c>
      <c r="C39" s="328" t="s">
        <v>756</v>
      </c>
      <c r="D39" s="338" t="s">
        <v>799</v>
      </c>
      <c r="E39" s="329" t="s">
        <v>852</v>
      </c>
      <c r="F39" s="330"/>
      <c r="G39" s="331">
        <v>1739.16</v>
      </c>
      <c r="H39" s="332" t="s">
        <v>1006</v>
      </c>
      <c r="I39" s="331">
        <v>1739.16</v>
      </c>
      <c r="J39" s="389">
        <v>1739.16</v>
      </c>
      <c r="K39" s="333">
        <f t="shared" si="0"/>
        <v>0</v>
      </c>
      <c r="L39" s="329"/>
    </row>
    <row r="40" spans="1:20">
      <c r="A40" s="334">
        <v>28</v>
      </c>
      <c r="B40" s="354">
        <v>1210</v>
      </c>
      <c r="C40" s="328" t="s">
        <v>756</v>
      </c>
      <c r="D40" s="338" t="s">
        <v>800</v>
      </c>
      <c r="E40" s="329" t="s">
        <v>852</v>
      </c>
      <c r="F40" s="330"/>
      <c r="G40" s="331">
        <v>1739.16</v>
      </c>
      <c r="H40" s="332" t="s">
        <v>1006</v>
      </c>
      <c r="I40" s="331">
        <v>1739.16</v>
      </c>
      <c r="J40" s="389">
        <v>1739.16</v>
      </c>
      <c r="K40" s="333">
        <f t="shared" si="0"/>
        <v>0</v>
      </c>
      <c r="L40" s="329"/>
    </row>
    <row r="41" spans="1:20">
      <c r="A41" s="334"/>
      <c r="B41" s="354">
        <v>2310</v>
      </c>
      <c r="C41" s="328" t="s">
        <v>756</v>
      </c>
      <c r="D41" s="338" t="s">
        <v>977</v>
      </c>
      <c r="E41" s="329" t="s">
        <v>852</v>
      </c>
      <c r="F41" s="330"/>
      <c r="G41" s="331">
        <v>1035.3900000000001</v>
      </c>
      <c r="H41" s="332" t="s">
        <v>1006</v>
      </c>
      <c r="I41" s="331">
        <v>1035.3900000000001</v>
      </c>
      <c r="J41" s="389">
        <v>1035.3900000000001</v>
      </c>
      <c r="K41" s="333">
        <f t="shared" si="0"/>
        <v>0</v>
      </c>
      <c r="L41" s="329"/>
    </row>
    <row r="42" spans="1:20">
      <c r="A42" s="334">
        <v>29</v>
      </c>
      <c r="B42" s="354">
        <v>1460</v>
      </c>
      <c r="C42" s="328" t="s">
        <v>444</v>
      </c>
      <c r="D42" s="328" t="s">
        <v>506</v>
      </c>
      <c r="E42" s="329" t="s">
        <v>852</v>
      </c>
      <c r="F42" s="330"/>
      <c r="G42" s="331">
        <v>1081.19</v>
      </c>
      <c r="H42" s="332" t="s">
        <v>1006</v>
      </c>
      <c r="I42" s="331">
        <v>1081.19</v>
      </c>
      <c r="J42" s="389">
        <v>1081.19</v>
      </c>
      <c r="K42" s="333">
        <f t="shared" si="0"/>
        <v>0</v>
      </c>
      <c r="L42" s="329"/>
    </row>
    <row r="43" spans="1:20">
      <c r="A43" s="334">
        <v>32</v>
      </c>
      <c r="B43" s="354">
        <v>2248</v>
      </c>
      <c r="C43" s="328" t="s">
        <v>757</v>
      </c>
      <c r="D43" s="328" t="s">
        <v>801</v>
      </c>
      <c r="E43" s="341" t="s">
        <v>856</v>
      </c>
      <c r="F43" s="330">
        <v>2</v>
      </c>
      <c r="G43" s="331">
        <v>1778.57</v>
      </c>
      <c r="H43" s="332">
        <v>581.62</v>
      </c>
      <c r="I43" s="332">
        <f>SUM(G43:H43)</f>
        <v>2360.19</v>
      </c>
      <c r="J43" s="333">
        <v>2360.19</v>
      </c>
      <c r="K43" s="333">
        <f t="shared" si="0"/>
        <v>0</v>
      </c>
      <c r="L43" s="329"/>
    </row>
    <row r="44" spans="1:20">
      <c r="A44" s="334"/>
      <c r="B44" s="354">
        <v>2319</v>
      </c>
      <c r="C44" s="328" t="s">
        <v>757</v>
      </c>
      <c r="D44" s="328" t="s">
        <v>1026</v>
      </c>
      <c r="E44" s="382" t="s">
        <v>853</v>
      </c>
      <c r="F44" s="330">
        <v>2</v>
      </c>
      <c r="G44" s="331">
        <v>1623.94</v>
      </c>
      <c r="H44" s="332">
        <v>0</v>
      </c>
      <c r="I44" s="331">
        <v>1623.94</v>
      </c>
      <c r="J44" s="389">
        <v>1623.94</v>
      </c>
      <c r="K44" s="333">
        <f t="shared" si="0"/>
        <v>0</v>
      </c>
      <c r="L44" s="329"/>
    </row>
    <row r="45" spans="1:20">
      <c r="A45" s="334"/>
      <c r="B45" s="354">
        <v>1300</v>
      </c>
      <c r="C45" s="328" t="s">
        <v>757</v>
      </c>
      <c r="D45" s="328" t="s">
        <v>1037</v>
      </c>
      <c r="E45" s="382" t="s">
        <v>854</v>
      </c>
      <c r="F45" s="330">
        <v>1</v>
      </c>
      <c r="G45" s="331">
        <v>1783.23</v>
      </c>
      <c r="H45" s="332">
        <v>0</v>
      </c>
      <c r="I45" s="331">
        <v>1783.23</v>
      </c>
      <c r="J45" s="389">
        <v>1783.23</v>
      </c>
      <c r="K45" s="333">
        <f t="shared" si="0"/>
        <v>0</v>
      </c>
      <c r="L45" s="329"/>
    </row>
    <row r="46" spans="1:20">
      <c r="A46" s="334">
        <v>30</v>
      </c>
      <c r="B46" s="354">
        <v>2062</v>
      </c>
      <c r="C46" s="328" t="s">
        <v>757</v>
      </c>
      <c r="D46" s="328" t="s">
        <v>802</v>
      </c>
      <c r="E46" s="329" t="s">
        <v>853</v>
      </c>
      <c r="F46" s="330">
        <v>2</v>
      </c>
      <c r="G46" s="331">
        <v>1633.22</v>
      </c>
      <c r="H46" s="332" t="s">
        <v>1006</v>
      </c>
      <c r="I46" s="331">
        <v>1633.22</v>
      </c>
      <c r="J46" s="389">
        <v>1633.22</v>
      </c>
      <c r="K46" s="333">
        <f t="shared" si="0"/>
        <v>0</v>
      </c>
      <c r="L46" s="329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1907.43</v>
      </c>
      <c r="H47" s="332" t="s">
        <v>1006</v>
      </c>
      <c r="I47" s="331">
        <v>1907.43</v>
      </c>
      <c r="J47" s="389">
        <v>1907.43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1267.6400000000001</v>
      </c>
      <c r="H48" s="332" t="s">
        <v>1006</v>
      </c>
      <c r="I48" s="331">
        <v>1267.6400000000001</v>
      </c>
      <c r="J48" s="389">
        <v>1267.6400000000001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657.99</v>
      </c>
      <c r="H49" s="332" t="s">
        <v>1006</v>
      </c>
      <c r="I49" s="331">
        <v>657.99</v>
      </c>
      <c r="J49" s="389">
        <v>657.99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1739.16</v>
      </c>
      <c r="H50" s="332" t="s">
        <v>1006</v>
      </c>
      <c r="I50" s="331">
        <v>1739.16</v>
      </c>
      <c r="J50" s="399">
        <v>1739.16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713.06</v>
      </c>
      <c r="H51" s="332" t="s">
        <v>1006</v>
      </c>
      <c r="I51" s="331">
        <v>713.06</v>
      </c>
      <c r="J51" s="333">
        <v>713.06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630.16</v>
      </c>
      <c r="H52" s="332" t="s">
        <v>1006</v>
      </c>
      <c r="I52" s="331">
        <v>630.16</v>
      </c>
      <c r="J52" s="389">
        <v>630.16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657.99</v>
      </c>
      <c r="H53" s="332" t="s">
        <v>1006</v>
      </c>
      <c r="I53" s="331">
        <v>657.99</v>
      </c>
      <c r="J53" s="389">
        <v>657.99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1647.13</v>
      </c>
      <c r="H54" s="332" t="s">
        <v>1006</v>
      </c>
      <c r="I54" s="331">
        <v>1647.13</v>
      </c>
      <c r="J54" s="389">
        <v>1647.13</v>
      </c>
      <c r="K54" s="333" t="e">
        <f>#REF!-#REF!</f>
        <v>#REF!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1501.26</v>
      </c>
      <c r="H55" s="332" t="s">
        <v>1006</v>
      </c>
      <c r="I55" s="331">
        <v>1501.26</v>
      </c>
      <c r="J55" s="389">
        <v>1501.26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1789.97</v>
      </c>
      <c r="H56" s="332" t="s">
        <v>1006</v>
      </c>
      <c r="I56" s="331">
        <v>1789.97</v>
      </c>
      <c r="J56" s="389">
        <v>1789.97</v>
      </c>
      <c r="K56" s="333">
        <f t="shared" si="0"/>
        <v>0</v>
      </c>
      <c r="L56" s="329"/>
    </row>
    <row r="57" spans="1:12">
      <c r="A57" s="334">
        <v>44</v>
      </c>
      <c r="B57" s="354">
        <v>2001</v>
      </c>
      <c r="C57" s="328" t="s">
        <v>766</v>
      </c>
      <c r="D57" s="338" t="s">
        <v>814</v>
      </c>
      <c r="E57" s="329" t="s">
        <v>852</v>
      </c>
      <c r="F57" s="330"/>
      <c r="G57" s="331">
        <v>1477.14</v>
      </c>
      <c r="H57" s="332" t="s">
        <v>1006</v>
      </c>
      <c r="I57" s="331">
        <v>1477.14</v>
      </c>
      <c r="J57" s="389">
        <v>1477.14</v>
      </c>
      <c r="K57" s="333">
        <f t="shared" si="0"/>
        <v>0</v>
      </c>
      <c r="L57" s="329"/>
    </row>
    <row r="58" spans="1:12">
      <c r="A58" s="334">
        <v>45</v>
      </c>
      <c r="B58" s="354">
        <v>2160</v>
      </c>
      <c r="C58" s="328" t="s">
        <v>767</v>
      </c>
      <c r="D58" s="338" t="s">
        <v>815</v>
      </c>
      <c r="E58" s="329" t="s">
        <v>854</v>
      </c>
      <c r="F58" s="330">
        <v>1</v>
      </c>
      <c r="G58" s="331">
        <v>2091.06</v>
      </c>
      <c r="H58" s="332" t="s">
        <v>1006</v>
      </c>
      <c r="I58" s="331">
        <v>2091.06</v>
      </c>
      <c r="J58" s="331">
        <v>2091.06</v>
      </c>
      <c r="K58" s="333">
        <f t="shared" si="0"/>
        <v>0</v>
      </c>
      <c r="L58" s="329" t="s">
        <v>1051</v>
      </c>
    </row>
    <row r="59" spans="1:12">
      <c r="A59" s="334">
        <v>47</v>
      </c>
      <c r="B59" s="354">
        <v>2279</v>
      </c>
      <c r="C59" s="328" t="s">
        <v>769</v>
      </c>
      <c r="D59" s="328" t="s">
        <v>843</v>
      </c>
      <c r="E59" s="329" t="s">
        <v>852</v>
      </c>
      <c r="F59" s="330"/>
      <c r="G59" s="331">
        <v>607.54999999999995</v>
      </c>
      <c r="H59" s="332" t="s">
        <v>1006</v>
      </c>
      <c r="I59" s="331">
        <v>607.54999999999995</v>
      </c>
      <c r="J59" s="389">
        <v>607.54999999999995</v>
      </c>
      <c r="K59" s="333">
        <f t="shared" si="0"/>
        <v>0</v>
      </c>
      <c r="L59" s="161"/>
    </row>
    <row r="60" spans="1:12">
      <c r="A60" s="334">
        <v>48</v>
      </c>
      <c r="B60" s="354">
        <v>2246</v>
      </c>
      <c r="C60" s="328" t="s">
        <v>769</v>
      </c>
      <c r="D60" s="338" t="s">
        <v>817</v>
      </c>
      <c r="E60" s="329" t="s">
        <v>852</v>
      </c>
      <c r="F60" s="330"/>
      <c r="G60" s="331">
        <v>703.79</v>
      </c>
      <c r="H60" s="332" t="s">
        <v>1006</v>
      </c>
      <c r="I60" s="331">
        <v>703.79</v>
      </c>
      <c r="J60" s="389">
        <v>703.79</v>
      </c>
      <c r="K60" s="333">
        <f t="shared" si="0"/>
        <v>0</v>
      </c>
      <c r="L60" s="188"/>
    </row>
    <row r="61" spans="1:12">
      <c r="A61" s="334">
        <v>49</v>
      </c>
      <c r="B61" s="354">
        <v>2018</v>
      </c>
      <c r="C61" s="328" t="s">
        <v>770</v>
      </c>
      <c r="D61" s="328" t="s">
        <v>818</v>
      </c>
      <c r="E61" s="329" t="s">
        <v>852</v>
      </c>
      <c r="F61" s="330"/>
      <c r="G61" s="331">
        <v>1739.16</v>
      </c>
      <c r="H61" s="332" t="s">
        <v>1006</v>
      </c>
      <c r="I61" s="331">
        <v>1739.16</v>
      </c>
      <c r="J61" s="389">
        <v>1739.16</v>
      </c>
      <c r="K61" s="333">
        <f t="shared" si="0"/>
        <v>0</v>
      </c>
      <c r="L61" s="161"/>
    </row>
    <row r="62" spans="1:12">
      <c r="A62" s="334"/>
      <c r="B62" s="354">
        <v>2329</v>
      </c>
      <c r="C62" s="328" t="s">
        <v>1070</v>
      </c>
      <c r="D62" s="328" t="s">
        <v>1071</v>
      </c>
      <c r="E62" s="329" t="s">
        <v>854</v>
      </c>
      <c r="F62" s="330">
        <v>1</v>
      </c>
      <c r="G62" s="331">
        <v>579.72</v>
      </c>
      <c r="H62" s="332">
        <v>0</v>
      </c>
      <c r="I62" s="331">
        <v>579.72</v>
      </c>
      <c r="J62" s="389">
        <v>579.72</v>
      </c>
      <c r="K62" s="333">
        <f t="shared" si="0"/>
        <v>0</v>
      </c>
      <c r="L62" s="329"/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2088.7399999999998</v>
      </c>
      <c r="H63" s="332" t="s">
        <v>1006</v>
      </c>
      <c r="I63" s="331">
        <v>2088.7399999999998</v>
      </c>
      <c r="J63" s="333">
        <v>2088.7399999999998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713.06</v>
      </c>
      <c r="H64" s="332" t="s">
        <v>1006</v>
      </c>
      <c r="I64" s="331">
        <v>713.06</v>
      </c>
      <c r="J64" s="389">
        <v>713.06</v>
      </c>
      <c r="K64" s="333">
        <f t="shared" si="0"/>
        <v>0</v>
      </c>
      <c r="L64" s="329"/>
    </row>
    <row r="65" spans="1:16">
      <c r="A65" s="334">
        <v>52</v>
      </c>
      <c r="B65" s="354">
        <v>2060</v>
      </c>
      <c r="C65" s="328" t="s">
        <v>487</v>
      </c>
      <c r="D65" s="328" t="s">
        <v>516</v>
      </c>
      <c r="E65" s="329" t="s">
        <v>852</v>
      </c>
      <c r="F65" s="330"/>
      <c r="G65" s="331">
        <v>1182.6400000000001</v>
      </c>
      <c r="H65" s="332" t="s">
        <v>1006</v>
      </c>
      <c r="I65" s="331">
        <v>1182.6400000000001</v>
      </c>
      <c r="J65" s="389">
        <v>1182.6400000000001</v>
      </c>
      <c r="K65" s="333">
        <f t="shared" si="0"/>
        <v>0</v>
      </c>
      <c r="L65" s="329"/>
    </row>
    <row r="66" spans="1:16">
      <c r="A66" s="334"/>
      <c r="B66" s="354">
        <v>2333</v>
      </c>
      <c r="C66" s="328" t="s">
        <v>1078</v>
      </c>
      <c r="D66" s="328" t="s">
        <v>1079</v>
      </c>
      <c r="E66" s="329" t="s">
        <v>854</v>
      </c>
      <c r="F66" s="330">
        <v>1</v>
      </c>
      <c r="G66" s="331">
        <v>1166.18</v>
      </c>
      <c r="H66" s="332">
        <v>0</v>
      </c>
      <c r="I66" s="331">
        <v>1166.18</v>
      </c>
      <c r="J66" s="389">
        <v>1166.18</v>
      </c>
      <c r="K66" s="333">
        <f t="shared" si="0"/>
        <v>0</v>
      </c>
      <c r="L66" s="329"/>
    </row>
    <row r="67" spans="1:16">
      <c r="A67" s="334">
        <v>54</v>
      </c>
      <c r="B67" s="354">
        <v>1050</v>
      </c>
      <c r="C67" s="328" t="s">
        <v>773</v>
      </c>
      <c r="D67" s="328" t="s">
        <v>821</v>
      </c>
      <c r="E67" s="329" t="s">
        <v>852</v>
      </c>
      <c r="F67" s="330"/>
      <c r="G67" s="331">
        <v>1739.16</v>
      </c>
      <c r="H67" s="332" t="s">
        <v>1006</v>
      </c>
      <c r="I67" s="331">
        <v>1739.16</v>
      </c>
      <c r="J67" s="389">
        <v>1739.16</v>
      </c>
      <c r="K67" s="333">
        <f t="shared" si="0"/>
        <v>0</v>
      </c>
      <c r="L67" s="329"/>
    </row>
    <row r="68" spans="1:16">
      <c r="A68" s="334">
        <v>55</v>
      </c>
      <c r="B68" s="354">
        <v>1964</v>
      </c>
      <c r="C68" s="328" t="s">
        <v>491</v>
      </c>
      <c r="D68" s="328" t="s">
        <v>456</v>
      </c>
      <c r="E68" s="329" t="s">
        <v>852</v>
      </c>
      <c r="F68" s="330"/>
      <c r="G68" s="331">
        <v>947.85</v>
      </c>
      <c r="H68" s="332" t="s">
        <v>1006</v>
      </c>
      <c r="I68" s="331">
        <v>947.85</v>
      </c>
      <c r="J68" s="389">
        <v>947.85</v>
      </c>
      <c r="K68" s="333">
        <f t="shared" si="0"/>
        <v>0</v>
      </c>
      <c r="L68" s="329"/>
    </row>
    <row r="69" spans="1:16">
      <c r="A69" s="334">
        <v>57</v>
      </c>
      <c r="B69" s="354">
        <v>1981</v>
      </c>
      <c r="C69" s="328" t="s">
        <v>774</v>
      </c>
      <c r="D69" s="338" t="s">
        <v>822</v>
      </c>
      <c r="E69" s="329" t="s">
        <v>852</v>
      </c>
      <c r="F69" s="330"/>
      <c r="G69" s="331">
        <v>740.89</v>
      </c>
      <c r="H69" s="332" t="s">
        <v>1006</v>
      </c>
      <c r="I69" s="331">
        <v>740.89</v>
      </c>
      <c r="J69" s="389">
        <v>740.89</v>
      </c>
      <c r="K69" s="333">
        <f t="shared" si="0"/>
        <v>0</v>
      </c>
      <c r="L69" s="329"/>
    </row>
    <row r="70" spans="1:16">
      <c r="A70" s="334">
        <v>56</v>
      </c>
      <c r="B70" s="354">
        <v>1662</v>
      </c>
      <c r="C70" s="328" t="s">
        <v>774</v>
      </c>
      <c r="D70" s="328" t="s">
        <v>823</v>
      </c>
      <c r="E70" s="329" t="s">
        <v>852</v>
      </c>
      <c r="F70" s="330"/>
      <c r="G70" s="331">
        <v>989.01</v>
      </c>
      <c r="H70" s="332" t="s">
        <v>1006</v>
      </c>
      <c r="I70" s="331">
        <v>989.01</v>
      </c>
      <c r="J70" s="389">
        <v>989.01</v>
      </c>
      <c r="K70" s="333">
        <f t="shared" ref="K70:K78" si="1">I70-J70</f>
        <v>0</v>
      </c>
      <c r="L70" s="329"/>
    </row>
    <row r="71" spans="1:16">
      <c r="A71" s="334"/>
      <c r="B71" s="354">
        <v>2339</v>
      </c>
      <c r="C71" s="328" t="s">
        <v>775</v>
      </c>
      <c r="D71" s="328" t="s">
        <v>1110</v>
      </c>
      <c r="E71" s="329" t="s">
        <v>854</v>
      </c>
      <c r="F71" s="330">
        <v>1</v>
      </c>
      <c r="G71" s="331">
        <v>1568.73</v>
      </c>
      <c r="H71" s="332">
        <v>0</v>
      </c>
      <c r="I71" s="331">
        <v>1568.73</v>
      </c>
      <c r="J71" s="389">
        <v>1568.73</v>
      </c>
      <c r="K71" s="333">
        <f t="shared" si="1"/>
        <v>0</v>
      </c>
      <c r="L71" s="329" t="s">
        <v>1051</v>
      </c>
    </row>
    <row r="72" spans="1:16">
      <c r="A72" s="334">
        <v>58</v>
      </c>
      <c r="B72" s="354">
        <v>1630</v>
      </c>
      <c r="C72" s="328" t="s">
        <v>775</v>
      </c>
      <c r="D72" s="338" t="s">
        <v>824</v>
      </c>
      <c r="E72" s="329" t="s">
        <v>852</v>
      </c>
      <c r="F72" s="330"/>
      <c r="G72" s="331">
        <v>1352.5</v>
      </c>
      <c r="H72" s="332" t="s">
        <v>1006</v>
      </c>
      <c r="I72" s="331">
        <v>1352.5</v>
      </c>
      <c r="J72" s="389">
        <v>1352.5</v>
      </c>
      <c r="K72" s="333">
        <f t="shared" si="1"/>
        <v>0</v>
      </c>
      <c r="L72" s="329"/>
    </row>
    <row r="73" spans="1:16">
      <c r="A73" s="334"/>
      <c r="B73" s="354">
        <v>2337</v>
      </c>
      <c r="C73" s="328" t="s">
        <v>777</v>
      </c>
      <c r="D73" s="338" t="s">
        <v>1080</v>
      </c>
      <c r="E73" s="329" t="s">
        <v>852</v>
      </c>
      <c r="F73" s="330"/>
      <c r="G73" s="331">
        <v>685.81</v>
      </c>
      <c r="H73" s="332">
        <v>0</v>
      </c>
      <c r="I73" s="331">
        <v>685.81</v>
      </c>
      <c r="J73" s="389">
        <v>685.81</v>
      </c>
      <c r="K73" s="333">
        <f t="shared" si="1"/>
        <v>0</v>
      </c>
      <c r="L73" s="329"/>
    </row>
    <row r="74" spans="1:16">
      <c r="A74" s="334">
        <v>61</v>
      </c>
      <c r="B74" s="354">
        <v>2010</v>
      </c>
      <c r="C74" s="328" t="s">
        <v>777</v>
      </c>
      <c r="D74" s="328" t="s">
        <v>826</v>
      </c>
      <c r="E74" s="329" t="s">
        <v>852</v>
      </c>
      <c r="F74" s="330"/>
      <c r="G74" s="331">
        <v>1131.6199999999999</v>
      </c>
      <c r="H74" s="332" t="s">
        <v>1006</v>
      </c>
      <c r="I74" s="331">
        <v>1131.6199999999999</v>
      </c>
      <c r="J74" s="389">
        <v>1131.6199999999999</v>
      </c>
      <c r="K74" s="333">
        <f t="shared" si="1"/>
        <v>0</v>
      </c>
      <c r="L74" s="329"/>
    </row>
    <row r="75" spans="1:16">
      <c r="A75" s="334">
        <v>60</v>
      </c>
      <c r="B75" s="354">
        <v>2187</v>
      </c>
      <c r="C75" s="328" t="s">
        <v>777</v>
      </c>
      <c r="D75" s="328" t="s">
        <v>827</v>
      </c>
      <c r="E75" s="329" t="s">
        <v>853</v>
      </c>
      <c r="F75" s="330">
        <v>2</v>
      </c>
      <c r="G75" s="331">
        <v>2082.5100000000002</v>
      </c>
      <c r="H75" s="332" t="s">
        <v>1006</v>
      </c>
      <c r="I75" s="391">
        <v>2082.5100000000002</v>
      </c>
      <c r="J75" s="389">
        <v>2082.5100000000002</v>
      </c>
      <c r="K75" s="333">
        <f t="shared" si="1"/>
        <v>0</v>
      </c>
      <c r="L75" s="329"/>
    </row>
    <row r="76" spans="1:16">
      <c r="A76" s="334">
        <v>63</v>
      </c>
      <c r="B76" s="354">
        <v>2064</v>
      </c>
      <c r="C76" s="328" t="s">
        <v>778</v>
      </c>
      <c r="D76" s="338" t="s">
        <v>829</v>
      </c>
      <c r="E76" s="341" t="s">
        <v>856</v>
      </c>
      <c r="F76" s="330">
        <v>2</v>
      </c>
      <c r="G76" s="331">
        <v>1797.13</v>
      </c>
      <c r="H76" s="332">
        <v>659.88</v>
      </c>
      <c r="I76" s="332">
        <f>SUM(G76:H76)</f>
        <v>2457.0100000000002</v>
      </c>
      <c r="J76" s="333">
        <v>2457.0100000000002</v>
      </c>
      <c r="K76" s="333">
        <f t="shared" si="1"/>
        <v>0</v>
      </c>
      <c r="L76" s="329"/>
    </row>
    <row r="77" spans="1:16">
      <c r="A77" s="334"/>
      <c r="B77" s="354">
        <v>2335</v>
      </c>
      <c r="C77" s="328" t="s">
        <v>870</v>
      </c>
      <c r="D77" s="338" t="s">
        <v>1081</v>
      </c>
      <c r="E77" s="382" t="s">
        <v>852</v>
      </c>
      <c r="F77" s="330"/>
      <c r="G77" s="331">
        <v>607.54999999999995</v>
      </c>
      <c r="H77" s="332">
        <v>0</v>
      </c>
      <c r="I77" s="331">
        <v>607.54999999999995</v>
      </c>
      <c r="J77" s="389">
        <v>607.54999999999995</v>
      </c>
      <c r="K77" s="333">
        <v>0</v>
      </c>
      <c r="L77" s="329"/>
    </row>
    <row r="78" spans="1:16">
      <c r="A78" s="334"/>
      <c r="B78" s="354">
        <v>2089</v>
      </c>
      <c r="C78" s="328" t="s">
        <v>870</v>
      </c>
      <c r="D78" s="338" t="s">
        <v>1007</v>
      </c>
      <c r="E78" s="329" t="s">
        <v>854</v>
      </c>
      <c r="F78" s="330">
        <v>1</v>
      </c>
      <c r="G78" s="331">
        <v>1161.55</v>
      </c>
      <c r="H78" s="332" t="s">
        <v>1006</v>
      </c>
      <c r="I78" s="331">
        <v>1161.55</v>
      </c>
      <c r="J78" s="389">
        <v>1161.55</v>
      </c>
      <c r="K78" s="333">
        <f t="shared" si="1"/>
        <v>0</v>
      </c>
      <c r="L78" s="329" t="s">
        <v>1107</v>
      </c>
    </row>
    <row r="79" spans="1:16">
      <c r="A79" s="7"/>
      <c r="B79" s="66"/>
      <c r="C79" s="29"/>
      <c r="D79" s="29"/>
      <c r="E79" s="410"/>
      <c r="F79" s="411"/>
      <c r="G79" s="412"/>
      <c r="H79" s="413">
        <f>SUM(H5:H78)</f>
        <v>2944.6000000000004</v>
      </c>
      <c r="I79" s="412"/>
      <c r="J79" s="414"/>
      <c r="K79" s="414"/>
      <c r="L79" s="385"/>
      <c r="M79" s="216"/>
      <c r="O79" s="15"/>
      <c r="P79" s="15"/>
    </row>
    <row r="80" spans="1:16">
      <c r="A80" s="7"/>
      <c r="B80" s="66"/>
      <c r="C80" s="29"/>
      <c r="D80" s="29"/>
      <c r="E80" s="410"/>
      <c r="F80" s="411"/>
      <c r="G80" s="412"/>
      <c r="H80" s="413"/>
      <c r="I80" s="412"/>
      <c r="J80" s="414"/>
      <c r="K80" s="414"/>
      <c r="L80" s="385"/>
      <c r="M80" s="216"/>
      <c r="O80" s="15"/>
      <c r="P80" s="15"/>
    </row>
    <row r="81" spans="1:20">
      <c r="A81" s="7"/>
      <c r="B81" s="66"/>
      <c r="C81" s="29"/>
      <c r="D81" s="29"/>
      <c r="E81" s="410"/>
      <c r="F81" s="411"/>
      <c r="G81" s="412"/>
      <c r="H81" s="413"/>
      <c r="I81" s="412"/>
      <c r="J81" s="414"/>
      <c r="K81" s="414"/>
      <c r="L81" s="385"/>
      <c r="M81" s="216"/>
      <c r="O81" s="15"/>
      <c r="P81" s="15"/>
    </row>
    <row r="82" spans="1:20">
      <c r="A82" s="7"/>
      <c r="B82" s="354">
        <v>2288</v>
      </c>
      <c r="C82" s="328" t="s">
        <v>772</v>
      </c>
      <c r="D82" s="338" t="s">
        <v>820</v>
      </c>
      <c r="E82" s="329" t="s">
        <v>852</v>
      </c>
      <c r="F82" s="330"/>
      <c r="G82" s="331">
        <v>648.71</v>
      </c>
      <c r="H82" s="412"/>
      <c r="I82" s="331">
        <v>648.71</v>
      </c>
      <c r="J82" s="331">
        <v>648.71</v>
      </c>
      <c r="K82" s="333">
        <f t="shared" ref="K82" si="2">I82-J82</f>
        <v>0</v>
      </c>
      <c r="L82" s="196" t="s">
        <v>1128</v>
      </c>
      <c r="M82" s="216"/>
      <c r="O82" s="15"/>
      <c r="P82" s="15"/>
    </row>
    <row r="83" spans="1:20">
      <c r="A83" s="7"/>
      <c r="B83" s="354"/>
      <c r="C83" s="328"/>
      <c r="D83" s="338"/>
      <c r="E83" s="329"/>
      <c r="F83" s="330"/>
      <c r="G83" s="331"/>
      <c r="H83" s="412"/>
      <c r="I83" s="331" t="s">
        <v>1113</v>
      </c>
      <c r="J83" s="415">
        <f>SUM(J82:J82)</f>
        <v>648.71</v>
      </c>
      <c r="K83" s="333"/>
      <c r="L83" s="385"/>
      <c r="M83" s="216"/>
      <c r="O83" s="15"/>
      <c r="P83" s="15"/>
    </row>
    <row r="84" spans="1:20">
      <c r="A84" s="438" t="s">
        <v>652</v>
      </c>
      <c r="B84" s="439"/>
      <c r="C84" s="439"/>
      <c r="D84" s="439"/>
      <c r="E84" s="439"/>
      <c r="F84" s="439"/>
      <c r="G84" s="440"/>
      <c r="H84" s="347"/>
      <c r="I84" s="348">
        <f>SUM(I5:I78)</f>
        <v>94638.81</v>
      </c>
      <c r="J84" s="383">
        <f>SUM(J5:J78)</f>
        <v>94638.8</v>
      </c>
      <c r="K84" s="383"/>
      <c r="L84" s="386"/>
    </row>
    <row r="85" spans="1:20">
      <c r="A85" s="441" t="s">
        <v>1028</v>
      </c>
      <c r="B85" s="442"/>
      <c r="C85" s="443"/>
      <c r="D85" s="351"/>
      <c r="E85" s="352" t="s">
        <v>258</v>
      </c>
      <c r="F85" s="334">
        <v>73</v>
      </c>
      <c r="G85" s="329" t="s">
        <v>1029</v>
      </c>
      <c r="H85" s="351"/>
      <c r="I85" s="352" t="s">
        <v>258</v>
      </c>
      <c r="J85" s="343">
        <v>74</v>
      </c>
      <c r="K85" s="343"/>
      <c r="L85" s="161"/>
    </row>
    <row r="86" spans="1:20">
      <c r="A86" s="353"/>
      <c r="B86" s="352"/>
      <c r="C86" s="351"/>
      <c r="D86" s="351"/>
      <c r="E86" s="351" t="s">
        <v>930</v>
      </c>
      <c r="F86" s="330">
        <v>4</v>
      </c>
      <c r="G86" s="329"/>
      <c r="H86" s="351"/>
      <c r="I86" s="351" t="s">
        <v>930</v>
      </c>
      <c r="J86" s="343">
        <v>4</v>
      </c>
      <c r="K86" s="343"/>
      <c r="L86" s="161"/>
    </row>
    <row r="87" spans="1:20">
      <c r="A87" s="441"/>
      <c r="B87" s="442"/>
      <c r="C87" s="443"/>
      <c r="D87" s="351"/>
      <c r="E87" s="352" t="s">
        <v>931</v>
      </c>
      <c r="F87" s="355">
        <v>26</v>
      </c>
      <c r="G87" s="329"/>
      <c r="H87" s="351"/>
      <c r="I87" s="352" t="s">
        <v>931</v>
      </c>
      <c r="J87" s="343">
        <v>26</v>
      </c>
      <c r="K87" s="343"/>
      <c r="L87" s="161"/>
    </row>
    <row r="88" spans="1:20">
      <c r="A88" s="444"/>
      <c r="B88" s="445"/>
      <c r="C88" s="446"/>
      <c r="D88" s="356"/>
      <c r="E88" s="357" t="s">
        <v>246</v>
      </c>
      <c r="F88" s="358">
        <v>103</v>
      </c>
      <c r="G88" s="329"/>
      <c r="H88" s="393"/>
      <c r="I88" s="394" t="s">
        <v>246</v>
      </c>
      <c r="J88" s="395">
        <v>104</v>
      </c>
      <c r="K88" s="395"/>
      <c r="L88" s="161"/>
    </row>
    <row r="89" spans="1:20">
      <c r="A89" s="447" t="s">
        <v>830</v>
      </c>
      <c r="B89" s="448"/>
      <c r="C89" s="448"/>
      <c r="D89" s="448"/>
      <c r="E89" s="448"/>
      <c r="F89" s="448"/>
      <c r="G89" s="448"/>
      <c r="H89" s="381"/>
      <c r="I89" s="381"/>
      <c r="J89" s="396"/>
      <c r="K89" s="396"/>
      <c r="L89" s="392"/>
      <c r="N89" s="15"/>
    </row>
    <row r="90" spans="1:20">
      <c r="A90" s="334"/>
      <c r="B90" s="354">
        <v>2320</v>
      </c>
      <c r="C90" s="328" t="s">
        <v>1043</v>
      </c>
      <c r="D90" s="328" t="s">
        <v>1044</v>
      </c>
      <c r="E90" s="329" t="s">
        <v>852</v>
      </c>
      <c r="F90" s="330"/>
      <c r="G90" s="331">
        <v>-630.16</v>
      </c>
      <c r="H90" s="332"/>
      <c r="I90" s="331">
        <v>-630.16</v>
      </c>
      <c r="J90" s="389">
        <v>-630.16</v>
      </c>
      <c r="K90" s="333"/>
      <c r="L90" s="196" t="s">
        <v>1140</v>
      </c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>
        <v>2323</v>
      </c>
      <c r="C91" s="328" t="s">
        <v>1000</v>
      </c>
      <c r="D91" s="328" t="s">
        <v>1027</v>
      </c>
      <c r="E91" s="329" t="s">
        <v>852</v>
      </c>
      <c r="F91" s="330"/>
      <c r="G91" s="331">
        <v>-582.04</v>
      </c>
      <c r="H91" s="332">
        <v>0</v>
      </c>
      <c r="I91" s="331">
        <v>-582.04</v>
      </c>
      <c r="J91" s="389">
        <v>-582.04</v>
      </c>
      <c r="K91" s="333"/>
      <c r="L91" s="196" t="s">
        <v>1140</v>
      </c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>
        <v>2160</v>
      </c>
      <c r="C92" s="328" t="s">
        <v>767</v>
      </c>
      <c r="D92" s="338" t="s">
        <v>815</v>
      </c>
      <c r="E92" s="329" t="s">
        <v>854</v>
      </c>
      <c r="F92" s="330">
        <v>1</v>
      </c>
      <c r="G92" s="331">
        <v>2091.06</v>
      </c>
      <c r="H92" s="332" t="s">
        <v>1006</v>
      </c>
      <c r="I92" s="331">
        <v>2091.06</v>
      </c>
      <c r="J92" s="331">
        <v>2091.06</v>
      </c>
      <c r="K92" s="333"/>
      <c r="L92" s="196" t="s">
        <v>1141</v>
      </c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>
        <v>2160</v>
      </c>
      <c r="C93" s="328" t="s">
        <v>767</v>
      </c>
      <c r="D93" s="338" t="s">
        <v>815</v>
      </c>
      <c r="E93" s="329" t="s">
        <v>854</v>
      </c>
      <c r="F93" s="330">
        <v>1</v>
      </c>
      <c r="G93" s="331">
        <v>2091.06</v>
      </c>
      <c r="H93" s="332" t="s">
        <v>1006</v>
      </c>
      <c r="I93" s="331">
        <v>2091.06</v>
      </c>
      <c r="J93" s="331">
        <v>2091.06</v>
      </c>
      <c r="K93" s="333"/>
      <c r="L93" s="196" t="s">
        <v>1142</v>
      </c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>
        <v>2160</v>
      </c>
      <c r="C94" s="328" t="s">
        <v>767</v>
      </c>
      <c r="D94" s="338" t="s">
        <v>815</v>
      </c>
      <c r="E94" s="329" t="s">
        <v>854</v>
      </c>
      <c r="F94" s="330">
        <v>1</v>
      </c>
      <c r="G94" s="331">
        <v>2091.06</v>
      </c>
      <c r="H94" s="332" t="s">
        <v>1006</v>
      </c>
      <c r="I94" s="331">
        <v>2091.06</v>
      </c>
      <c r="J94" s="331">
        <v>2091.06</v>
      </c>
      <c r="K94" s="333"/>
      <c r="L94" s="417" t="s">
        <v>1143</v>
      </c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28"/>
      <c r="E95" s="329"/>
      <c r="F95" s="330"/>
      <c r="G95" s="331"/>
      <c r="H95" s="332"/>
      <c r="I95" s="331"/>
      <c r="J95" s="38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29"/>
      <c r="F96" s="330"/>
      <c r="G96" s="331"/>
      <c r="H96" s="332"/>
      <c r="I96" s="331"/>
      <c r="J96" s="389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28"/>
      <c r="E97" s="329"/>
      <c r="F97" s="330"/>
      <c r="G97" s="331"/>
      <c r="H97" s="332"/>
      <c r="I97" s="331"/>
      <c r="J97" s="389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28"/>
      <c r="E98" s="329"/>
      <c r="F98" s="330"/>
      <c r="G98" s="331"/>
      <c r="H98" s="332"/>
      <c r="I98" s="331"/>
      <c r="J98" s="389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28"/>
      <c r="E99" s="329"/>
      <c r="F99" s="330"/>
      <c r="G99" s="331"/>
      <c r="H99" s="332"/>
      <c r="I99" s="331"/>
      <c r="J99" s="389"/>
      <c r="K99" s="333"/>
      <c r="L99" s="196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28"/>
      <c r="E100" s="329"/>
      <c r="F100" s="330"/>
      <c r="G100" s="331"/>
      <c r="H100" s="332"/>
      <c r="I100" s="331"/>
      <c r="J100" s="389"/>
      <c r="K100" s="333"/>
      <c r="L100" s="196"/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/>
      <c r="C101" s="328"/>
      <c r="D101" s="328"/>
      <c r="E101" s="329"/>
      <c r="F101" s="330"/>
      <c r="G101" s="331"/>
      <c r="H101" s="332"/>
      <c r="I101" s="331"/>
      <c r="J101" s="389"/>
      <c r="K101" s="333"/>
      <c r="L101" s="196"/>
      <c r="M101" s="362"/>
      <c r="N101" s="363"/>
      <c r="O101" s="362"/>
      <c r="P101" s="362"/>
      <c r="Q101" s="362"/>
      <c r="R101" s="362"/>
      <c r="S101" s="362"/>
      <c r="T101" s="362"/>
    </row>
    <row r="102" spans="1:20">
      <c r="A102" s="334"/>
      <c r="B102" s="354"/>
      <c r="C102" s="328"/>
      <c r="D102" s="328"/>
      <c r="E102" s="329"/>
      <c r="F102" s="330"/>
      <c r="G102" s="331"/>
      <c r="H102" s="332"/>
      <c r="I102" s="331"/>
      <c r="J102" s="389"/>
      <c r="K102" s="333"/>
      <c r="L102" s="196"/>
      <c r="M102" s="362"/>
      <c r="N102" s="363"/>
      <c r="O102" s="362"/>
      <c r="P102" s="362"/>
      <c r="Q102" s="362"/>
      <c r="R102" s="362"/>
      <c r="S102" s="362"/>
      <c r="T102" s="362"/>
    </row>
    <row r="103" spans="1:20">
      <c r="A103" s="334"/>
      <c r="B103" s="354"/>
      <c r="C103" s="328"/>
      <c r="D103" s="328"/>
      <c r="E103" s="329"/>
      <c r="F103" s="330"/>
      <c r="G103" s="331"/>
      <c r="H103" s="332"/>
      <c r="I103" s="331"/>
      <c r="J103" s="389"/>
      <c r="K103" s="333"/>
      <c r="L103" s="196"/>
      <c r="M103" s="362"/>
      <c r="N103" s="363"/>
      <c r="O103" s="362"/>
      <c r="P103" s="362"/>
      <c r="Q103" s="362"/>
      <c r="R103" s="362"/>
      <c r="S103" s="362"/>
      <c r="T103" s="362"/>
    </row>
    <row r="104" spans="1:20">
      <c r="A104" s="334"/>
      <c r="B104" s="354"/>
      <c r="C104" s="328"/>
      <c r="D104" s="328"/>
      <c r="E104" s="329"/>
      <c r="F104" s="330"/>
      <c r="G104" s="331"/>
      <c r="H104" s="332"/>
      <c r="I104" s="331"/>
      <c r="J104" s="389"/>
      <c r="K104" s="333"/>
      <c r="L104" s="196"/>
      <c r="M104" s="362"/>
      <c r="N104" s="363"/>
      <c r="O104" s="362"/>
      <c r="P104" s="362"/>
      <c r="Q104" s="362"/>
      <c r="R104" s="362"/>
      <c r="S104" s="362"/>
      <c r="T104" s="362"/>
    </row>
    <row r="105" spans="1:20">
      <c r="A105" s="334"/>
      <c r="B105" s="354"/>
      <c r="C105" s="328"/>
      <c r="D105" s="328"/>
      <c r="E105" s="329"/>
      <c r="F105" s="330"/>
      <c r="G105" s="331"/>
      <c r="H105" s="332"/>
      <c r="I105" s="331"/>
      <c r="J105" s="389"/>
      <c r="K105" s="333"/>
      <c r="L105" s="196"/>
      <c r="M105" s="362"/>
      <c r="N105" s="363"/>
      <c r="O105" s="362"/>
      <c r="P105" s="362"/>
      <c r="Q105" s="362"/>
      <c r="R105" s="362"/>
      <c r="S105" s="362"/>
      <c r="T105" s="362"/>
    </row>
    <row r="106" spans="1:20">
      <c r="A106" s="334"/>
      <c r="B106" s="354"/>
      <c r="C106" s="328"/>
      <c r="D106" s="328"/>
      <c r="E106" s="329"/>
      <c r="F106" s="330"/>
      <c r="G106" s="331"/>
      <c r="H106" s="332"/>
      <c r="I106" s="332"/>
      <c r="J106" s="333"/>
      <c r="K106" s="333"/>
      <c r="L106" s="161"/>
      <c r="N106" s="15"/>
    </row>
    <row r="107" spans="1:20">
      <c r="A107" s="438" t="s">
        <v>846</v>
      </c>
      <c r="B107" s="439"/>
      <c r="C107" s="439"/>
      <c r="D107" s="439"/>
      <c r="E107" s="439"/>
      <c r="F107" s="439"/>
      <c r="G107" s="440"/>
      <c r="H107" s="348">
        <f>SUM(H90:H106)</f>
        <v>0</v>
      </c>
      <c r="I107" s="347"/>
      <c r="J107" s="348">
        <f>SUM(J90:J106)</f>
        <v>5060.9799999999996</v>
      </c>
      <c r="K107" s="406"/>
      <c r="L107" s="402"/>
    </row>
    <row r="108" spans="1:20">
      <c r="A108" s="365"/>
      <c r="B108" s="366"/>
      <c r="C108" s="366"/>
      <c r="D108" s="366"/>
      <c r="E108" s="366"/>
      <c r="F108" s="367"/>
      <c r="G108" s="368"/>
      <c r="H108" s="368"/>
      <c r="I108" s="368"/>
      <c r="J108" s="349"/>
      <c r="K108" s="383"/>
      <c r="L108" s="364"/>
    </row>
    <row r="109" spans="1:20" ht="16">
      <c r="A109" s="435" t="s">
        <v>881</v>
      </c>
      <c r="B109" s="436"/>
      <c r="C109" s="436"/>
      <c r="D109" s="436"/>
      <c r="E109" s="436"/>
      <c r="F109" s="436"/>
      <c r="G109" s="437"/>
      <c r="H109" s="369"/>
      <c r="I109" s="369"/>
      <c r="J109" s="370">
        <f>SUM(J84,J107)</f>
        <v>99699.78</v>
      </c>
      <c r="K109" s="407"/>
      <c r="L109" s="350"/>
    </row>
    <row r="110" spans="1:20" ht="18">
      <c r="F110" s="3"/>
      <c r="G110" s="371" t="s">
        <v>1013</v>
      </c>
      <c r="H110" s="372">
        <v>45730</v>
      </c>
    </row>
    <row r="111" spans="1:20" ht="18">
      <c r="F111" s="3"/>
      <c r="G111" s="371" t="s">
        <v>1014</v>
      </c>
      <c r="H111" s="373" t="s">
        <v>990</v>
      </c>
      <c r="I111" s="373"/>
    </row>
    <row r="112" spans="1:20">
      <c r="F112" s="3"/>
      <c r="G112" s="216"/>
      <c r="H112" s="216"/>
      <c r="I112" s="216"/>
      <c r="J112" s="3"/>
      <c r="K112" s="3"/>
      <c r="L112" s="15"/>
      <c r="M112" s="216"/>
    </row>
    <row r="113" spans="6:20">
      <c r="F113" s="3"/>
      <c r="G113" s="216"/>
      <c r="H113" s="269"/>
      <c r="I113" s="216"/>
      <c r="J113" s="270"/>
      <c r="K113" s="270"/>
      <c r="L113" s="15"/>
      <c r="M113" s="216"/>
    </row>
    <row r="114" spans="6:20">
      <c r="F114" s="3"/>
      <c r="G114" s="216"/>
      <c r="H114" s="269" t="s">
        <v>1145</v>
      </c>
      <c r="I114" s="216" t="s">
        <v>1144</v>
      </c>
      <c r="J114" s="270" t="s">
        <v>1112</v>
      </c>
      <c r="K114" s="270"/>
      <c r="L114" s="15"/>
      <c r="M114" s="216"/>
    </row>
    <row r="115" spans="6:20">
      <c r="F115" s="3"/>
      <c r="G115" s="216"/>
      <c r="H115" s="388">
        <f>SUM(H79,H107)</f>
        <v>2944.6000000000004</v>
      </c>
      <c r="I115" s="269">
        <f>J109-H115</f>
        <v>96755.18</v>
      </c>
      <c r="J115" s="270">
        <f>SUM(J82:J82)</f>
        <v>648.71</v>
      </c>
      <c r="K115" s="3"/>
      <c r="L115" s="15"/>
      <c r="M115" s="216"/>
    </row>
    <row r="116" spans="6:20">
      <c r="F116" s="3"/>
      <c r="G116" s="216"/>
      <c r="H116" s="216"/>
      <c r="I116" s="216"/>
      <c r="J116" s="3"/>
      <c r="K116" s="3"/>
      <c r="L116" s="15"/>
      <c r="M116" s="216"/>
      <c r="Q116" s="3"/>
      <c r="R116" s="3"/>
      <c r="S116" s="3"/>
      <c r="T116" s="3"/>
    </row>
  </sheetData>
  <mergeCells count="7">
    <mergeCell ref="A109:G109"/>
    <mergeCell ref="A84:G84"/>
    <mergeCell ref="A85:C85"/>
    <mergeCell ref="A87:C87"/>
    <mergeCell ref="A88:C88"/>
    <mergeCell ref="A89:G89"/>
    <mergeCell ref="A107:G107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16B2-5DC9-0141-B502-A9F775F97F6F}">
  <dimension ref="A1:T127"/>
  <sheetViews>
    <sheetView zoomScale="160" zoomScaleNormal="160" workbookViewId="0">
      <selection sqref="A1:XFD1048576"/>
    </sheetView>
  </sheetViews>
  <sheetFormatPr baseColWidth="10" defaultColWidth="11.5" defaultRowHeight="13"/>
  <cols>
    <col min="1" max="1" width="3" customWidth="1"/>
    <col min="2" max="2" width="4.6640625" style="374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3.5" customWidth="1"/>
    <col min="11" max="11" width="10" customWidth="1"/>
    <col min="12" max="12" width="20.1640625" customWidth="1"/>
    <col min="13" max="13" width="5.6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45717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71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1711.35</v>
      </c>
      <c r="H8" s="332" t="s">
        <v>1006</v>
      </c>
      <c r="I8" s="332">
        <v>1711.35</v>
      </c>
      <c r="J8" s="335">
        <v>1711.35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2063.59</v>
      </c>
      <c r="H9" s="332" t="s">
        <v>1006</v>
      </c>
      <c r="I9" s="331">
        <v>2063.59</v>
      </c>
      <c r="J9" s="389">
        <v>2063.59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409">
        <v>1998.08</v>
      </c>
      <c r="H10" s="332" t="s">
        <v>1006</v>
      </c>
      <c r="I10" s="409">
        <v>1998.08</v>
      </c>
      <c r="J10" s="389">
        <v>1998.08</v>
      </c>
      <c r="K10" s="333">
        <f t="shared" si="0"/>
        <v>0</v>
      </c>
      <c r="L10" s="329"/>
    </row>
    <row r="11" spans="1:20">
      <c r="A11" s="334"/>
      <c r="B11" s="354">
        <v>2341</v>
      </c>
      <c r="C11" s="328" t="s">
        <v>460</v>
      </c>
      <c r="D11" s="328" t="s">
        <v>1102</v>
      </c>
      <c r="E11" s="329" t="s">
        <v>852</v>
      </c>
      <c r="F11" s="330"/>
      <c r="G11" s="331">
        <v>1035.3900000000001</v>
      </c>
      <c r="H11" s="332">
        <v>0</v>
      </c>
      <c r="I11" s="331">
        <v>1035.3900000000001</v>
      </c>
      <c r="J11" s="389">
        <v>1035.3900000000001</v>
      </c>
      <c r="K11" s="333">
        <f t="shared" si="0"/>
        <v>0</v>
      </c>
      <c r="L11" s="329" t="s">
        <v>1051</v>
      </c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1629.03</v>
      </c>
      <c r="H12" s="332" t="s">
        <v>1006</v>
      </c>
      <c r="I12" s="331">
        <v>1629.03</v>
      </c>
      <c r="J12" s="389">
        <v>1629.03</v>
      </c>
      <c r="K12" s="333">
        <f t="shared" si="0"/>
        <v>0</v>
      </c>
      <c r="L12" s="329"/>
    </row>
    <row r="13" spans="1:20">
      <c r="A13" s="334"/>
      <c r="B13" s="354">
        <v>2285</v>
      </c>
      <c r="C13" s="328" t="s">
        <v>745</v>
      </c>
      <c r="D13" s="328" t="s">
        <v>1117</v>
      </c>
      <c r="E13" s="329" t="s">
        <v>852</v>
      </c>
      <c r="F13" s="330"/>
      <c r="G13" s="331">
        <v>593.64</v>
      </c>
      <c r="H13" s="332"/>
      <c r="I13" s="331">
        <v>593.64</v>
      </c>
      <c r="J13" s="389">
        <v>593.64</v>
      </c>
      <c r="K13" s="333"/>
      <c r="L13" s="329" t="s">
        <v>1051</v>
      </c>
    </row>
    <row r="14" spans="1:20">
      <c r="A14" s="334">
        <v>8</v>
      </c>
      <c r="B14" s="354">
        <v>2131</v>
      </c>
      <c r="C14" s="328" t="s">
        <v>745</v>
      </c>
      <c r="D14" s="338" t="s">
        <v>784</v>
      </c>
      <c r="E14" s="329" t="s">
        <v>852</v>
      </c>
      <c r="F14" s="330"/>
      <c r="G14" s="331">
        <v>703.79</v>
      </c>
      <c r="H14" s="332" t="s">
        <v>1006</v>
      </c>
      <c r="I14" s="331">
        <v>703.79</v>
      </c>
      <c r="J14" s="389">
        <v>703.79</v>
      </c>
      <c r="K14" s="333">
        <f t="shared" si="0"/>
        <v>0</v>
      </c>
      <c r="L14" s="329"/>
      <c r="P14" s="1"/>
      <c r="Q14" s="1"/>
      <c r="R14" s="1"/>
      <c r="S14" s="1"/>
      <c r="T14" s="1"/>
    </row>
    <row r="15" spans="1:20">
      <c r="A15" s="334">
        <v>7</v>
      </c>
      <c r="B15" s="354">
        <v>1751</v>
      </c>
      <c r="C15" s="328" t="s">
        <v>745</v>
      </c>
      <c r="D15" s="339" t="s">
        <v>838</v>
      </c>
      <c r="E15" s="329" t="s">
        <v>852</v>
      </c>
      <c r="F15" s="330"/>
      <c r="G15" s="331">
        <v>989.01</v>
      </c>
      <c r="H15" s="332" t="s">
        <v>1006</v>
      </c>
      <c r="I15" s="331">
        <v>989.01</v>
      </c>
      <c r="J15" s="389">
        <v>989.01</v>
      </c>
      <c r="K15" s="333">
        <f t="shared" si="0"/>
        <v>0</v>
      </c>
      <c r="L15" s="329"/>
    </row>
    <row r="16" spans="1:20">
      <c r="A16" s="334">
        <v>9</v>
      </c>
      <c r="B16" s="354">
        <v>2023</v>
      </c>
      <c r="C16" s="328" t="s">
        <v>745</v>
      </c>
      <c r="D16" s="339" t="s">
        <v>783</v>
      </c>
      <c r="E16" s="329" t="s">
        <v>852</v>
      </c>
      <c r="F16" s="330"/>
      <c r="G16" s="331">
        <v>740.89</v>
      </c>
      <c r="H16" s="332" t="s">
        <v>1006</v>
      </c>
      <c r="I16" s="331">
        <v>740.89</v>
      </c>
      <c r="J16" s="389">
        <v>740.89</v>
      </c>
      <c r="K16" s="333">
        <f t="shared" si="0"/>
        <v>0</v>
      </c>
      <c r="L16" s="328"/>
      <c r="P16" s="1"/>
      <c r="Q16" s="1"/>
      <c r="R16" s="1"/>
      <c r="S16" s="1"/>
      <c r="T16" s="1"/>
    </row>
    <row r="17" spans="1:20">
      <c r="A17" s="334"/>
      <c r="B17" s="374">
        <v>2302</v>
      </c>
      <c r="C17" s="336" t="s">
        <v>806</v>
      </c>
      <c r="D17" s="339" t="s">
        <v>952</v>
      </c>
      <c r="E17" s="329" t="s">
        <v>852</v>
      </c>
      <c r="F17" s="330"/>
      <c r="G17" s="331">
        <v>717.7</v>
      </c>
      <c r="H17" s="332" t="s">
        <v>1006</v>
      </c>
      <c r="I17" s="331">
        <v>717.7</v>
      </c>
      <c r="J17" s="389">
        <v>717.7</v>
      </c>
      <c r="K17" s="333">
        <f t="shared" si="0"/>
        <v>0</v>
      </c>
      <c r="L17" s="340"/>
      <c r="P17" s="1"/>
      <c r="Q17" s="1"/>
      <c r="R17" s="1"/>
      <c r="S17" s="1"/>
      <c r="T17" s="1"/>
    </row>
    <row r="18" spans="1:20">
      <c r="A18" s="334">
        <v>10</v>
      </c>
      <c r="B18" s="375">
        <v>2254</v>
      </c>
      <c r="C18" s="328" t="s">
        <v>840</v>
      </c>
      <c r="D18" s="328" t="s">
        <v>841</v>
      </c>
      <c r="E18" s="341" t="s">
        <v>855</v>
      </c>
      <c r="F18" s="330">
        <v>1</v>
      </c>
      <c r="G18" s="331">
        <v>1348.64</v>
      </c>
      <c r="H18" s="332">
        <v>604.79999999999995</v>
      </c>
      <c r="I18" s="332">
        <v>1953.45</v>
      </c>
      <c r="J18" s="333">
        <v>1953.45</v>
      </c>
      <c r="K18" s="333">
        <f t="shared" si="0"/>
        <v>0</v>
      </c>
      <c r="L18" s="329"/>
    </row>
    <row r="19" spans="1:20">
      <c r="A19" s="334"/>
      <c r="B19" s="354">
        <v>2308</v>
      </c>
      <c r="C19" s="328" t="s">
        <v>1118</v>
      </c>
      <c r="D19" s="328" t="s">
        <v>1119</v>
      </c>
      <c r="E19" s="382" t="s">
        <v>852</v>
      </c>
      <c r="F19" s="330"/>
      <c r="G19" s="331">
        <v>947.85</v>
      </c>
      <c r="H19" s="332">
        <v>0</v>
      </c>
      <c r="I19" s="332">
        <v>947.85</v>
      </c>
      <c r="J19" s="389">
        <v>947.85</v>
      </c>
      <c r="K19" s="333"/>
      <c r="L19" s="329" t="s">
        <v>1051</v>
      </c>
    </row>
    <row r="20" spans="1:20">
      <c r="A20" s="334">
        <v>11</v>
      </c>
      <c r="B20" s="354">
        <v>1721</v>
      </c>
      <c r="C20" s="328" t="s">
        <v>746</v>
      </c>
      <c r="D20" s="328" t="s">
        <v>785</v>
      </c>
      <c r="E20" s="329" t="s">
        <v>854</v>
      </c>
      <c r="F20" s="330">
        <v>1</v>
      </c>
      <c r="G20" s="331">
        <v>1665.55</v>
      </c>
      <c r="H20" s="332" t="s">
        <v>1006</v>
      </c>
      <c r="I20" s="331">
        <v>1665.55</v>
      </c>
      <c r="J20" s="389">
        <v>1665.55</v>
      </c>
      <c r="K20" s="333">
        <f t="shared" si="0"/>
        <v>0</v>
      </c>
      <c r="L20" s="161"/>
    </row>
    <row r="21" spans="1:20">
      <c r="A21" s="334">
        <v>12</v>
      </c>
      <c r="B21" s="354">
        <v>2123</v>
      </c>
      <c r="C21" s="328" t="s">
        <v>746</v>
      </c>
      <c r="D21" s="328" t="s">
        <v>786</v>
      </c>
      <c r="E21" s="329" t="s">
        <v>852</v>
      </c>
      <c r="F21" s="330"/>
      <c r="G21" s="331">
        <v>754.8</v>
      </c>
      <c r="H21" s="332" t="s">
        <v>1006</v>
      </c>
      <c r="I21" s="331">
        <v>754.8</v>
      </c>
      <c r="J21" s="389">
        <v>754.8</v>
      </c>
      <c r="K21" s="333">
        <f t="shared" si="0"/>
        <v>0</v>
      </c>
      <c r="L21" s="161"/>
    </row>
    <row r="22" spans="1:20">
      <c r="A22" s="334">
        <v>13</v>
      </c>
      <c r="B22" s="354">
        <v>1970</v>
      </c>
      <c r="C22" s="328" t="s">
        <v>747</v>
      </c>
      <c r="D22" s="338" t="s">
        <v>787</v>
      </c>
      <c r="E22" s="329" t="s">
        <v>854</v>
      </c>
      <c r="F22" s="330">
        <v>1</v>
      </c>
      <c r="G22" s="331">
        <v>1320.82</v>
      </c>
      <c r="H22" s="332">
        <v>618.14</v>
      </c>
      <c r="I22" s="331">
        <f>H22+G22</f>
        <v>1938.96</v>
      </c>
      <c r="J22" s="389">
        <v>1938.96</v>
      </c>
      <c r="K22" s="333">
        <f t="shared" si="0"/>
        <v>0</v>
      </c>
      <c r="L22" s="161" t="s">
        <v>1133</v>
      </c>
    </row>
    <row r="23" spans="1:20">
      <c r="A23" s="334">
        <v>14</v>
      </c>
      <c r="B23" s="376" t="s">
        <v>934</v>
      </c>
      <c r="C23" s="328" t="s">
        <v>932</v>
      </c>
      <c r="D23" s="338" t="s">
        <v>933</v>
      </c>
      <c r="E23" s="329" t="s">
        <v>851</v>
      </c>
      <c r="F23" s="330"/>
      <c r="G23" s="331">
        <v>808</v>
      </c>
      <c r="H23" s="332">
        <v>480.16</v>
      </c>
      <c r="I23" s="332">
        <f>SUM(G23:H23)</f>
        <v>1288.1600000000001</v>
      </c>
      <c r="J23" s="333">
        <v>1288.1500000000001</v>
      </c>
      <c r="K23" s="333">
        <f t="shared" si="0"/>
        <v>9.9999999999909051E-3</v>
      </c>
      <c r="L23" s="188"/>
    </row>
    <row r="24" spans="1:20">
      <c r="A24" s="334">
        <v>15</v>
      </c>
      <c r="B24" s="354">
        <v>1794</v>
      </c>
      <c r="C24" s="328" t="s">
        <v>466</v>
      </c>
      <c r="D24" s="328" t="s">
        <v>431</v>
      </c>
      <c r="E24" s="329" t="s">
        <v>854</v>
      </c>
      <c r="F24" s="330">
        <v>1</v>
      </c>
      <c r="G24" s="331">
        <v>1713.66</v>
      </c>
      <c r="H24" s="332" t="s">
        <v>1006</v>
      </c>
      <c r="I24" s="331">
        <v>1713.66</v>
      </c>
      <c r="J24" s="389">
        <v>1713.66</v>
      </c>
      <c r="K24" s="333">
        <f t="shared" si="0"/>
        <v>0</v>
      </c>
      <c r="L24" s="161"/>
      <c r="P24" s="1"/>
      <c r="Q24" s="1"/>
      <c r="R24" s="1"/>
      <c r="S24" s="1"/>
      <c r="T24" s="1"/>
    </row>
    <row r="25" spans="1:20">
      <c r="A25" s="334">
        <v>16</v>
      </c>
      <c r="B25" s="354">
        <v>2201</v>
      </c>
      <c r="C25" s="328" t="s">
        <v>748</v>
      </c>
      <c r="D25" s="338" t="s">
        <v>788</v>
      </c>
      <c r="E25" s="329" t="s">
        <v>852</v>
      </c>
      <c r="F25" s="330"/>
      <c r="G25" s="331">
        <v>1412.79</v>
      </c>
      <c r="H25" s="332" t="s">
        <v>1006</v>
      </c>
      <c r="I25" s="331">
        <v>1412.79</v>
      </c>
      <c r="J25" s="389">
        <v>1412.79</v>
      </c>
      <c r="K25" s="333">
        <f t="shared" si="0"/>
        <v>0</v>
      </c>
      <c r="L25" s="161"/>
    </row>
    <row r="26" spans="1:20">
      <c r="A26" s="334">
        <v>17</v>
      </c>
      <c r="B26" s="354">
        <v>2194</v>
      </c>
      <c r="C26" s="328" t="s">
        <v>749</v>
      </c>
      <c r="D26" s="338" t="s">
        <v>789</v>
      </c>
      <c r="E26" s="329" t="s">
        <v>852</v>
      </c>
      <c r="F26" s="330"/>
      <c r="G26" s="331">
        <v>657.99</v>
      </c>
      <c r="H26" s="332" t="s">
        <v>1006</v>
      </c>
      <c r="I26" s="331">
        <v>657.99</v>
      </c>
      <c r="J26" s="389">
        <v>657.99</v>
      </c>
      <c r="K26" s="333">
        <f t="shared" si="0"/>
        <v>0</v>
      </c>
      <c r="L26" s="161"/>
    </row>
    <row r="27" spans="1:20">
      <c r="A27" s="334"/>
      <c r="B27" s="354">
        <v>1961</v>
      </c>
      <c r="C27" s="328" t="s">
        <v>967</v>
      </c>
      <c r="D27" s="338" t="s">
        <v>968</v>
      </c>
      <c r="E27" s="329" t="s">
        <v>852</v>
      </c>
      <c r="F27" s="330"/>
      <c r="G27" s="409">
        <v>1509.02</v>
      </c>
      <c r="H27" s="332" t="s">
        <v>1006</v>
      </c>
      <c r="I27" s="409">
        <v>1509.02</v>
      </c>
      <c r="J27" s="389">
        <v>1509.02</v>
      </c>
      <c r="K27" s="333">
        <f t="shared" si="0"/>
        <v>0</v>
      </c>
      <c r="L27" s="161"/>
    </row>
    <row r="28" spans="1:20">
      <c r="A28" s="334">
        <v>18</v>
      </c>
      <c r="B28" s="354">
        <v>2289</v>
      </c>
      <c r="C28" s="328" t="s">
        <v>750</v>
      </c>
      <c r="D28" s="338" t="s">
        <v>790</v>
      </c>
      <c r="E28" s="329" t="s">
        <v>852</v>
      </c>
      <c r="F28" s="330"/>
      <c r="G28" s="331">
        <v>740.89</v>
      </c>
      <c r="H28" s="332" t="s">
        <v>1006</v>
      </c>
      <c r="I28" s="331">
        <v>740.89</v>
      </c>
      <c r="J28" s="389">
        <v>740.89</v>
      </c>
      <c r="K28" s="333">
        <f t="shared" si="0"/>
        <v>0</v>
      </c>
      <c r="L28" s="161"/>
    </row>
    <row r="29" spans="1:20">
      <c r="A29" s="334"/>
      <c r="B29" s="354">
        <v>2322</v>
      </c>
      <c r="C29" s="328" t="s">
        <v>1023</v>
      </c>
      <c r="D29" s="338" t="s">
        <v>1024</v>
      </c>
      <c r="E29" s="329" t="s">
        <v>852</v>
      </c>
      <c r="F29" s="330"/>
      <c r="G29" s="331">
        <v>582.04</v>
      </c>
      <c r="H29" s="332">
        <v>0</v>
      </c>
      <c r="I29" s="332">
        <v>582.04</v>
      </c>
      <c r="J29" s="335">
        <v>582.04</v>
      </c>
      <c r="K29" s="333">
        <f t="shared" si="0"/>
        <v>0</v>
      </c>
      <c r="L29" s="161"/>
    </row>
    <row r="30" spans="1:20">
      <c r="A30" s="334">
        <v>20</v>
      </c>
      <c r="B30" s="354">
        <v>2250</v>
      </c>
      <c r="C30" s="328" t="s">
        <v>752</v>
      </c>
      <c r="D30" s="328" t="s">
        <v>792</v>
      </c>
      <c r="E30" s="329" t="s">
        <v>853</v>
      </c>
      <c r="F30" s="330">
        <v>2</v>
      </c>
      <c r="G30" s="331">
        <v>1709.74</v>
      </c>
      <c r="H30" s="332" t="s">
        <v>1006</v>
      </c>
      <c r="I30" s="331">
        <v>1709.74</v>
      </c>
      <c r="J30" s="389">
        <v>1709.74</v>
      </c>
      <c r="K30" s="333">
        <f t="shared" si="0"/>
        <v>0</v>
      </c>
      <c r="L30" s="161"/>
    </row>
    <row r="31" spans="1:20">
      <c r="A31" s="334"/>
      <c r="B31" s="354">
        <v>2298</v>
      </c>
      <c r="C31" s="328" t="s">
        <v>752</v>
      </c>
      <c r="D31" s="328" t="s">
        <v>1106</v>
      </c>
      <c r="E31" s="329" t="s">
        <v>852</v>
      </c>
      <c r="F31" s="330"/>
      <c r="G31" s="331">
        <v>685.81</v>
      </c>
      <c r="H31" s="332">
        <v>0</v>
      </c>
      <c r="I31" s="331">
        <v>685.81</v>
      </c>
      <c r="J31" s="389">
        <v>685.81</v>
      </c>
      <c r="K31" s="333">
        <f t="shared" si="0"/>
        <v>0</v>
      </c>
      <c r="L31" s="161" t="s">
        <v>1051</v>
      </c>
    </row>
    <row r="32" spans="1:20">
      <c r="A32" s="334">
        <v>21</v>
      </c>
      <c r="B32" s="354">
        <v>2193</v>
      </c>
      <c r="C32" s="328" t="s">
        <v>753</v>
      </c>
      <c r="D32" s="328" t="s">
        <v>794</v>
      </c>
      <c r="E32" s="329" t="s">
        <v>852</v>
      </c>
      <c r="F32" s="330"/>
      <c r="G32" s="331">
        <v>713.06</v>
      </c>
      <c r="H32" s="332" t="s">
        <v>1006</v>
      </c>
      <c r="I32" s="331">
        <v>713.06</v>
      </c>
      <c r="J32" s="389">
        <v>713.06</v>
      </c>
      <c r="K32" s="333">
        <f t="shared" si="0"/>
        <v>0</v>
      </c>
      <c r="L32" s="161"/>
    </row>
    <row r="33" spans="1:20">
      <c r="A33" s="334"/>
      <c r="B33" s="354">
        <v>2223</v>
      </c>
      <c r="C33" s="328" t="s">
        <v>972</v>
      </c>
      <c r="D33" s="328" t="s">
        <v>973</v>
      </c>
      <c r="E33" s="329" t="s">
        <v>852</v>
      </c>
      <c r="F33" s="330"/>
      <c r="G33" s="331">
        <v>630.16</v>
      </c>
      <c r="H33" s="332"/>
      <c r="I33" s="331">
        <v>630.16</v>
      </c>
      <c r="J33" s="389">
        <v>630.16</v>
      </c>
      <c r="K33" s="333">
        <f t="shared" si="0"/>
        <v>0</v>
      </c>
      <c r="L33" s="161"/>
    </row>
    <row r="34" spans="1:20">
      <c r="A34" s="334">
        <v>22</v>
      </c>
      <c r="B34" s="354">
        <v>640</v>
      </c>
      <c r="C34" s="328" t="s">
        <v>754</v>
      </c>
      <c r="D34" s="339" t="s">
        <v>795</v>
      </c>
      <c r="E34" s="329" t="s">
        <v>852</v>
      </c>
      <c r="F34" s="330"/>
      <c r="G34" s="331">
        <v>1509.02</v>
      </c>
      <c r="H34" s="332" t="s">
        <v>1006</v>
      </c>
      <c r="I34" s="416">
        <v>1509.02</v>
      </c>
      <c r="J34" s="389">
        <v>1509.02</v>
      </c>
      <c r="K34" s="333">
        <f t="shared" si="0"/>
        <v>0</v>
      </c>
      <c r="L34" s="329"/>
    </row>
    <row r="35" spans="1:20">
      <c r="A35" s="334">
        <v>23</v>
      </c>
      <c r="B35" s="354">
        <v>901</v>
      </c>
      <c r="C35" s="328" t="s">
        <v>439</v>
      </c>
      <c r="D35" s="328" t="s">
        <v>505</v>
      </c>
      <c r="E35" s="329" t="s">
        <v>852</v>
      </c>
      <c r="F35" s="330"/>
      <c r="G35" s="331">
        <v>1739.16</v>
      </c>
      <c r="H35" s="332" t="s">
        <v>1006</v>
      </c>
      <c r="I35" s="331">
        <v>1739.16</v>
      </c>
      <c r="J35" s="389">
        <v>1739.16</v>
      </c>
      <c r="K35" s="333">
        <f t="shared" si="0"/>
        <v>0</v>
      </c>
      <c r="L35" s="329"/>
    </row>
    <row r="36" spans="1:20">
      <c r="A36" s="334"/>
      <c r="B36" s="354">
        <v>2320</v>
      </c>
      <c r="C36" s="328" t="s">
        <v>1043</v>
      </c>
      <c r="D36" s="328" t="s">
        <v>1044</v>
      </c>
      <c r="E36" s="329" t="s">
        <v>852</v>
      </c>
      <c r="F36" s="330"/>
      <c r="G36" s="331">
        <v>630.16</v>
      </c>
      <c r="H36" s="332"/>
      <c r="I36" s="331">
        <v>630.16</v>
      </c>
      <c r="J36" s="389">
        <v>630.16</v>
      </c>
      <c r="K36" s="333">
        <f t="shared" si="0"/>
        <v>0</v>
      </c>
      <c r="L36" s="329"/>
    </row>
    <row r="37" spans="1:20">
      <c r="A37" s="334">
        <v>24</v>
      </c>
      <c r="B37" s="376" t="s">
        <v>675</v>
      </c>
      <c r="C37" s="328" t="s">
        <v>755</v>
      </c>
      <c r="D37" s="328" t="s">
        <v>796</v>
      </c>
      <c r="E37" s="329" t="s">
        <v>852</v>
      </c>
      <c r="F37" s="330"/>
      <c r="G37" s="331">
        <v>786.69</v>
      </c>
      <c r="H37" s="332" t="s">
        <v>1006</v>
      </c>
      <c r="I37" s="332">
        <v>786.69</v>
      </c>
      <c r="J37" s="333">
        <v>786.69</v>
      </c>
      <c r="K37" s="333">
        <f t="shared" si="0"/>
        <v>0</v>
      </c>
      <c r="L37" s="329"/>
    </row>
    <row r="38" spans="1:20">
      <c r="A38" s="334">
        <v>26</v>
      </c>
      <c r="B38" s="354">
        <v>1741</v>
      </c>
      <c r="C38" s="328" t="s">
        <v>755</v>
      </c>
      <c r="D38" s="328" t="s">
        <v>797</v>
      </c>
      <c r="E38" s="329" t="s">
        <v>852</v>
      </c>
      <c r="F38" s="330"/>
      <c r="G38" s="331">
        <v>1292.79</v>
      </c>
      <c r="H38" s="332" t="s">
        <v>1006</v>
      </c>
      <c r="I38" s="331">
        <v>1292.79</v>
      </c>
      <c r="J38" s="389">
        <v>1292.79</v>
      </c>
      <c r="K38" s="333">
        <f t="shared" si="0"/>
        <v>0</v>
      </c>
      <c r="L38" s="329"/>
    </row>
    <row r="39" spans="1:20">
      <c r="A39" s="334">
        <v>25</v>
      </c>
      <c r="B39" s="354">
        <v>1757</v>
      </c>
      <c r="C39" s="328" t="s">
        <v>755</v>
      </c>
      <c r="D39" s="338" t="s">
        <v>798</v>
      </c>
      <c r="E39" s="329" t="s">
        <v>853</v>
      </c>
      <c r="F39" s="330">
        <v>2</v>
      </c>
      <c r="G39" s="331">
        <v>2170.85</v>
      </c>
      <c r="H39" s="332" t="s">
        <v>1006</v>
      </c>
      <c r="I39" s="331">
        <v>2170.85</v>
      </c>
      <c r="J39" s="389">
        <v>2170.85</v>
      </c>
      <c r="K39" s="333">
        <f t="shared" si="0"/>
        <v>0</v>
      </c>
      <c r="L39" s="329"/>
      <c r="N39" s="12"/>
      <c r="O39" s="12"/>
      <c r="P39" s="12"/>
      <c r="Q39" s="12"/>
      <c r="R39" s="12"/>
      <c r="S39" s="12"/>
      <c r="T39" s="12"/>
    </row>
    <row r="40" spans="1:20">
      <c r="A40" s="334">
        <v>27</v>
      </c>
      <c r="B40" s="354">
        <v>2057</v>
      </c>
      <c r="C40" s="328" t="s">
        <v>756</v>
      </c>
      <c r="D40" s="338" t="s">
        <v>799</v>
      </c>
      <c r="E40" s="329" t="s">
        <v>852</v>
      </c>
      <c r="F40" s="330"/>
      <c r="G40" s="331">
        <v>1739.16</v>
      </c>
      <c r="H40" s="332" t="s">
        <v>1006</v>
      </c>
      <c r="I40" s="331">
        <v>1739.16</v>
      </c>
      <c r="J40" s="389">
        <v>1739.16</v>
      </c>
      <c r="K40" s="333">
        <f t="shared" si="0"/>
        <v>0</v>
      </c>
      <c r="L40" s="329"/>
    </row>
    <row r="41" spans="1:20">
      <c r="A41" s="334">
        <v>28</v>
      </c>
      <c r="B41" s="354">
        <v>1210</v>
      </c>
      <c r="C41" s="328" t="s">
        <v>756</v>
      </c>
      <c r="D41" s="338" t="s">
        <v>800</v>
      </c>
      <c r="E41" s="329" t="s">
        <v>852</v>
      </c>
      <c r="F41" s="330"/>
      <c r="G41" s="331">
        <v>1739.16</v>
      </c>
      <c r="H41" s="332" t="s">
        <v>1006</v>
      </c>
      <c r="I41" s="331">
        <v>1739.16</v>
      </c>
      <c r="J41" s="389">
        <v>1739.16</v>
      </c>
      <c r="K41" s="333">
        <f t="shared" si="0"/>
        <v>0</v>
      </c>
      <c r="L41" s="329"/>
    </row>
    <row r="42" spans="1:20">
      <c r="A42" s="334"/>
      <c r="B42" s="354">
        <v>2310</v>
      </c>
      <c r="C42" s="328" t="s">
        <v>756</v>
      </c>
      <c r="D42" s="338" t="s">
        <v>977</v>
      </c>
      <c r="E42" s="329" t="s">
        <v>852</v>
      </c>
      <c r="F42" s="330"/>
      <c r="G42" s="331">
        <v>1035.3900000000001</v>
      </c>
      <c r="H42" s="332" t="s">
        <v>1006</v>
      </c>
      <c r="I42" s="331">
        <v>1035.3900000000001</v>
      </c>
      <c r="J42" s="389">
        <v>1035.3900000000001</v>
      </c>
      <c r="K42" s="333">
        <f t="shared" si="0"/>
        <v>0</v>
      </c>
      <c r="L42" s="329"/>
    </row>
    <row r="43" spans="1:20">
      <c r="A43" s="334">
        <v>29</v>
      </c>
      <c r="B43" s="354">
        <v>1460</v>
      </c>
      <c r="C43" s="328" t="s">
        <v>444</v>
      </c>
      <c r="D43" s="328" t="s">
        <v>506</v>
      </c>
      <c r="E43" s="329" t="s">
        <v>852</v>
      </c>
      <c r="F43" s="330"/>
      <c r="G43" s="331">
        <v>1081.19</v>
      </c>
      <c r="H43" s="332" t="s">
        <v>1006</v>
      </c>
      <c r="I43" s="331">
        <v>1081.19</v>
      </c>
      <c r="J43" s="389">
        <v>1081.19</v>
      </c>
      <c r="K43" s="333">
        <f t="shared" si="0"/>
        <v>0</v>
      </c>
      <c r="L43" s="329"/>
    </row>
    <row r="44" spans="1:20">
      <c r="A44" s="334">
        <v>32</v>
      </c>
      <c r="B44" s="354">
        <v>2248</v>
      </c>
      <c r="C44" s="328" t="s">
        <v>757</v>
      </c>
      <c r="D44" s="328" t="s">
        <v>801</v>
      </c>
      <c r="E44" s="341" t="s">
        <v>856</v>
      </c>
      <c r="F44" s="330">
        <v>2</v>
      </c>
      <c r="G44" s="331">
        <v>1778.57</v>
      </c>
      <c r="H44" s="332">
        <v>581.62</v>
      </c>
      <c r="I44" s="332">
        <f>SUM(G44:H44)</f>
        <v>2360.19</v>
      </c>
      <c r="J44" s="333">
        <v>2360.19</v>
      </c>
      <c r="K44" s="333">
        <f t="shared" si="0"/>
        <v>0</v>
      </c>
      <c r="L44" s="329"/>
    </row>
    <row r="45" spans="1:20">
      <c r="A45" s="334"/>
      <c r="B45" s="354">
        <v>2319</v>
      </c>
      <c r="C45" s="328" t="s">
        <v>757</v>
      </c>
      <c r="D45" s="328" t="s">
        <v>1026</v>
      </c>
      <c r="E45" s="382" t="s">
        <v>853</v>
      </c>
      <c r="F45" s="330">
        <v>2</v>
      </c>
      <c r="G45" s="331">
        <v>1623.94</v>
      </c>
      <c r="H45" s="332">
        <v>0</v>
      </c>
      <c r="I45" s="331">
        <v>1623.94</v>
      </c>
      <c r="J45" s="389">
        <v>1623.94</v>
      </c>
      <c r="K45" s="333">
        <f t="shared" si="0"/>
        <v>0</v>
      </c>
      <c r="L45" s="329"/>
    </row>
    <row r="46" spans="1:20">
      <c r="A46" s="334"/>
      <c r="B46" s="354">
        <v>1300</v>
      </c>
      <c r="C46" s="328" t="s">
        <v>757</v>
      </c>
      <c r="D46" s="328" t="s">
        <v>1037</v>
      </c>
      <c r="E46" s="382" t="s">
        <v>854</v>
      </c>
      <c r="F46" s="330">
        <v>1</v>
      </c>
      <c r="G46" s="331">
        <v>1783.23</v>
      </c>
      <c r="H46" s="332">
        <v>0</v>
      </c>
      <c r="I46" s="331">
        <v>1783.23</v>
      </c>
      <c r="J46" s="389">
        <v>1783.23</v>
      </c>
      <c r="K46" s="333">
        <f t="shared" si="0"/>
        <v>0</v>
      </c>
      <c r="L46" s="329"/>
    </row>
    <row r="47" spans="1:20">
      <c r="A47" s="334">
        <v>30</v>
      </c>
      <c r="B47" s="354">
        <v>2062</v>
      </c>
      <c r="C47" s="328" t="s">
        <v>757</v>
      </c>
      <c r="D47" s="328" t="s">
        <v>802</v>
      </c>
      <c r="E47" s="329" t="s">
        <v>853</v>
      </c>
      <c r="F47" s="330">
        <v>2</v>
      </c>
      <c r="G47" s="331">
        <v>1633.22</v>
      </c>
      <c r="H47" s="332" t="s">
        <v>1006</v>
      </c>
      <c r="I47" s="331">
        <v>1633.22</v>
      </c>
      <c r="J47" s="389">
        <v>1633.22</v>
      </c>
      <c r="K47" s="333">
        <f t="shared" si="0"/>
        <v>0</v>
      </c>
      <c r="L47" s="329"/>
    </row>
    <row r="48" spans="1:20">
      <c r="A48" s="334"/>
      <c r="B48" s="354">
        <v>2323</v>
      </c>
      <c r="C48" s="328" t="s">
        <v>1000</v>
      </c>
      <c r="D48" s="328" t="s">
        <v>1027</v>
      </c>
      <c r="E48" s="329" t="s">
        <v>852</v>
      </c>
      <c r="F48" s="330"/>
      <c r="G48" s="331">
        <v>582.04</v>
      </c>
      <c r="H48" s="332">
        <v>0</v>
      </c>
      <c r="I48" s="331">
        <v>582.04</v>
      </c>
      <c r="J48" s="389">
        <v>582.04</v>
      </c>
      <c r="K48" s="333">
        <f t="shared" si="0"/>
        <v>0</v>
      </c>
      <c r="L48" s="161"/>
    </row>
    <row r="49" spans="1:12">
      <c r="A49" s="334"/>
      <c r="B49" s="354">
        <v>2313</v>
      </c>
      <c r="C49" s="328" t="s">
        <v>1000</v>
      </c>
      <c r="D49" s="328" t="s">
        <v>1001</v>
      </c>
      <c r="E49" s="329" t="s">
        <v>853</v>
      </c>
      <c r="F49" s="330">
        <v>2</v>
      </c>
      <c r="G49" s="331">
        <v>1907.43</v>
      </c>
      <c r="H49" s="332" t="s">
        <v>1006</v>
      </c>
      <c r="I49" s="331">
        <v>1907.43</v>
      </c>
      <c r="J49" s="389">
        <v>1907.43</v>
      </c>
      <c r="K49" s="333">
        <f t="shared" si="0"/>
        <v>0</v>
      </c>
      <c r="L49" s="29"/>
    </row>
    <row r="50" spans="1:12">
      <c r="A50" s="334"/>
      <c r="B50" s="354">
        <v>2019</v>
      </c>
      <c r="C50" s="328" t="s">
        <v>476</v>
      </c>
      <c r="D50" s="328" t="s">
        <v>447</v>
      </c>
      <c r="E50" s="329" t="s">
        <v>854</v>
      </c>
      <c r="F50" s="330">
        <v>1</v>
      </c>
      <c r="G50" s="331">
        <v>1267.6400000000001</v>
      </c>
      <c r="H50" s="332" t="s">
        <v>1006</v>
      </c>
      <c r="I50" s="331">
        <v>1267.6400000000001</v>
      </c>
      <c r="J50" s="389">
        <v>1267.6400000000001</v>
      </c>
      <c r="K50" s="333">
        <f t="shared" si="0"/>
        <v>0</v>
      </c>
      <c r="L50" s="380"/>
    </row>
    <row r="51" spans="1:12">
      <c r="A51" s="334">
        <v>34</v>
      </c>
      <c r="B51" s="354">
        <v>2278</v>
      </c>
      <c r="C51" s="328" t="s">
        <v>758</v>
      </c>
      <c r="D51" s="328" t="s">
        <v>805</v>
      </c>
      <c r="E51" s="329" t="s">
        <v>852</v>
      </c>
      <c r="F51" s="330"/>
      <c r="G51" s="331">
        <v>657.99</v>
      </c>
      <c r="H51" s="332" t="s">
        <v>1006</v>
      </c>
      <c r="I51" s="331">
        <v>657.99</v>
      </c>
      <c r="J51" s="389">
        <v>657.99</v>
      </c>
      <c r="K51" s="333">
        <f t="shared" si="0"/>
        <v>0</v>
      </c>
      <c r="L51" s="161"/>
    </row>
    <row r="52" spans="1:12">
      <c r="A52" s="334">
        <v>35</v>
      </c>
      <c r="B52" s="354">
        <v>2172</v>
      </c>
      <c r="C52" s="328" t="s">
        <v>478</v>
      </c>
      <c r="D52" s="328" t="s">
        <v>448</v>
      </c>
      <c r="E52" s="329" t="s">
        <v>852</v>
      </c>
      <c r="F52" s="330"/>
      <c r="G52" s="331">
        <v>1739.16</v>
      </c>
      <c r="H52" s="332" t="s">
        <v>1006</v>
      </c>
      <c r="I52" s="331">
        <v>1739.16</v>
      </c>
      <c r="J52" s="399">
        <v>1739.16</v>
      </c>
      <c r="K52" s="333">
        <f t="shared" si="0"/>
        <v>0</v>
      </c>
      <c r="L52" s="161"/>
    </row>
    <row r="53" spans="1:12">
      <c r="A53" s="334">
        <v>36</v>
      </c>
      <c r="B53" s="354">
        <v>2082</v>
      </c>
      <c r="C53" s="328" t="s">
        <v>759</v>
      </c>
      <c r="D53" s="338" t="s">
        <v>806</v>
      </c>
      <c r="E53" s="329" t="s">
        <v>852</v>
      </c>
      <c r="F53" s="330"/>
      <c r="G53" s="331">
        <v>713.06</v>
      </c>
      <c r="H53" s="332" t="s">
        <v>1006</v>
      </c>
      <c r="I53" s="331">
        <v>713.06</v>
      </c>
      <c r="J53" s="333">
        <v>713.06</v>
      </c>
      <c r="K53" s="333">
        <f t="shared" si="0"/>
        <v>0</v>
      </c>
      <c r="L53" s="329"/>
    </row>
    <row r="54" spans="1:12">
      <c r="A54" s="334">
        <v>37</v>
      </c>
      <c r="B54" s="354">
        <v>2119</v>
      </c>
      <c r="C54" s="328" t="s">
        <v>760</v>
      </c>
      <c r="D54" s="328" t="s">
        <v>807</v>
      </c>
      <c r="E54" s="329" t="s">
        <v>852</v>
      </c>
      <c r="F54" s="330"/>
      <c r="G54" s="331">
        <v>630.16</v>
      </c>
      <c r="H54" s="332" t="s">
        <v>1006</v>
      </c>
      <c r="I54" s="331">
        <v>630.16</v>
      </c>
      <c r="J54" s="389">
        <v>630.16</v>
      </c>
      <c r="K54" s="333">
        <f t="shared" si="0"/>
        <v>0</v>
      </c>
      <c r="L54" s="329"/>
    </row>
    <row r="55" spans="1:12">
      <c r="A55" s="334">
        <v>38</v>
      </c>
      <c r="B55" s="354">
        <v>2273</v>
      </c>
      <c r="C55" s="328" t="s">
        <v>761</v>
      </c>
      <c r="D55" s="328" t="s">
        <v>808</v>
      </c>
      <c r="E55" s="329" t="s">
        <v>852</v>
      </c>
      <c r="F55" s="330"/>
      <c r="G55" s="331">
        <v>657.99</v>
      </c>
      <c r="H55" s="332" t="s">
        <v>1006</v>
      </c>
      <c r="I55" s="331">
        <v>657.99</v>
      </c>
      <c r="J55" s="389">
        <v>657.99</v>
      </c>
      <c r="K55" s="333">
        <f t="shared" si="0"/>
        <v>0</v>
      </c>
      <c r="L55" s="329"/>
    </row>
    <row r="56" spans="1:12">
      <c r="A56" s="334">
        <v>40</v>
      </c>
      <c r="B56" s="354">
        <v>1975</v>
      </c>
      <c r="C56" s="328" t="s">
        <v>762</v>
      </c>
      <c r="D56" s="328" t="s">
        <v>810</v>
      </c>
      <c r="E56" s="329" t="s">
        <v>854</v>
      </c>
      <c r="F56" s="330">
        <v>1</v>
      </c>
      <c r="G56" s="331">
        <v>1647.13</v>
      </c>
      <c r="H56" s="332" t="s">
        <v>1006</v>
      </c>
      <c r="I56" s="331">
        <v>1647.13</v>
      </c>
      <c r="J56" s="389">
        <v>1647.13</v>
      </c>
      <c r="K56" s="333">
        <f>I104-J104</f>
        <v>0</v>
      </c>
      <c r="L56" s="329" t="s">
        <v>1136</v>
      </c>
    </row>
    <row r="57" spans="1:12">
      <c r="A57" s="334">
        <v>42</v>
      </c>
      <c r="B57" s="354">
        <v>2235</v>
      </c>
      <c r="C57" s="328" t="s">
        <v>764</v>
      </c>
      <c r="D57" s="328" t="s">
        <v>812</v>
      </c>
      <c r="E57" s="329" t="s">
        <v>854</v>
      </c>
      <c r="F57" s="330">
        <v>1</v>
      </c>
      <c r="G57" s="331">
        <v>1501.26</v>
      </c>
      <c r="H57" s="332" t="s">
        <v>1006</v>
      </c>
      <c r="I57" s="331">
        <v>1501.26</v>
      </c>
      <c r="J57" s="389">
        <v>1501.26</v>
      </c>
      <c r="K57" s="333">
        <f t="shared" si="0"/>
        <v>0</v>
      </c>
      <c r="L57" s="329"/>
    </row>
    <row r="58" spans="1:12">
      <c r="A58" s="334">
        <v>43</v>
      </c>
      <c r="B58" s="354">
        <v>2245</v>
      </c>
      <c r="C58" s="328" t="s">
        <v>765</v>
      </c>
      <c r="D58" s="328" t="s">
        <v>813</v>
      </c>
      <c r="E58" s="329" t="s">
        <v>854</v>
      </c>
      <c r="F58" s="330">
        <v>1</v>
      </c>
      <c r="G58" s="331">
        <v>1789.97</v>
      </c>
      <c r="H58" s="332" t="s">
        <v>1006</v>
      </c>
      <c r="I58" s="331">
        <v>1789.97</v>
      </c>
      <c r="J58" s="389">
        <v>1789.97</v>
      </c>
      <c r="K58" s="333">
        <f t="shared" si="0"/>
        <v>0</v>
      </c>
      <c r="L58" s="329"/>
    </row>
    <row r="59" spans="1:12">
      <c r="A59" s="334">
        <v>44</v>
      </c>
      <c r="B59" s="354">
        <v>2001</v>
      </c>
      <c r="C59" s="328" t="s">
        <v>766</v>
      </c>
      <c r="D59" s="338" t="s">
        <v>814</v>
      </c>
      <c r="E59" s="329" t="s">
        <v>852</v>
      </c>
      <c r="F59" s="330"/>
      <c r="G59" s="331">
        <v>1477.14</v>
      </c>
      <c r="H59" s="332" t="s">
        <v>1006</v>
      </c>
      <c r="I59" s="331">
        <v>1477.14</v>
      </c>
      <c r="J59" s="389">
        <v>1477.14</v>
      </c>
      <c r="K59" s="333">
        <f t="shared" si="0"/>
        <v>0</v>
      </c>
      <c r="L59" s="329"/>
    </row>
    <row r="60" spans="1:12">
      <c r="A60" s="334">
        <v>45</v>
      </c>
      <c r="B60" s="354">
        <v>2160</v>
      </c>
      <c r="C60" s="328" t="s">
        <v>767</v>
      </c>
      <c r="D60" s="338" t="s">
        <v>815</v>
      </c>
      <c r="E60" s="329" t="s">
        <v>854</v>
      </c>
      <c r="F60" s="330">
        <v>1</v>
      </c>
      <c r="G60" s="331"/>
      <c r="H60" s="332" t="s">
        <v>1006</v>
      </c>
      <c r="I60" s="331"/>
      <c r="J60" s="389"/>
      <c r="K60" s="333">
        <f t="shared" si="0"/>
        <v>0</v>
      </c>
      <c r="L60" s="329" t="s">
        <v>1137</v>
      </c>
    </row>
    <row r="61" spans="1:12">
      <c r="A61" s="334">
        <v>47</v>
      </c>
      <c r="B61" s="354">
        <v>2279</v>
      </c>
      <c r="C61" s="328" t="s">
        <v>769</v>
      </c>
      <c r="D61" s="328" t="s">
        <v>843</v>
      </c>
      <c r="E61" s="329" t="s">
        <v>852</v>
      </c>
      <c r="F61" s="330"/>
      <c r="G61" s="331">
        <v>607.54999999999995</v>
      </c>
      <c r="H61" s="332" t="s">
        <v>1006</v>
      </c>
      <c r="I61" s="331">
        <v>607.54999999999995</v>
      </c>
      <c r="J61" s="389">
        <v>607.54999999999995</v>
      </c>
      <c r="K61" s="333">
        <f t="shared" si="0"/>
        <v>0</v>
      </c>
      <c r="L61" s="161"/>
    </row>
    <row r="62" spans="1:12">
      <c r="A62" s="334">
        <v>48</v>
      </c>
      <c r="B62" s="354">
        <v>2246</v>
      </c>
      <c r="C62" s="328" t="s">
        <v>769</v>
      </c>
      <c r="D62" s="338" t="s">
        <v>817</v>
      </c>
      <c r="E62" s="329" t="s">
        <v>852</v>
      </c>
      <c r="F62" s="330"/>
      <c r="G62" s="331">
        <v>703.79</v>
      </c>
      <c r="H62" s="332" t="s">
        <v>1006</v>
      </c>
      <c r="I62" s="331">
        <v>703.79</v>
      </c>
      <c r="J62" s="389">
        <v>703.79</v>
      </c>
      <c r="K62" s="333">
        <f t="shared" si="0"/>
        <v>0</v>
      </c>
      <c r="L62" s="188"/>
    </row>
    <row r="63" spans="1:12">
      <c r="A63" s="334">
        <v>49</v>
      </c>
      <c r="B63" s="354">
        <v>2018</v>
      </c>
      <c r="C63" s="328" t="s">
        <v>770</v>
      </c>
      <c r="D63" s="328" t="s">
        <v>818</v>
      </c>
      <c r="E63" s="329" t="s">
        <v>852</v>
      </c>
      <c r="F63" s="330"/>
      <c r="G63" s="331">
        <v>1739.16</v>
      </c>
      <c r="H63" s="332" t="s">
        <v>1006</v>
      </c>
      <c r="I63" s="331">
        <v>1739.16</v>
      </c>
      <c r="J63" s="389">
        <v>1739.16</v>
      </c>
      <c r="K63" s="333">
        <f t="shared" si="0"/>
        <v>0</v>
      </c>
      <c r="L63" s="161"/>
    </row>
    <row r="64" spans="1:12">
      <c r="A64" s="334"/>
      <c r="B64" s="354">
        <v>2329</v>
      </c>
      <c r="C64" s="328" t="s">
        <v>1070</v>
      </c>
      <c r="D64" s="328" t="s">
        <v>1071</v>
      </c>
      <c r="E64" s="329" t="s">
        <v>854</v>
      </c>
      <c r="F64" s="330">
        <v>1</v>
      </c>
      <c r="G64" s="331">
        <v>579.72</v>
      </c>
      <c r="H64" s="332">
        <v>0</v>
      </c>
      <c r="I64" s="331">
        <v>579.72</v>
      </c>
      <c r="J64" s="389">
        <v>579.72</v>
      </c>
      <c r="K64" s="333">
        <f t="shared" si="0"/>
        <v>0</v>
      </c>
      <c r="L64" s="329"/>
    </row>
    <row r="65" spans="1:12">
      <c r="A65" s="334">
        <v>50</v>
      </c>
      <c r="B65" s="354">
        <v>1692</v>
      </c>
      <c r="C65" s="328" t="s">
        <v>771</v>
      </c>
      <c r="D65" s="338" t="s">
        <v>819</v>
      </c>
      <c r="E65" s="329" t="s">
        <v>852</v>
      </c>
      <c r="F65" s="330"/>
      <c r="G65" s="331">
        <v>2088.7399999999998</v>
      </c>
      <c r="H65" s="332" t="s">
        <v>1006</v>
      </c>
      <c r="I65" s="331">
        <v>2088.7399999999998</v>
      </c>
      <c r="J65" s="333">
        <v>2088.7399999999998</v>
      </c>
      <c r="K65" s="333">
        <f t="shared" si="0"/>
        <v>0</v>
      </c>
      <c r="L65" s="329" t="s">
        <v>1107</v>
      </c>
    </row>
    <row r="66" spans="1:12">
      <c r="A66" s="334"/>
      <c r="B66" s="354">
        <v>2027</v>
      </c>
      <c r="C66" s="328" t="s">
        <v>771</v>
      </c>
      <c r="D66" s="338" t="s">
        <v>982</v>
      </c>
      <c r="E66" s="329" t="s">
        <v>852</v>
      </c>
      <c r="F66" s="330"/>
      <c r="G66" s="331">
        <v>713.06</v>
      </c>
      <c r="H66" s="332" t="s">
        <v>1006</v>
      </c>
      <c r="I66" s="331">
        <v>713.06</v>
      </c>
      <c r="J66" s="389">
        <v>713.06</v>
      </c>
      <c r="K66" s="333">
        <f t="shared" si="0"/>
        <v>0</v>
      </c>
      <c r="L66" s="329"/>
    </row>
    <row r="67" spans="1:12">
      <c r="A67" s="334">
        <v>52</v>
      </c>
      <c r="B67" s="354">
        <v>2060</v>
      </c>
      <c r="C67" s="328" t="s">
        <v>487</v>
      </c>
      <c r="D67" s="328" t="s">
        <v>516</v>
      </c>
      <c r="E67" s="329" t="s">
        <v>852</v>
      </c>
      <c r="F67" s="330"/>
      <c r="G67" s="331">
        <v>1182.6400000000001</v>
      </c>
      <c r="H67" s="332" t="s">
        <v>1006</v>
      </c>
      <c r="I67" s="331">
        <v>1182.6400000000001</v>
      </c>
      <c r="J67" s="389">
        <v>1182.6400000000001</v>
      </c>
      <c r="K67" s="333">
        <f t="shared" si="0"/>
        <v>0</v>
      </c>
      <c r="L67" s="329"/>
    </row>
    <row r="68" spans="1:12">
      <c r="A68" s="334"/>
      <c r="B68" s="354">
        <v>2333</v>
      </c>
      <c r="C68" s="328" t="s">
        <v>1078</v>
      </c>
      <c r="D68" s="328" t="s">
        <v>1079</v>
      </c>
      <c r="E68" s="329" t="s">
        <v>854</v>
      </c>
      <c r="F68" s="330">
        <v>1</v>
      </c>
      <c r="G68" s="331">
        <v>1166.18</v>
      </c>
      <c r="H68" s="332">
        <v>0</v>
      </c>
      <c r="I68" s="331">
        <v>1166.18</v>
      </c>
      <c r="J68" s="389">
        <v>1166.18</v>
      </c>
      <c r="K68" s="333">
        <f t="shared" si="0"/>
        <v>0</v>
      </c>
      <c r="L68" s="329"/>
    </row>
    <row r="69" spans="1:12">
      <c r="A69" s="334">
        <v>54</v>
      </c>
      <c r="B69" s="354">
        <v>1050</v>
      </c>
      <c r="C69" s="328" t="s">
        <v>773</v>
      </c>
      <c r="D69" s="328" t="s">
        <v>821</v>
      </c>
      <c r="E69" s="329" t="s">
        <v>852</v>
      </c>
      <c r="F69" s="330"/>
      <c r="G69" s="331">
        <v>1739.16</v>
      </c>
      <c r="H69" s="332" t="s">
        <v>1006</v>
      </c>
      <c r="I69" s="331">
        <v>1739.16</v>
      </c>
      <c r="J69" s="389">
        <v>1739.16</v>
      </c>
      <c r="K69" s="333">
        <f t="shared" si="0"/>
        <v>0</v>
      </c>
      <c r="L69" s="329"/>
    </row>
    <row r="70" spans="1:12">
      <c r="A70" s="334">
        <v>55</v>
      </c>
      <c r="B70" s="354">
        <v>1964</v>
      </c>
      <c r="C70" s="328" t="s">
        <v>491</v>
      </c>
      <c r="D70" s="328" t="s">
        <v>456</v>
      </c>
      <c r="E70" s="329" t="s">
        <v>852</v>
      </c>
      <c r="F70" s="330"/>
      <c r="G70" s="331">
        <v>947.85</v>
      </c>
      <c r="H70" s="332" t="s">
        <v>1006</v>
      </c>
      <c r="I70" s="331">
        <v>947.85</v>
      </c>
      <c r="J70" s="389">
        <v>947.85</v>
      </c>
      <c r="K70" s="333">
        <f t="shared" si="0"/>
        <v>0</v>
      </c>
      <c r="L70" s="329"/>
    </row>
    <row r="71" spans="1:12">
      <c r="A71" s="334">
        <v>57</v>
      </c>
      <c r="B71" s="354">
        <v>1981</v>
      </c>
      <c r="C71" s="328" t="s">
        <v>774</v>
      </c>
      <c r="D71" s="338" t="s">
        <v>822</v>
      </c>
      <c r="E71" s="329" t="s">
        <v>852</v>
      </c>
      <c r="F71" s="330"/>
      <c r="G71" s="331">
        <v>740.89</v>
      </c>
      <c r="H71" s="332" t="s">
        <v>1006</v>
      </c>
      <c r="I71" s="331">
        <v>740.89</v>
      </c>
      <c r="J71" s="389">
        <v>740.89</v>
      </c>
      <c r="K71" s="333">
        <f t="shared" si="0"/>
        <v>0</v>
      </c>
      <c r="L71" s="329"/>
    </row>
    <row r="72" spans="1:12">
      <c r="A72" s="334">
        <v>56</v>
      </c>
      <c r="B72" s="354">
        <v>1662</v>
      </c>
      <c r="C72" s="328" t="s">
        <v>774</v>
      </c>
      <c r="D72" s="328" t="s">
        <v>823</v>
      </c>
      <c r="E72" s="329" t="s">
        <v>852</v>
      </c>
      <c r="F72" s="330"/>
      <c r="G72" s="331">
        <v>989.01</v>
      </c>
      <c r="H72" s="332" t="s">
        <v>1006</v>
      </c>
      <c r="I72" s="331">
        <v>989.01</v>
      </c>
      <c r="J72" s="389">
        <v>989.01</v>
      </c>
      <c r="K72" s="333">
        <f t="shared" ref="K72:K80" si="1">I72-J72</f>
        <v>0</v>
      </c>
      <c r="L72" s="329"/>
    </row>
    <row r="73" spans="1:12">
      <c r="A73" s="334"/>
      <c r="B73" s="354">
        <v>2339</v>
      </c>
      <c r="C73" s="328" t="s">
        <v>775</v>
      </c>
      <c r="D73" s="328" t="s">
        <v>1110</v>
      </c>
      <c r="E73" s="329" t="s">
        <v>854</v>
      </c>
      <c r="F73" s="330">
        <v>1</v>
      </c>
      <c r="G73" s="331">
        <v>1568.73</v>
      </c>
      <c r="H73" s="332">
        <v>0</v>
      </c>
      <c r="I73" s="331">
        <v>1568.73</v>
      </c>
      <c r="J73" s="389">
        <v>1568.73</v>
      </c>
      <c r="K73" s="333">
        <f t="shared" si="1"/>
        <v>0</v>
      </c>
      <c r="L73" s="329" t="s">
        <v>1051</v>
      </c>
    </row>
    <row r="74" spans="1:12">
      <c r="A74" s="334">
        <v>58</v>
      </c>
      <c r="B74" s="354">
        <v>1630</v>
      </c>
      <c r="C74" s="328" t="s">
        <v>775</v>
      </c>
      <c r="D74" s="338" t="s">
        <v>824</v>
      </c>
      <c r="E74" s="329" t="s">
        <v>852</v>
      </c>
      <c r="F74" s="330"/>
      <c r="G74" s="331">
        <v>1352.5</v>
      </c>
      <c r="H74" s="332" t="s">
        <v>1006</v>
      </c>
      <c r="I74" s="331">
        <v>1352.5</v>
      </c>
      <c r="J74" s="389">
        <v>1352.5</v>
      </c>
      <c r="K74" s="333">
        <f t="shared" si="1"/>
        <v>0</v>
      </c>
      <c r="L74" s="329"/>
    </row>
    <row r="75" spans="1:12">
      <c r="A75" s="334"/>
      <c r="B75" s="354">
        <v>2337</v>
      </c>
      <c r="C75" s="328" t="s">
        <v>777</v>
      </c>
      <c r="D75" s="338" t="s">
        <v>1080</v>
      </c>
      <c r="E75" s="329" t="s">
        <v>852</v>
      </c>
      <c r="F75" s="330"/>
      <c r="G75" s="331">
        <v>685.81</v>
      </c>
      <c r="H75" s="332">
        <v>0</v>
      </c>
      <c r="I75" s="331">
        <v>685.81</v>
      </c>
      <c r="J75" s="389">
        <v>685.81</v>
      </c>
      <c r="K75" s="333">
        <f t="shared" si="1"/>
        <v>0</v>
      </c>
      <c r="L75" s="329"/>
    </row>
    <row r="76" spans="1:12">
      <c r="A76" s="334">
        <v>61</v>
      </c>
      <c r="B76" s="354">
        <v>2010</v>
      </c>
      <c r="C76" s="328" t="s">
        <v>777</v>
      </c>
      <c r="D76" s="328" t="s">
        <v>826</v>
      </c>
      <c r="E76" s="329" t="s">
        <v>852</v>
      </c>
      <c r="F76" s="330"/>
      <c r="G76" s="331">
        <v>1131.6199999999999</v>
      </c>
      <c r="H76" s="332" t="s">
        <v>1006</v>
      </c>
      <c r="I76" s="331">
        <v>1131.6199999999999</v>
      </c>
      <c r="J76" s="389">
        <v>1131.6199999999999</v>
      </c>
      <c r="K76" s="333">
        <f t="shared" si="1"/>
        <v>0</v>
      </c>
      <c r="L76" s="329"/>
    </row>
    <row r="77" spans="1:12">
      <c r="A77" s="334">
        <v>60</v>
      </c>
      <c r="B77" s="354">
        <v>2187</v>
      </c>
      <c r="C77" s="328" t="s">
        <v>777</v>
      </c>
      <c r="D77" s="328" t="s">
        <v>827</v>
      </c>
      <c r="E77" s="329" t="s">
        <v>853</v>
      </c>
      <c r="F77" s="330">
        <v>2</v>
      </c>
      <c r="G77" s="331">
        <v>2082.5100000000002</v>
      </c>
      <c r="H77" s="332" t="s">
        <v>1006</v>
      </c>
      <c r="I77" s="391">
        <v>2082.5100000000002</v>
      </c>
      <c r="J77" s="389">
        <v>2082.5100000000002</v>
      </c>
      <c r="K77" s="333">
        <f t="shared" si="1"/>
        <v>0</v>
      </c>
      <c r="L77" s="329"/>
    </row>
    <row r="78" spans="1:12">
      <c r="A78" s="334">
        <v>63</v>
      </c>
      <c r="B78" s="354">
        <v>2064</v>
      </c>
      <c r="C78" s="328" t="s">
        <v>778</v>
      </c>
      <c r="D78" s="338" t="s">
        <v>829</v>
      </c>
      <c r="E78" s="341" t="s">
        <v>856</v>
      </c>
      <c r="F78" s="330">
        <v>2</v>
      </c>
      <c r="G78" s="331">
        <v>1797.13</v>
      </c>
      <c r="H78" s="332">
        <v>659.88</v>
      </c>
      <c r="I78" s="332">
        <f>SUM(G78:H78)</f>
        <v>2457.0100000000002</v>
      </c>
      <c r="J78" s="333">
        <v>2457.0100000000002</v>
      </c>
      <c r="K78" s="333">
        <f t="shared" si="1"/>
        <v>0</v>
      </c>
      <c r="L78" s="329"/>
    </row>
    <row r="79" spans="1:12">
      <c r="A79" s="334"/>
      <c r="B79" s="354">
        <v>2335</v>
      </c>
      <c r="C79" s="328" t="s">
        <v>870</v>
      </c>
      <c r="D79" s="338" t="s">
        <v>1081</v>
      </c>
      <c r="E79" s="382" t="s">
        <v>852</v>
      </c>
      <c r="F79" s="330"/>
      <c r="G79" s="331">
        <v>607.54999999999995</v>
      </c>
      <c r="H79" s="332">
        <v>0</v>
      </c>
      <c r="I79" s="331">
        <v>607.54999999999995</v>
      </c>
      <c r="J79" s="389">
        <v>607.54999999999995</v>
      </c>
      <c r="K79" s="333">
        <v>0</v>
      </c>
      <c r="L79" s="329"/>
    </row>
    <row r="80" spans="1:12">
      <c r="A80" s="334"/>
      <c r="B80" s="354">
        <v>2089</v>
      </c>
      <c r="C80" s="328" t="s">
        <v>870</v>
      </c>
      <c r="D80" s="338" t="s">
        <v>1007</v>
      </c>
      <c r="E80" s="329" t="s">
        <v>854</v>
      </c>
      <c r="F80" s="330">
        <v>1</v>
      </c>
      <c r="G80" s="331">
        <v>1161.55</v>
      </c>
      <c r="H80" s="332" t="s">
        <v>1006</v>
      </c>
      <c r="I80" s="331">
        <v>1161.55</v>
      </c>
      <c r="J80" s="389">
        <v>1161.55</v>
      </c>
      <c r="K80" s="333">
        <f t="shared" si="1"/>
        <v>0</v>
      </c>
      <c r="L80" s="329" t="s">
        <v>1107</v>
      </c>
    </row>
    <row r="81" spans="1:20">
      <c r="A81" s="7"/>
      <c r="B81" s="66"/>
      <c r="C81" s="29"/>
      <c r="D81" s="29"/>
      <c r="E81" s="410"/>
      <c r="F81" s="411"/>
      <c r="G81" s="412"/>
      <c r="H81" s="413">
        <f>SUM(H5:H80)</f>
        <v>2944.6000000000004</v>
      </c>
      <c r="I81" s="412"/>
      <c r="J81" s="414"/>
      <c r="K81" s="414"/>
      <c r="L81" s="385"/>
      <c r="M81" s="216"/>
      <c r="O81" s="15"/>
      <c r="P81" s="15"/>
    </row>
    <row r="82" spans="1:20">
      <c r="A82" s="7"/>
      <c r="B82" s="66"/>
      <c r="C82" s="29"/>
      <c r="D82" s="29"/>
      <c r="E82" s="410"/>
      <c r="F82" s="411"/>
      <c r="G82" s="412"/>
      <c r="H82" s="413"/>
      <c r="I82" s="412"/>
      <c r="J82" s="414"/>
      <c r="K82" s="414"/>
      <c r="L82" s="385"/>
      <c r="M82" s="216"/>
      <c r="O82" s="15"/>
      <c r="P82" s="15"/>
    </row>
    <row r="83" spans="1:20">
      <c r="A83" s="7"/>
      <c r="B83" s="66"/>
      <c r="C83" s="29"/>
      <c r="D83" s="29"/>
      <c r="E83" s="410"/>
      <c r="F83" s="411"/>
      <c r="G83" s="412"/>
      <c r="H83" s="413"/>
      <c r="I83" s="412"/>
      <c r="J83" s="414"/>
      <c r="K83" s="414"/>
      <c r="L83" s="385"/>
      <c r="M83" s="216"/>
      <c r="O83" s="15"/>
      <c r="P83" s="15"/>
    </row>
    <row r="84" spans="1:20">
      <c r="A84" s="7"/>
      <c r="B84" s="354">
        <v>2288</v>
      </c>
      <c r="C84" s="328" t="s">
        <v>772</v>
      </c>
      <c r="D84" s="338" t="s">
        <v>820</v>
      </c>
      <c r="E84" s="329" t="s">
        <v>852</v>
      </c>
      <c r="F84" s="330"/>
      <c r="G84" s="331">
        <v>648.71</v>
      </c>
      <c r="H84" s="412"/>
      <c r="I84" s="331">
        <v>648.71</v>
      </c>
      <c r="J84" s="331">
        <v>648.71</v>
      </c>
      <c r="K84" s="333">
        <f t="shared" ref="K84" si="2">I84-J84</f>
        <v>0</v>
      </c>
      <c r="L84" s="196" t="s">
        <v>1128</v>
      </c>
      <c r="M84" s="216"/>
      <c r="O84" s="15"/>
      <c r="P84" s="15"/>
    </row>
    <row r="85" spans="1:20">
      <c r="A85" s="7"/>
      <c r="B85" s="354"/>
      <c r="C85" s="328"/>
      <c r="D85" s="338"/>
      <c r="E85" s="329"/>
      <c r="F85" s="330"/>
      <c r="G85" s="331"/>
      <c r="H85" s="412"/>
      <c r="I85" s="331" t="s">
        <v>1113</v>
      </c>
      <c r="J85" s="415">
        <f>SUM(J84:J84)</f>
        <v>648.71</v>
      </c>
      <c r="K85" s="333"/>
      <c r="L85" s="385"/>
      <c r="M85" s="216"/>
      <c r="O85" s="15"/>
      <c r="P85" s="15"/>
    </row>
    <row r="86" spans="1:20">
      <c r="A86" s="438" t="s">
        <v>652</v>
      </c>
      <c r="B86" s="439"/>
      <c r="C86" s="439"/>
      <c r="D86" s="439"/>
      <c r="E86" s="439"/>
      <c r="F86" s="439"/>
      <c r="G86" s="440"/>
      <c r="H86" s="347"/>
      <c r="I86" s="348">
        <f>SUM(I5:I80)</f>
        <v>93759.950000000012</v>
      </c>
      <c r="J86" s="383">
        <f>SUM(J5:J80)</f>
        <v>93759.940000000017</v>
      </c>
      <c r="K86" s="383"/>
      <c r="L86" s="386"/>
    </row>
    <row r="87" spans="1:20">
      <c r="A87" s="441" t="s">
        <v>1028</v>
      </c>
      <c r="B87" s="442"/>
      <c r="C87" s="443"/>
      <c r="D87" s="351"/>
      <c r="E87" s="352" t="s">
        <v>258</v>
      </c>
      <c r="F87" s="334">
        <v>73</v>
      </c>
      <c r="G87" s="329" t="s">
        <v>1029</v>
      </c>
      <c r="H87" s="351"/>
      <c r="I87" s="352" t="s">
        <v>258</v>
      </c>
      <c r="J87" s="343">
        <v>74</v>
      </c>
      <c r="K87" s="343"/>
      <c r="L87" s="161"/>
    </row>
    <row r="88" spans="1:20">
      <c r="A88" s="353"/>
      <c r="B88" s="352"/>
      <c r="C88" s="351"/>
      <c r="D88" s="351"/>
      <c r="E88" s="351" t="s">
        <v>930</v>
      </c>
      <c r="F88" s="330">
        <v>4</v>
      </c>
      <c r="G88" s="329"/>
      <c r="H88" s="351"/>
      <c r="I88" s="351" t="s">
        <v>930</v>
      </c>
      <c r="J88" s="343">
        <v>4</v>
      </c>
      <c r="K88" s="343"/>
      <c r="L88" s="161"/>
    </row>
    <row r="89" spans="1:20">
      <c r="A89" s="441"/>
      <c r="B89" s="442"/>
      <c r="C89" s="443"/>
      <c r="D89" s="351"/>
      <c r="E89" s="352" t="s">
        <v>931</v>
      </c>
      <c r="F89" s="355">
        <v>26</v>
      </c>
      <c r="G89" s="329"/>
      <c r="H89" s="351"/>
      <c r="I89" s="352" t="s">
        <v>931</v>
      </c>
      <c r="J89" s="343">
        <v>26</v>
      </c>
      <c r="K89" s="343"/>
      <c r="L89" s="161"/>
    </row>
    <row r="90" spans="1:20">
      <c r="A90" s="444"/>
      <c r="B90" s="445"/>
      <c r="C90" s="446"/>
      <c r="D90" s="356"/>
      <c r="E90" s="357" t="s">
        <v>246</v>
      </c>
      <c r="F90" s="358">
        <v>103</v>
      </c>
      <c r="G90" s="329"/>
      <c r="H90" s="393"/>
      <c r="I90" s="394" t="s">
        <v>246</v>
      </c>
      <c r="J90" s="395">
        <v>104</v>
      </c>
      <c r="K90" s="395"/>
      <c r="L90" s="161"/>
    </row>
    <row r="91" spans="1:20">
      <c r="A91" s="447" t="s">
        <v>830</v>
      </c>
      <c r="B91" s="448"/>
      <c r="C91" s="448"/>
      <c r="D91" s="448"/>
      <c r="E91" s="448"/>
      <c r="F91" s="448"/>
      <c r="G91" s="448"/>
      <c r="H91" s="381"/>
      <c r="I91" s="381"/>
      <c r="J91" s="396"/>
      <c r="K91" s="396"/>
      <c r="L91" s="392"/>
      <c r="N91" s="15"/>
    </row>
    <row r="92" spans="1:20">
      <c r="A92" s="334"/>
      <c r="B92" s="354">
        <v>2341</v>
      </c>
      <c r="C92" s="328" t="s">
        <v>460</v>
      </c>
      <c r="D92" s="328" t="s">
        <v>1102</v>
      </c>
      <c r="E92" s="329" t="s">
        <v>852</v>
      </c>
      <c r="F92" s="330"/>
      <c r="G92" s="331">
        <v>1035.3900000000001</v>
      </c>
      <c r="H92" s="332">
        <v>0</v>
      </c>
      <c r="I92" s="331">
        <v>1035.3900000000001</v>
      </c>
      <c r="J92" s="389">
        <v>1035.3900000000001</v>
      </c>
      <c r="K92" s="333"/>
      <c r="L92" s="196" t="s">
        <v>1129</v>
      </c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>
        <v>2341</v>
      </c>
      <c r="C93" s="328" t="s">
        <v>460</v>
      </c>
      <c r="D93" s="328" t="s">
        <v>1102</v>
      </c>
      <c r="E93" s="329" t="s">
        <v>852</v>
      </c>
      <c r="F93" s="330"/>
      <c r="G93" s="331">
        <v>1035.3900000000001</v>
      </c>
      <c r="H93" s="332">
        <v>0</v>
      </c>
      <c r="I93" s="331">
        <v>1035.3900000000001</v>
      </c>
      <c r="J93" s="389">
        <v>1035.3900000000001</v>
      </c>
      <c r="K93" s="333"/>
      <c r="L93" s="196" t="s">
        <v>1130</v>
      </c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>
        <v>2285</v>
      </c>
      <c r="C94" s="328" t="s">
        <v>745</v>
      </c>
      <c r="D94" s="328" t="s">
        <v>1117</v>
      </c>
      <c r="E94" s="329" t="s">
        <v>852</v>
      </c>
      <c r="F94" s="330"/>
      <c r="G94" s="331">
        <v>593.64</v>
      </c>
      <c r="H94" s="332"/>
      <c r="I94" s="331">
        <v>593.64</v>
      </c>
      <c r="J94" s="389">
        <v>593.64</v>
      </c>
      <c r="K94" s="333"/>
      <c r="L94" s="196" t="s">
        <v>1129</v>
      </c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>
        <v>2285</v>
      </c>
      <c r="C95" s="328" t="s">
        <v>745</v>
      </c>
      <c r="D95" s="328" t="s">
        <v>1117</v>
      </c>
      <c r="E95" s="329" t="s">
        <v>852</v>
      </c>
      <c r="F95" s="330"/>
      <c r="G95" s="331">
        <v>593.64</v>
      </c>
      <c r="H95" s="332"/>
      <c r="I95" s="331">
        <v>593.64</v>
      </c>
      <c r="J95" s="389">
        <v>593.64</v>
      </c>
      <c r="K95" s="333"/>
      <c r="L95" s="196" t="s">
        <v>1130</v>
      </c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>
        <v>2308</v>
      </c>
      <c r="C96" s="328" t="s">
        <v>1118</v>
      </c>
      <c r="D96" s="328" t="s">
        <v>1119</v>
      </c>
      <c r="E96" s="382" t="s">
        <v>852</v>
      </c>
      <c r="F96" s="330"/>
      <c r="G96" s="331">
        <v>947.85</v>
      </c>
      <c r="H96" s="332">
        <v>0</v>
      </c>
      <c r="I96" s="332">
        <v>947.85</v>
      </c>
      <c r="J96" s="389">
        <v>947.85</v>
      </c>
      <c r="K96" s="333"/>
      <c r="L96" s="196" t="s">
        <v>1129</v>
      </c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>
        <v>2308</v>
      </c>
      <c r="C97" s="328" t="s">
        <v>1118</v>
      </c>
      <c r="D97" s="328" t="s">
        <v>1119</v>
      </c>
      <c r="E97" s="382" t="s">
        <v>852</v>
      </c>
      <c r="F97" s="330"/>
      <c r="G97" s="331">
        <v>947.85</v>
      </c>
      <c r="H97" s="332">
        <v>0</v>
      </c>
      <c r="I97" s="332">
        <v>947.85</v>
      </c>
      <c r="J97" s="389">
        <v>947.85</v>
      </c>
      <c r="K97" s="333"/>
      <c r="L97" s="196" t="s">
        <v>1130</v>
      </c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>
        <v>2318</v>
      </c>
      <c r="C98" s="328" t="s">
        <v>1018</v>
      </c>
      <c r="D98" s="328" t="s">
        <v>1019</v>
      </c>
      <c r="E98" s="382" t="s">
        <v>851</v>
      </c>
      <c r="F98" s="330"/>
      <c r="G98" s="331"/>
      <c r="H98" s="332"/>
      <c r="I98" s="332"/>
      <c r="J98" s="333">
        <v>-1402.93</v>
      </c>
      <c r="K98" s="333"/>
      <c r="L98" s="196" t="s">
        <v>1131</v>
      </c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>
        <v>2318</v>
      </c>
      <c r="C99" s="328" t="s">
        <v>1018</v>
      </c>
      <c r="D99" s="328" t="s">
        <v>1019</v>
      </c>
      <c r="E99" s="382" t="s">
        <v>851</v>
      </c>
      <c r="F99" s="330"/>
      <c r="G99" s="331"/>
      <c r="H99" s="332"/>
      <c r="I99" s="332"/>
      <c r="J99" s="333">
        <v>-1402.93</v>
      </c>
      <c r="K99" s="333"/>
      <c r="L99" s="196" t="s">
        <v>1132</v>
      </c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>
        <v>1970</v>
      </c>
      <c r="C100" s="328" t="s">
        <v>747</v>
      </c>
      <c r="D100" s="338" t="s">
        <v>787</v>
      </c>
      <c r="E100" s="329" t="s">
        <v>854</v>
      </c>
      <c r="F100" s="330">
        <v>1</v>
      </c>
      <c r="G100" s="331">
        <v>150</v>
      </c>
      <c r="H100" s="332">
        <v>618.14</v>
      </c>
      <c r="I100" s="331">
        <f>SUM(G100:H100)</f>
        <v>768.14</v>
      </c>
      <c r="J100" s="389">
        <v>768.14</v>
      </c>
      <c r="K100" s="333"/>
      <c r="L100" s="196" t="s">
        <v>1134</v>
      </c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>
        <v>1970</v>
      </c>
      <c r="C101" s="328" t="s">
        <v>747</v>
      </c>
      <c r="D101" s="338" t="s">
        <v>787</v>
      </c>
      <c r="E101" s="329" t="s">
        <v>854</v>
      </c>
      <c r="F101" s="330">
        <v>1</v>
      </c>
      <c r="G101" s="331">
        <v>150</v>
      </c>
      <c r="H101" s="332">
        <v>618.14</v>
      </c>
      <c r="I101" s="331">
        <f>SUM(G101:H101)</f>
        <v>768.14</v>
      </c>
      <c r="J101" s="389">
        <v>768.14</v>
      </c>
      <c r="K101" s="333"/>
      <c r="L101" s="196" t="s">
        <v>1135</v>
      </c>
      <c r="M101" s="362"/>
      <c r="N101" s="363"/>
      <c r="O101" s="362"/>
      <c r="P101" s="362"/>
      <c r="Q101" s="362"/>
      <c r="R101" s="362"/>
      <c r="S101" s="362"/>
      <c r="T101" s="362"/>
    </row>
    <row r="102" spans="1:20">
      <c r="A102" s="334"/>
      <c r="B102" s="354">
        <v>2298</v>
      </c>
      <c r="C102" s="328" t="s">
        <v>752</v>
      </c>
      <c r="D102" s="328" t="s">
        <v>1106</v>
      </c>
      <c r="E102" s="329" t="s">
        <v>852</v>
      </c>
      <c r="F102" s="330"/>
      <c r="G102" s="331">
        <v>685.81</v>
      </c>
      <c r="H102" s="332">
        <v>0</v>
      </c>
      <c r="I102" s="331">
        <v>685.81</v>
      </c>
      <c r="J102" s="389">
        <v>685.81</v>
      </c>
      <c r="K102" s="333"/>
      <c r="L102" s="196" t="s">
        <v>1129</v>
      </c>
      <c r="M102" s="362"/>
      <c r="N102" s="363"/>
      <c r="O102" s="362"/>
      <c r="P102" s="362"/>
      <c r="Q102" s="362"/>
      <c r="R102" s="362"/>
      <c r="S102" s="362"/>
      <c r="T102" s="362"/>
    </row>
    <row r="103" spans="1:20">
      <c r="A103" s="334"/>
      <c r="B103" s="354">
        <v>2298</v>
      </c>
      <c r="C103" s="328" t="s">
        <v>752</v>
      </c>
      <c r="D103" s="328" t="s">
        <v>1106</v>
      </c>
      <c r="E103" s="329" t="s">
        <v>852</v>
      </c>
      <c r="F103" s="330"/>
      <c r="G103" s="331">
        <v>685.81</v>
      </c>
      <c r="H103" s="332">
        <v>0</v>
      </c>
      <c r="I103" s="331">
        <v>685.81</v>
      </c>
      <c r="J103" s="389">
        <v>685.81</v>
      </c>
      <c r="K103" s="333"/>
      <c r="L103" s="196" t="s">
        <v>1130</v>
      </c>
      <c r="M103" s="362"/>
      <c r="N103" s="363"/>
      <c r="O103" s="362"/>
      <c r="P103" s="362"/>
      <c r="Q103" s="362"/>
      <c r="R103" s="362"/>
      <c r="S103" s="362"/>
      <c r="T103" s="362"/>
    </row>
    <row r="104" spans="1:20">
      <c r="A104" s="334"/>
      <c r="B104" s="354">
        <v>1975</v>
      </c>
      <c r="C104" s="328" t="s">
        <v>762</v>
      </c>
      <c r="D104" s="328" t="s">
        <v>810</v>
      </c>
      <c r="E104" s="329" t="s">
        <v>854</v>
      </c>
      <c r="F104" s="330">
        <v>1</v>
      </c>
      <c r="G104" s="331">
        <v>457.76</v>
      </c>
      <c r="H104" s="332" t="s">
        <v>1006</v>
      </c>
      <c r="I104" s="331">
        <v>457.76</v>
      </c>
      <c r="J104" s="331">
        <v>457.76</v>
      </c>
      <c r="K104" s="333"/>
      <c r="L104" s="196" t="s">
        <v>1129</v>
      </c>
      <c r="M104" s="362"/>
      <c r="N104" s="363"/>
      <c r="O104" s="362"/>
      <c r="P104" s="362"/>
      <c r="Q104" s="362"/>
      <c r="R104" s="362"/>
      <c r="S104" s="362"/>
      <c r="T104" s="362"/>
    </row>
    <row r="105" spans="1:20">
      <c r="A105" s="334"/>
      <c r="B105" s="354">
        <v>1975</v>
      </c>
      <c r="C105" s="328" t="s">
        <v>762</v>
      </c>
      <c r="D105" s="328" t="s">
        <v>810</v>
      </c>
      <c r="E105" s="329" t="s">
        <v>854</v>
      </c>
      <c r="F105" s="330">
        <v>1</v>
      </c>
      <c r="G105" s="331">
        <v>457.76</v>
      </c>
      <c r="H105" s="332" t="s">
        <v>1006</v>
      </c>
      <c r="I105" s="331">
        <v>457.76</v>
      </c>
      <c r="J105" s="331">
        <v>457.76</v>
      </c>
      <c r="K105" s="333"/>
      <c r="L105" s="196" t="s">
        <v>1130</v>
      </c>
      <c r="M105" s="362"/>
      <c r="N105" s="363"/>
      <c r="O105" s="362"/>
      <c r="P105" s="362"/>
      <c r="Q105" s="362"/>
      <c r="R105" s="362"/>
      <c r="S105" s="362"/>
      <c r="T105" s="362"/>
    </row>
    <row r="106" spans="1:20">
      <c r="A106" s="334"/>
      <c r="B106" s="354">
        <v>2160</v>
      </c>
      <c r="C106" s="328" t="s">
        <v>767</v>
      </c>
      <c r="D106" s="338" t="s">
        <v>815</v>
      </c>
      <c r="E106" s="329" t="s">
        <v>854</v>
      </c>
      <c r="F106" s="330">
        <v>1</v>
      </c>
      <c r="G106" s="331"/>
      <c r="H106" s="332" t="s">
        <v>1006</v>
      </c>
      <c r="I106" s="331"/>
      <c r="J106" s="389">
        <v>-2091.06</v>
      </c>
      <c r="K106" s="333"/>
      <c r="L106" s="196" t="s">
        <v>1131</v>
      </c>
      <c r="M106" s="362"/>
      <c r="N106" s="363"/>
      <c r="O106" s="362"/>
      <c r="P106" s="362"/>
      <c r="Q106" s="362"/>
      <c r="R106" s="362"/>
      <c r="S106" s="362"/>
      <c r="T106" s="362"/>
    </row>
    <row r="107" spans="1:20">
      <c r="A107" s="334"/>
      <c r="B107" s="354">
        <v>2160</v>
      </c>
      <c r="C107" s="328" t="s">
        <v>767</v>
      </c>
      <c r="D107" s="338" t="s">
        <v>815</v>
      </c>
      <c r="E107" s="329" t="s">
        <v>854</v>
      </c>
      <c r="F107" s="330">
        <v>1</v>
      </c>
      <c r="G107" s="331"/>
      <c r="H107" s="332" t="s">
        <v>1006</v>
      </c>
      <c r="I107" s="331"/>
      <c r="J107" s="389">
        <v>-2091.06</v>
      </c>
      <c r="K107" s="333"/>
      <c r="L107" s="196" t="s">
        <v>1132</v>
      </c>
      <c r="M107" s="362"/>
      <c r="N107" s="363"/>
      <c r="O107" s="362"/>
      <c r="P107" s="362"/>
      <c r="Q107" s="362"/>
      <c r="R107" s="362"/>
      <c r="S107" s="362"/>
      <c r="T107" s="362"/>
    </row>
    <row r="108" spans="1:20">
      <c r="A108" s="334"/>
      <c r="B108" s="354">
        <v>1692</v>
      </c>
      <c r="C108" s="328" t="s">
        <v>771</v>
      </c>
      <c r="D108" s="338" t="s">
        <v>819</v>
      </c>
      <c r="E108" s="329" t="s">
        <v>852</v>
      </c>
      <c r="F108" s="330"/>
      <c r="G108" s="331">
        <v>579.7199999999998</v>
      </c>
      <c r="H108" s="332" t="s">
        <v>1006</v>
      </c>
      <c r="I108" s="331">
        <v>579.7199999999998</v>
      </c>
      <c r="J108" s="331">
        <v>579.7199999999998</v>
      </c>
      <c r="K108" s="333"/>
      <c r="L108" s="196" t="s">
        <v>1138</v>
      </c>
      <c r="M108" s="362"/>
      <c r="N108" s="363"/>
      <c r="O108" s="362"/>
      <c r="P108" s="362"/>
      <c r="Q108" s="362"/>
      <c r="R108" s="362"/>
      <c r="S108" s="362"/>
      <c r="T108" s="362"/>
    </row>
    <row r="109" spans="1:20">
      <c r="A109" s="334"/>
      <c r="B109" s="354">
        <v>1692</v>
      </c>
      <c r="C109" s="328" t="s">
        <v>771</v>
      </c>
      <c r="D109" s="338" t="s">
        <v>819</v>
      </c>
      <c r="E109" s="329" t="s">
        <v>852</v>
      </c>
      <c r="F109" s="330"/>
      <c r="G109" s="331">
        <v>579.7199999999998</v>
      </c>
      <c r="H109" s="332" t="s">
        <v>1006</v>
      </c>
      <c r="I109" s="331">
        <v>579.7199999999998</v>
      </c>
      <c r="J109" s="331">
        <v>579.7199999999998</v>
      </c>
      <c r="K109" s="333"/>
      <c r="L109" s="196" t="s">
        <v>1139</v>
      </c>
      <c r="M109" s="362"/>
      <c r="N109" s="363"/>
      <c r="O109" s="362"/>
      <c r="P109" s="362"/>
      <c r="Q109" s="362"/>
      <c r="R109" s="362"/>
      <c r="S109" s="362"/>
      <c r="T109" s="362"/>
    </row>
    <row r="110" spans="1:20">
      <c r="A110" s="334"/>
      <c r="B110" s="354">
        <v>2339</v>
      </c>
      <c r="C110" s="328" t="s">
        <v>775</v>
      </c>
      <c r="D110" s="328" t="s">
        <v>1110</v>
      </c>
      <c r="E110" s="329" t="s">
        <v>854</v>
      </c>
      <c r="F110" s="330">
        <v>1</v>
      </c>
      <c r="G110" s="331">
        <v>1568.73</v>
      </c>
      <c r="H110" s="332">
        <v>0</v>
      </c>
      <c r="I110" s="331">
        <v>1568.73</v>
      </c>
      <c r="J110" s="389">
        <v>1568.73</v>
      </c>
      <c r="K110" s="333"/>
      <c r="L110" s="196" t="s">
        <v>1129</v>
      </c>
      <c r="M110" s="362"/>
      <c r="N110" s="363"/>
      <c r="O110" s="362"/>
      <c r="P110" s="362"/>
      <c r="Q110" s="362"/>
      <c r="R110" s="362"/>
      <c r="S110" s="362"/>
      <c r="T110" s="362"/>
    </row>
    <row r="111" spans="1:20">
      <c r="A111" s="334"/>
      <c r="B111" s="354">
        <v>2339</v>
      </c>
      <c r="C111" s="328" t="s">
        <v>775</v>
      </c>
      <c r="D111" s="328" t="s">
        <v>1110</v>
      </c>
      <c r="E111" s="329" t="s">
        <v>854</v>
      </c>
      <c r="F111" s="330">
        <v>1</v>
      </c>
      <c r="G111" s="331">
        <v>1568.73</v>
      </c>
      <c r="H111" s="332">
        <v>0</v>
      </c>
      <c r="I111" s="331">
        <v>1568.73</v>
      </c>
      <c r="J111" s="389">
        <v>1568.73</v>
      </c>
      <c r="K111" s="333"/>
      <c r="L111" s="196" t="s">
        <v>1130</v>
      </c>
      <c r="M111" s="362"/>
      <c r="N111" s="363"/>
      <c r="O111" s="362"/>
      <c r="P111" s="362"/>
      <c r="Q111" s="362"/>
      <c r="R111" s="362"/>
      <c r="S111" s="362"/>
      <c r="T111" s="362"/>
    </row>
    <row r="112" spans="1:20">
      <c r="A112" s="334"/>
      <c r="B112" s="354">
        <v>2095</v>
      </c>
      <c r="C112" s="328" t="s">
        <v>778</v>
      </c>
      <c r="D112" s="338" t="s">
        <v>828</v>
      </c>
      <c r="E112" s="329" t="s">
        <v>852</v>
      </c>
      <c r="F112" s="330"/>
      <c r="G112" s="331"/>
      <c r="H112" s="332"/>
      <c r="I112" s="331"/>
      <c r="J112" s="389">
        <v>-703.79</v>
      </c>
      <c r="K112" s="333"/>
      <c r="L112" s="196" t="s">
        <v>1131</v>
      </c>
      <c r="M112" s="362"/>
      <c r="N112" s="363"/>
      <c r="O112" s="362"/>
      <c r="P112" s="362"/>
      <c r="Q112" s="362"/>
      <c r="R112" s="362"/>
      <c r="S112" s="362"/>
      <c r="T112" s="362"/>
    </row>
    <row r="113" spans="1:20">
      <c r="A113" s="334"/>
      <c r="B113" s="354">
        <v>2095</v>
      </c>
      <c r="C113" s="328" t="s">
        <v>778</v>
      </c>
      <c r="D113" s="338" t="s">
        <v>828</v>
      </c>
      <c r="E113" s="329" t="s">
        <v>852</v>
      </c>
      <c r="F113" s="330"/>
      <c r="G113" s="331"/>
      <c r="H113" s="332"/>
      <c r="I113" s="331"/>
      <c r="J113" s="389">
        <v>-703.79</v>
      </c>
      <c r="K113" s="333"/>
      <c r="L113" s="196" t="s">
        <v>1132</v>
      </c>
      <c r="M113" s="362"/>
      <c r="N113" s="363"/>
      <c r="O113" s="362"/>
      <c r="P113" s="362"/>
      <c r="Q113" s="362"/>
      <c r="R113" s="362"/>
      <c r="S113" s="362"/>
      <c r="T113" s="362"/>
    </row>
    <row r="114" spans="1:20">
      <c r="A114" s="334"/>
      <c r="B114" s="354">
        <v>2089</v>
      </c>
      <c r="C114" s="328" t="s">
        <v>870</v>
      </c>
      <c r="D114" s="338" t="s">
        <v>1007</v>
      </c>
      <c r="E114" s="329" t="s">
        <v>854</v>
      </c>
      <c r="F114" s="330">
        <v>1</v>
      </c>
      <c r="G114" s="331">
        <v>457.76</v>
      </c>
      <c r="H114" s="332" t="s">
        <v>1006</v>
      </c>
      <c r="I114" s="331">
        <v>457.76</v>
      </c>
      <c r="J114" s="331">
        <v>457.76</v>
      </c>
      <c r="K114" s="333"/>
      <c r="L114" s="196" t="s">
        <v>1138</v>
      </c>
      <c r="M114" s="362"/>
      <c r="N114" s="363"/>
      <c r="O114" s="362"/>
      <c r="P114" s="362"/>
      <c r="Q114" s="362"/>
      <c r="R114" s="362"/>
      <c r="S114" s="362"/>
      <c r="T114" s="362"/>
    </row>
    <row r="115" spans="1:20">
      <c r="A115" s="334"/>
      <c r="B115" s="354">
        <v>2089</v>
      </c>
      <c r="C115" s="328" t="s">
        <v>870</v>
      </c>
      <c r="D115" s="338" t="s">
        <v>1007</v>
      </c>
      <c r="E115" s="329" t="s">
        <v>854</v>
      </c>
      <c r="F115" s="330">
        <v>1</v>
      </c>
      <c r="G115" s="331">
        <v>457.76</v>
      </c>
      <c r="H115" s="332" t="s">
        <v>1006</v>
      </c>
      <c r="I115" s="331">
        <v>457.76</v>
      </c>
      <c r="J115" s="331">
        <v>457.76</v>
      </c>
      <c r="K115" s="333"/>
      <c r="L115" s="196" t="s">
        <v>1139</v>
      </c>
      <c r="M115" s="362"/>
      <c r="N115" s="363"/>
      <c r="O115" s="362"/>
      <c r="P115" s="362"/>
      <c r="Q115" s="362"/>
      <c r="R115" s="362"/>
      <c r="S115" s="362"/>
      <c r="T115" s="362"/>
    </row>
    <row r="116" spans="1:20">
      <c r="A116" s="334"/>
      <c r="B116" s="354"/>
      <c r="C116" s="328"/>
      <c r="D116" s="338"/>
      <c r="E116" s="398"/>
      <c r="F116" s="330"/>
      <c r="G116" s="331"/>
      <c r="H116" s="332"/>
      <c r="I116" s="331"/>
      <c r="J116" s="331"/>
      <c r="K116" s="333"/>
      <c r="L116" s="196"/>
      <c r="M116" s="362"/>
      <c r="N116" s="363"/>
      <c r="O116" s="362"/>
      <c r="P116" s="362"/>
      <c r="Q116" s="362"/>
      <c r="R116" s="362"/>
      <c r="S116" s="362"/>
      <c r="T116" s="362"/>
    </row>
    <row r="117" spans="1:20">
      <c r="A117" s="334"/>
      <c r="B117" s="354"/>
      <c r="C117" s="328"/>
      <c r="D117" s="328"/>
      <c r="E117" s="329"/>
      <c r="F117" s="330"/>
      <c r="G117" s="331"/>
      <c r="H117" s="332"/>
      <c r="I117" s="332"/>
      <c r="J117" s="333"/>
      <c r="K117" s="333"/>
      <c r="L117" s="161"/>
      <c r="N117" s="15"/>
    </row>
    <row r="118" spans="1:20">
      <c r="A118" s="438" t="s">
        <v>846</v>
      </c>
      <c r="B118" s="439"/>
      <c r="C118" s="439"/>
      <c r="D118" s="439"/>
      <c r="E118" s="439"/>
      <c r="F118" s="439"/>
      <c r="G118" s="440"/>
      <c r="H118" s="348">
        <f>SUM(H92:H117)</f>
        <v>1236.28</v>
      </c>
      <c r="I118" s="347"/>
      <c r="J118" s="348">
        <f>SUM(J92:J117)</f>
        <v>5794.0399999999991</v>
      </c>
      <c r="K118" s="406"/>
      <c r="L118" s="402"/>
    </row>
    <row r="119" spans="1:20">
      <c r="A119" s="365"/>
      <c r="B119" s="366"/>
      <c r="C119" s="366"/>
      <c r="D119" s="366"/>
      <c r="E119" s="366"/>
      <c r="F119" s="367"/>
      <c r="G119" s="368"/>
      <c r="H119" s="368"/>
      <c r="I119" s="368"/>
      <c r="J119" s="349"/>
      <c r="K119" s="383"/>
      <c r="L119" s="364"/>
    </row>
    <row r="120" spans="1:20" ht="16">
      <c r="A120" s="435" t="s">
        <v>881</v>
      </c>
      <c r="B120" s="436"/>
      <c r="C120" s="436"/>
      <c r="D120" s="436"/>
      <c r="E120" s="436"/>
      <c r="F120" s="436"/>
      <c r="G120" s="437"/>
      <c r="H120" s="369"/>
      <c r="I120" s="369"/>
      <c r="J120" s="370">
        <f>SUM(J86,J118)</f>
        <v>99553.98000000001</v>
      </c>
      <c r="K120" s="407"/>
      <c r="L120" s="350"/>
    </row>
    <row r="121" spans="1:20" ht="18">
      <c r="F121" s="3"/>
      <c r="G121" s="371" t="s">
        <v>1013</v>
      </c>
      <c r="H121" s="372">
        <v>45706</v>
      </c>
    </row>
    <row r="122" spans="1:20" ht="18">
      <c r="F122" s="3"/>
      <c r="G122" s="371" t="s">
        <v>1014</v>
      </c>
      <c r="H122" s="373" t="s">
        <v>990</v>
      </c>
      <c r="I122" s="373"/>
    </row>
    <row r="123" spans="1:20">
      <c r="F123" s="3"/>
      <c r="G123" s="216"/>
      <c r="H123" s="216"/>
      <c r="I123" s="216"/>
      <c r="J123" s="3"/>
      <c r="K123" s="3"/>
      <c r="L123" s="15"/>
      <c r="M123" s="216"/>
    </row>
    <row r="124" spans="1:20">
      <c r="F124" s="3"/>
      <c r="G124" s="216"/>
      <c r="H124" s="269"/>
      <c r="I124" s="216"/>
      <c r="J124" s="270"/>
      <c r="K124" s="270"/>
      <c r="L124" s="15"/>
      <c r="M124" s="216"/>
    </row>
    <row r="125" spans="1:20">
      <c r="F125" s="3"/>
      <c r="G125" s="216"/>
      <c r="H125" s="269"/>
      <c r="I125" s="216"/>
      <c r="J125" s="270"/>
      <c r="K125" s="270"/>
      <c r="L125" s="15"/>
      <c r="M125" s="216"/>
    </row>
    <row r="126" spans="1:20">
      <c r="F126" s="3"/>
      <c r="G126" s="216"/>
      <c r="H126" s="388">
        <f>SUM(H81,H118)</f>
        <v>4180.88</v>
      </c>
      <c r="I126" s="269">
        <f>J120-H126</f>
        <v>95373.1</v>
      </c>
      <c r="J126" s="270">
        <f>SUM(J84:J84)</f>
        <v>648.71</v>
      </c>
      <c r="K126" s="3"/>
      <c r="L126" s="15"/>
      <c r="M126" s="216"/>
    </row>
    <row r="127" spans="1:20">
      <c r="F127" s="3"/>
      <c r="G127" s="216"/>
      <c r="H127" s="216"/>
      <c r="I127" s="216"/>
      <c r="J127" s="3"/>
      <c r="K127" s="3"/>
      <c r="L127" s="15"/>
      <c r="M127" s="216"/>
      <c r="Q127" s="3"/>
      <c r="R127" s="3"/>
      <c r="S127" s="3"/>
      <c r="T127" s="3"/>
    </row>
  </sheetData>
  <mergeCells count="7">
    <mergeCell ref="A120:G120"/>
    <mergeCell ref="A86:G86"/>
    <mergeCell ref="A87:C87"/>
    <mergeCell ref="A89:C89"/>
    <mergeCell ref="A90:C90"/>
    <mergeCell ref="A91:G91"/>
    <mergeCell ref="A118:G118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C35A-9132-304E-9B52-08C86AA467AF}">
  <dimension ref="A1:T113"/>
  <sheetViews>
    <sheetView zoomScale="170" zoomScaleNormal="170" workbookViewId="0">
      <selection activeCell="Q21" sqref="Q21"/>
    </sheetView>
  </sheetViews>
  <sheetFormatPr baseColWidth="10" defaultColWidth="11.5" defaultRowHeight="13"/>
  <cols>
    <col min="1" max="1" width="3" customWidth="1"/>
    <col min="2" max="2" width="9.33203125" style="374" bestFit="1" customWidth="1"/>
    <col min="3" max="3" width="11.6640625" customWidth="1"/>
    <col min="4" max="4" width="11.1640625" customWidth="1"/>
    <col min="5" max="5" width="21.6640625" customWidth="1"/>
    <col min="6" max="6" width="4.6640625" customWidth="1"/>
    <col min="7" max="7" width="11.1640625" bestFit="1" customWidth="1"/>
    <col min="8" max="8" width="13.1640625" customWidth="1"/>
    <col min="9" max="9" width="11.1640625" bestFit="1" customWidth="1"/>
    <col min="10" max="10" width="12.6640625" customWidth="1"/>
    <col min="11" max="11" width="10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45689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42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72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1711.35</v>
      </c>
      <c r="H8" s="332" t="s">
        <v>1006</v>
      </c>
      <c r="I8" s="332">
        <v>1711.35</v>
      </c>
      <c r="J8" s="335">
        <v>1711.35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1551.34</v>
      </c>
      <c r="H9" s="332" t="s">
        <v>1006</v>
      </c>
      <c r="I9" s="331">
        <v>1551.34</v>
      </c>
      <c r="J9" s="389">
        <v>2063.59</v>
      </c>
      <c r="K9" s="333">
        <f t="shared" si="0"/>
        <v>-512.25000000000023</v>
      </c>
      <c r="L9" s="329" t="s">
        <v>1114</v>
      </c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1485.83</v>
      </c>
      <c r="H10" s="332" t="s">
        <v>1006</v>
      </c>
      <c r="I10" s="331">
        <v>1485.83</v>
      </c>
      <c r="J10" s="389">
        <v>1998.08</v>
      </c>
      <c r="K10" s="333">
        <f t="shared" si="0"/>
        <v>-512.25</v>
      </c>
      <c r="L10" s="329" t="s">
        <v>1127</v>
      </c>
    </row>
    <row r="11" spans="1:20">
      <c r="A11" s="334"/>
      <c r="B11" s="354">
        <v>2341</v>
      </c>
      <c r="C11" s="328" t="s">
        <v>460</v>
      </c>
      <c r="D11" s="328" t="s">
        <v>1102</v>
      </c>
      <c r="E11" s="329" t="s">
        <v>852</v>
      </c>
      <c r="F11" s="330"/>
      <c r="G11" s="331"/>
      <c r="H11" s="332"/>
      <c r="I11" s="331"/>
      <c r="J11" s="389"/>
      <c r="K11" s="333">
        <f t="shared" si="0"/>
        <v>0</v>
      </c>
      <c r="L11" s="329" t="s">
        <v>1036</v>
      </c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1629.03</v>
      </c>
      <c r="H12" s="332" t="s">
        <v>1006</v>
      </c>
      <c r="I12" s="331">
        <v>1629.03</v>
      </c>
      <c r="J12" s="389">
        <v>1629.03</v>
      </c>
      <c r="K12" s="333">
        <f t="shared" si="0"/>
        <v>0</v>
      </c>
      <c r="L12" s="329"/>
    </row>
    <row r="13" spans="1:20">
      <c r="A13" s="334"/>
      <c r="B13" s="354">
        <v>2285</v>
      </c>
      <c r="C13" s="328" t="s">
        <v>745</v>
      </c>
      <c r="D13" s="328" t="s">
        <v>1117</v>
      </c>
      <c r="E13" s="329" t="s">
        <v>852</v>
      </c>
      <c r="F13" s="330"/>
      <c r="G13" s="331"/>
      <c r="H13" s="332"/>
      <c r="I13" s="331"/>
      <c r="J13" s="389"/>
      <c r="K13" s="333"/>
      <c r="L13" s="329" t="s">
        <v>1036</v>
      </c>
    </row>
    <row r="14" spans="1:20">
      <c r="A14" s="334">
        <v>8</v>
      </c>
      <c r="B14" s="354">
        <v>2131</v>
      </c>
      <c r="C14" s="328" t="s">
        <v>745</v>
      </c>
      <c r="D14" s="338" t="s">
        <v>784</v>
      </c>
      <c r="E14" s="329" t="s">
        <v>852</v>
      </c>
      <c r="F14" s="330"/>
      <c r="G14" s="331">
        <v>703.79</v>
      </c>
      <c r="H14" s="332" t="s">
        <v>1006</v>
      </c>
      <c r="I14" s="331">
        <v>703.79</v>
      </c>
      <c r="J14" s="389">
        <v>703.79</v>
      </c>
      <c r="K14" s="333">
        <f t="shared" si="0"/>
        <v>0</v>
      </c>
      <c r="L14" s="329"/>
      <c r="P14" s="1"/>
      <c r="Q14" s="1"/>
      <c r="R14" s="1"/>
      <c r="S14" s="1"/>
      <c r="T14" s="1"/>
    </row>
    <row r="15" spans="1:20">
      <c r="A15" s="334">
        <v>7</v>
      </c>
      <c r="B15" s="354">
        <v>1751</v>
      </c>
      <c r="C15" s="328" t="s">
        <v>745</v>
      </c>
      <c r="D15" s="339" t="s">
        <v>838</v>
      </c>
      <c r="E15" s="329" t="s">
        <v>852</v>
      </c>
      <c r="F15" s="330"/>
      <c r="G15" s="331">
        <v>989.01</v>
      </c>
      <c r="H15" s="332" t="s">
        <v>1006</v>
      </c>
      <c r="I15" s="331">
        <v>989.01</v>
      </c>
      <c r="J15" s="389">
        <v>989.01</v>
      </c>
      <c r="K15" s="333">
        <f t="shared" si="0"/>
        <v>0</v>
      </c>
      <c r="L15" s="329"/>
    </row>
    <row r="16" spans="1:20">
      <c r="A16" s="334">
        <v>9</v>
      </c>
      <c r="B16" s="354">
        <v>2023</v>
      </c>
      <c r="C16" s="328" t="s">
        <v>745</v>
      </c>
      <c r="D16" s="339" t="s">
        <v>783</v>
      </c>
      <c r="E16" s="329" t="s">
        <v>852</v>
      </c>
      <c r="F16" s="330"/>
      <c r="G16" s="331">
        <v>740.89</v>
      </c>
      <c r="H16" s="332" t="s">
        <v>1006</v>
      </c>
      <c r="I16" s="331">
        <v>740.89</v>
      </c>
      <c r="J16" s="389">
        <v>740.89</v>
      </c>
      <c r="K16" s="333">
        <f t="shared" si="0"/>
        <v>0</v>
      </c>
      <c r="L16" s="328"/>
      <c r="P16" s="1"/>
      <c r="Q16" s="1"/>
      <c r="R16" s="1"/>
      <c r="S16" s="1"/>
      <c r="T16" s="1"/>
    </row>
    <row r="17" spans="1:20">
      <c r="A17" s="334"/>
      <c r="B17" s="374">
        <v>2302</v>
      </c>
      <c r="C17" s="336" t="s">
        <v>806</v>
      </c>
      <c r="D17" s="339" t="s">
        <v>952</v>
      </c>
      <c r="E17" s="329" t="s">
        <v>852</v>
      </c>
      <c r="F17" s="330"/>
      <c r="G17" s="331">
        <v>717.7</v>
      </c>
      <c r="H17" s="332" t="s">
        <v>1006</v>
      </c>
      <c r="I17" s="331">
        <v>717.7</v>
      </c>
      <c r="J17" s="389">
        <v>717.7</v>
      </c>
      <c r="K17" s="333">
        <f t="shared" si="0"/>
        <v>0</v>
      </c>
      <c r="L17" s="340"/>
      <c r="P17" s="1"/>
      <c r="Q17" s="1"/>
      <c r="R17" s="1"/>
      <c r="S17" s="1"/>
      <c r="T17" s="1"/>
    </row>
    <row r="18" spans="1:20">
      <c r="A18" s="334">
        <v>10</v>
      </c>
      <c r="B18" s="375">
        <v>2254</v>
      </c>
      <c r="C18" s="328" t="s">
        <v>840</v>
      </c>
      <c r="D18" s="328" t="s">
        <v>841</v>
      </c>
      <c r="E18" s="341" t="s">
        <v>855</v>
      </c>
      <c r="F18" s="330">
        <v>1</v>
      </c>
      <c r="G18" s="331">
        <v>1348.64</v>
      </c>
      <c r="H18" s="332">
        <v>604.79999999999995</v>
      </c>
      <c r="I18" s="332">
        <v>1953.45</v>
      </c>
      <c r="J18" s="333">
        <v>1953.45</v>
      </c>
      <c r="K18" s="333">
        <f t="shared" si="0"/>
        <v>0</v>
      </c>
      <c r="L18" s="329"/>
    </row>
    <row r="19" spans="1:20">
      <c r="A19" s="334"/>
      <c r="B19" s="354">
        <v>2308</v>
      </c>
      <c r="C19" s="328" t="s">
        <v>1118</v>
      </c>
      <c r="D19" s="328" t="s">
        <v>1119</v>
      </c>
      <c r="E19" s="382" t="s">
        <v>852</v>
      </c>
      <c r="F19" s="330"/>
      <c r="G19" s="331"/>
      <c r="H19" s="332"/>
      <c r="I19" s="332"/>
      <c r="J19" s="333"/>
      <c r="K19" s="333"/>
      <c r="L19" s="329" t="s">
        <v>1036</v>
      </c>
    </row>
    <row r="20" spans="1:20">
      <c r="A20" s="334"/>
      <c r="B20" s="354">
        <v>2318</v>
      </c>
      <c r="C20" s="328" t="s">
        <v>1018</v>
      </c>
      <c r="D20" s="328" t="s">
        <v>1019</v>
      </c>
      <c r="E20" s="382" t="s">
        <v>851</v>
      </c>
      <c r="F20" s="330"/>
      <c r="G20" s="331"/>
      <c r="H20" s="332"/>
      <c r="I20" s="332"/>
      <c r="J20" s="333">
        <v>1402.93</v>
      </c>
      <c r="K20" s="333">
        <f t="shared" si="0"/>
        <v>-1402.93</v>
      </c>
      <c r="L20" s="161" t="s">
        <v>1104</v>
      </c>
    </row>
    <row r="21" spans="1:20">
      <c r="A21" s="334">
        <v>11</v>
      </c>
      <c r="B21" s="354">
        <v>1721</v>
      </c>
      <c r="C21" s="328" t="s">
        <v>746</v>
      </c>
      <c r="D21" s="328" t="s">
        <v>785</v>
      </c>
      <c r="E21" s="329" t="s">
        <v>854</v>
      </c>
      <c r="F21" s="330">
        <v>1</v>
      </c>
      <c r="G21" s="331">
        <v>1665.55</v>
      </c>
      <c r="H21" s="332" t="s">
        <v>1006</v>
      </c>
      <c r="I21" s="331">
        <v>1665.55</v>
      </c>
      <c r="J21" s="389">
        <v>1665.55</v>
      </c>
      <c r="K21" s="333">
        <f t="shared" si="0"/>
        <v>0</v>
      </c>
      <c r="L21" s="161"/>
    </row>
    <row r="22" spans="1:20">
      <c r="A22" s="334">
        <v>12</v>
      </c>
      <c r="B22" s="354">
        <v>2123</v>
      </c>
      <c r="C22" s="328" t="s">
        <v>746</v>
      </c>
      <c r="D22" s="328" t="s">
        <v>786</v>
      </c>
      <c r="E22" s="329" t="s">
        <v>852</v>
      </c>
      <c r="F22" s="330"/>
      <c r="G22" s="331">
        <v>754.8</v>
      </c>
      <c r="H22" s="332" t="s">
        <v>1006</v>
      </c>
      <c r="I22" s="331">
        <v>754.8</v>
      </c>
      <c r="J22" s="389">
        <v>754.8</v>
      </c>
      <c r="K22" s="333">
        <f t="shared" si="0"/>
        <v>0</v>
      </c>
      <c r="L22" s="161"/>
    </row>
    <row r="23" spans="1:20">
      <c r="A23" s="334">
        <v>13</v>
      </c>
      <c r="B23" s="354">
        <v>1970</v>
      </c>
      <c r="C23" s="328" t="s">
        <v>747</v>
      </c>
      <c r="D23" s="338" t="s">
        <v>787</v>
      </c>
      <c r="E23" s="329" t="s">
        <v>854</v>
      </c>
      <c r="F23" s="330">
        <v>1</v>
      </c>
      <c r="G23" s="331">
        <v>1170.82</v>
      </c>
      <c r="H23" s="332">
        <v>0</v>
      </c>
      <c r="I23" s="331">
        <v>1170.82</v>
      </c>
      <c r="J23" s="389">
        <v>1170.82</v>
      </c>
      <c r="K23" s="333">
        <f t="shared" si="0"/>
        <v>0</v>
      </c>
      <c r="L23" s="161" t="s">
        <v>1105</v>
      </c>
    </row>
    <row r="24" spans="1:20">
      <c r="A24" s="334">
        <v>14</v>
      </c>
      <c r="B24" s="376" t="s">
        <v>934</v>
      </c>
      <c r="C24" s="328" t="s">
        <v>932</v>
      </c>
      <c r="D24" s="338" t="s">
        <v>933</v>
      </c>
      <c r="E24" s="329" t="s">
        <v>851</v>
      </c>
      <c r="F24" s="330"/>
      <c r="G24" s="331">
        <v>808</v>
      </c>
      <c r="H24" s="332">
        <v>480.16</v>
      </c>
      <c r="I24" s="332">
        <f>SUM(G24:H24)</f>
        <v>1288.1600000000001</v>
      </c>
      <c r="J24" s="333">
        <v>1288.1500000000001</v>
      </c>
      <c r="K24" s="333">
        <f t="shared" si="0"/>
        <v>9.9999999999909051E-3</v>
      </c>
      <c r="L24" s="188"/>
      <c r="M24" s="403" t="s">
        <v>1042</v>
      </c>
    </row>
    <row r="25" spans="1:20">
      <c r="A25" s="334">
        <v>15</v>
      </c>
      <c r="B25" s="354">
        <v>1794</v>
      </c>
      <c r="C25" s="328" t="s">
        <v>466</v>
      </c>
      <c r="D25" s="328" t="s">
        <v>431</v>
      </c>
      <c r="E25" s="329" t="s">
        <v>854</v>
      </c>
      <c r="F25" s="330">
        <v>1</v>
      </c>
      <c r="G25" s="331">
        <v>1713.66</v>
      </c>
      <c r="H25" s="332" t="s">
        <v>1006</v>
      </c>
      <c r="I25" s="331">
        <v>1713.66</v>
      </c>
      <c r="J25" s="389">
        <v>1713.66</v>
      </c>
      <c r="K25" s="333">
        <f t="shared" si="0"/>
        <v>0</v>
      </c>
      <c r="L25" s="161"/>
      <c r="P25" s="1"/>
      <c r="Q25" s="1"/>
      <c r="R25" s="1"/>
      <c r="S25" s="1"/>
      <c r="T25" s="1"/>
    </row>
    <row r="26" spans="1:20">
      <c r="A26" s="334">
        <v>16</v>
      </c>
      <c r="B26" s="354">
        <v>2201</v>
      </c>
      <c r="C26" s="328" t="s">
        <v>748</v>
      </c>
      <c r="D26" s="338" t="s">
        <v>788</v>
      </c>
      <c r="E26" s="329" t="s">
        <v>852</v>
      </c>
      <c r="F26" s="330"/>
      <c r="G26" s="331">
        <v>1412.79</v>
      </c>
      <c r="H26" s="332" t="s">
        <v>1006</v>
      </c>
      <c r="I26" s="331">
        <v>1412.79</v>
      </c>
      <c r="J26" s="389">
        <v>1412.79</v>
      </c>
      <c r="K26" s="333">
        <f t="shared" si="0"/>
        <v>0</v>
      </c>
      <c r="L26" s="161"/>
    </row>
    <row r="27" spans="1:20">
      <c r="A27" s="334">
        <v>17</v>
      </c>
      <c r="B27" s="354">
        <v>2194</v>
      </c>
      <c r="C27" s="328" t="s">
        <v>749</v>
      </c>
      <c r="D27" s="338" t="s">
        <v>789</v>
      </c>
      <c r="E27" s="329" t="s">
        <v>852</v>
      </c>
      <c r="F27" s="330"/>
      <c r="G27" s="331">
        <v>657.99</v>
      </c>
      <c r="H27" s="332" t="s">
        <v>1006</v>
      </c>
      <c r="I27" s="331">
        <v>657.99</v>
      </c>
      <c r="J27" s="389">
        <v>657.99</v>
      </c>
      <c r="K27" s="333">
        <f t="shared" si="0"/>
        <v>0</v>
      </c>
      <c r="L27" s="161"/>
    </row>
    <row r="28" spans="1:20">
      <c r="A28" s="334"/>
      <c r="B28" s="354">
        <v>1961</v>
      </c>
      <c r="C28" s="328" t="s">
        <v>967</v>
      </c>
      <c r="D28" s="338" t="s">
        <v>968</v>
      </c>
      <c r="E28" s="329" t="s">
        <v>852</v>
      </c>
      <c r="F28" s="330"/>
      <c r="G28" s="409">
        <v>1509.02</v>
      </c>
      <c r="H28" s="332" t="s">
        <v>1006</v>
      </c>
      <c r="I28" s="409">
        <v>1509.02</v>
      </c>
      <c r="J28" s="389">
        <v>1509.02</v>
      </c>
      <c r="K28" s="333">
        <f t="shared" si="0"/>
        <v>0</v>
      </c>
      <c r="L28" s="161"/>
    </row>
    <row r="29" spans="1:20">
      <c r="A29" s="334">
        <v>18</v>
      </c>
      <c r="B29" s="354">
        <v>2289</v>
      </c>
      <c r="C29" s="328" t="s">
        <v>750</v>
      </c>
      <c r="D29" s="338" t="s">
        <v>790</v>
      </c>
      <c r="E29" s="329" t="s">
        <v>852</v>
      </c>
      <c r="F29" s="330"/>
      <c r="G29" s="331">
        <v>740.89</v>
      </c>
      <c r="H29" s="332" t="s">
        <v>1006</v>
      </c>
      <c r="I29" s="331">
        <v>740.89</v>
      </c>
      <c r="J29" s="389">
        <v>740.89</v>
      </c>
      <c r="K29" s="333">
        <f t="shared" si="0"/>
        <v>0</v>
      </c>
      <c r="L29" s="161"/>
    </row>
    <row r="30" spans="1:20">
      <c r="A30" s="334"/>
      <c r="B30" s="354">
        <v>2322</v>
      </c>
      <c r="C30" s="328" t="s">
        <v>1023</v>
      </c>
      <c r="D30" s="338" t="s">
        <v>1024</v>
      </c>
      <c r="E30" s="329" t="s">
        <v>852</v>
      </c>
      <c r="F30" s="330"/>
      <c r="G30" s="331">
        <v>582.04</v>
      </c>
      <c r="H30" s="332">
        <v>0</v>
      </c>
      <c r="I30" s="332">
        <v>582.04</v>
      </c>
      <c r="J30" s="335">
        <v>582.04</v>
      </c>
      <c r="K30" s="333">
        <f t="shared" si="0"/>
        <v>0</v>
      </c>
      <c r="L30" s="161"/>
    </row>
    <row r="31" spans="1:20">
      <c r="A31" s="334">
        <v>20</v>
      </c>
      <c r="B31" s="354">
        <v>2250</v>
      </c>
      <c r="C31" s="328" t="s">
        <v>752</v>
      </c>
      <c r="D31" s="328" t="s">
        <v>792</v>
      </c>
      <c r="E31" s="329" t="s">
        <v>853</v>
      </c>
      <c r="F31" s="330">
        <v>2</v>
      </c>
      <c r="G31" s="331">
        <v>1251.98</v>
      </c>
      <c r="H31" s="332" t="s">
        <v>1006</v>
      </c>
      <c r="I31" s="331">
        <v>1251.98</v>
      </c>
      <c r="J31" s="389">
        <v>1709.74</v>
      </c>
      <c r="K31" s="333">
        <f t="shared" si="0"/>
        <v>-457.76</v>
      </c>
      <c r="L31" s="161" t="s">
        <v>1120</v>
      </c>
    </row>
    <row r="32" spans="1:20">
      <c r="A32" s="334"/>
      <c r="B32" s="354">
        <v>2298</v>
      </c>
      <c r="C32" s="328" t="s">
        <v>752</v>
      </c>
      <c r="D32" s="328" t="s">
        <v>1106</v>
      </c>
      <c r="E32" s="329" t="s">
        <v>852</v>
      </c>
      <c r="F32" s="330"/>
      <c r="G32" s="331">
        <v>685.81</v>
      </c>
      <c r="H32" s="332">
        <v>0</v>
      </c>
      <c r="I32" s="331">
        <v>685.81</v>
      </c>
      <c r="J32" s="389"/>
      <c r="K32" s="333"/>
      <c r="L32" s="161" t="s">
        <v>1036</v>
      </c>
    </row>
    <row r="33" spans="1:20">
      <c r="A33" s="334">
        <v>21</v>
      </c>
      <c r="B33" s="354">
        <v>2193</v>
      </c>
      <c r="C33" s="328" t="s">
        <v>753</v>
      </c>
      <c r="D33" s="328" t="s">
        <v>794</v>
      </c>
      <c r="E33" s="329" t="s">
        <v>852</v>
      </c>
      <c r="F33" s="330"/>
      <c r="G33" s="331">
        <v>713.06</v>
      </c>
      <c r="H33" s="332" t="s">
        <v>1006</v>
      </c>
      <c r="I33" s="331">
        <v>713.06</v>
      </c>
      <c r="J33" s="389">
        <v>713.06</v>
      </c>
      <c r="K33" s="333">
        <f t="shared" si="0"/>
        <v>0</v>
      </c>
      <c r="L33" s="161"/>
    </row>
    <row r="34" spans="1:20">
      <c r="A34" s="334"/>
      <c r="B34" s="354">
        <v>2223</v>
      </c>
      <c r="C34" s="328" t="s">
        <v>972</v>
      </c>
      <c r="D34" s="328" t="s">
        <v>973</v>
      </c>
      <c r="E34" s="329" t="s">
        <v>852</v>
      </c>
      <c r="F34" s="330"/>
      <c r="G34" s="331">
        <v>630.16</v>
      </c>
      <c r="H34" s="332"/>
      <c r="I34" s="331">
        <v>630.16</v>
      </c>
      <c r="J34" s="389">
        <v>630.16</v>
      </c>
      <c r="K34" s="333">
        <f t="shared" si="0"/>
        <v>0</v>
      </c>
      <c r="L34" s="161"/>
    </row>
    <row r="35" spans="1:20">
      <c r="A35" s="334">
        <v>22</v>
      </c>
      <c r="B35" s="354">
        <v>640</v>
      </c>
      <c r="C35" s="328" t="s">
        <v>754</v>
      </c>
      <c r="D35" s="339" t="s">
        <v>795</v>
      </c>
      <c r="E35" s="329" t="s">
        <v>852</v>
      </c>
      <c r="F35" s="330"/>
      <c r="G35" s="331">
        <v>1509.02</v>
      </c>
      <c r="H35" s="332" t="s">
        <v>1006</v>
      </c>
      <c r="I35" s="391">
        <v>1509.02</v>
      </c>
      <c r="J35" s="389">
        <v>1509.02</v>
      </c>
      <c r="K35" s="333">
        <f t="shared" si="0"/>
        <v>0</v>
      </c>
      <c r="L35" s="329"/>
    </row>
    <row r="36" spans="1:20">
      <c r="A36" s="334">
        <v>23</v>
      </c>
      <c r="B36" s="354">
        <v>901</v>
      </c>
      <c r="C36" s="328" t="s">
        <v>439</v>
      </c>
      <c r="D36" s="328" t="s">
        <v>505</v>
      </c>
      <c r="E36" s="329" t="s">
        <v>852</v>
      </c>
      <c r="F36" s="330"/>
      <c r="G36" s="331">
        <v>1739.16</v>
      </c>
      <c r="H36" s="332" t="s">
        <v>1006</v>
      </c>
      <c r="I36" s="331">
        <v>1739.16</v>
      </c>
      <c r="J36" s="389">
        <v>1739.16</v>
      </c>
      <c r="K36" s="333">
        <f t="shared" si="0"/>
        <v>0</v>
      </c>
      <c r="L36" s="329"/>
    </row>
    <row r="37" spans="1:20">
      <c r="A37" s="334"/>
      <c r="B37" s="354">
        <v>2320</v>
      </c>
      <c r="C37" s="328" t="s">
        <v>1043</v>
      </c>
      <c r="D37" s="328" t="s">
        <v>1044</v>
      </c>
      <c r="E37" s="329" t="s">
        <v>852</v>
      </c>
      <c r="F37" s="330"/>
      <c r="G37" s="331">
        <v>630.16</v>
      </c>
      <c r="H37" s="332"/>
      <c r="I37" s="331">
        <v>630.16</v>
      </c>
      <c r="J37" s="389">
        <v>630.16</v>
      </c>
      <c r="K37" s="333">
        <f t="shared" si="0"/>
        <v>0</v>
      </c>
      <c r="L37" s="329"/>
    </row>
    <row r="38" spans="1:20">
      <c r="A38" s="334">
        <v>24</v>
      </c>
      <c r="B38" s="376" t="s">
        <v>675</v>
      </c>
      <c r="C38" s="328" t="s">
        <v>755</v>
      </c>
      <c r="D38" s="328" t="s">
        <v>796</v>
      </c>
      <c r="E38" s="329" t="s">
        <v>852</v>
      </c>
      <c r="F38" s="330"/>
      <c r="G38" s="331">
        <v>786.69</v>
      </c>
      <c r="H38" s="332" t="s">
        <v>1006</v>
      </c>
      <c r="I38" s="332">
        <v>786.69</v>
      </c>
      <c r="J38" s="333">
        <v>786.69</v>
      </c>
      <c r="K38" s="333">
        <f t="shared" si="0"/>
        <v>0</v>
      </c>
      <c r="L38" s="329"/>
    </row>
    <row r="39" spans="1:20">
      <c r="A39" s="334">
        <v>26</v>
      </c>
      <c r="B39" s="354">
        <v>1741</v>
      </c>
      <c r="C39" s="328" t="s">
        <v>755</v>
      </c>
      <c r="D39" s="328" t="s">
        <v>797</v>
      </c>
      <c r="E39" s="329" t="s">
        <v>852</v>
      </c>
      <c r="F39" s="330"/>
      <c r="G39" s="331">
        <v>1292.79</v>
      </c>
      <c r="H39" s="332" t="s">
        <v>1006</v>
      </c>
      <c r="I39" s="331">
        <v>1292.79</v>
      </c>
      <c r="J39" s="389">
        <v>1292.79</v>
      </c>
      <c r="K39" s="333">
        <f t="shared" si="0"/>
        <v>0</v>
      </c>
      <c r="L39" s="329"/>
    </row>
    <row r="40" spans="1:20">
      <c r="A40" s="334">
        <v>25</v>
      </c>
      <c r="B40" s="354">
        <v>1757</v>
      </c>
      <c r="C40" s="328" t="s">
        <v>755</v>
      </c>
      <c r="D40" s="338" t="s">
        <v>798</v>
      </c>
      <c r="E40" s="329" t="s">
        <v>853</v>
      </c>
      <c r="F40" s="330">
        <v>2</v>
      </c>
      <c r="G40" s="331">
        <v>1643.52</v>
      </c>
      <c r="H40" s="332" t="s">
        <v>1006</v>
      </c>
      <c r="I40" s="331">
        <v>1643.52</v>
      </c>
      <c r="J40" s="389">
        <v>2170.85</v>
      </c>
      <c r="K40" s="333">
        <f t="shared" si="0"/>
        <v>-527.32999999999993</v>
      </c>
      <c r="L40" s="329" t="s">
        <v>1121</v>
      </c>
      <c r="N40" s="12"/>
      <c r="O40" s="12"/>
      <c r="P40" s="12"/>
      <c r="Q40" s="12"/>
      <c r="R40" s="12"/>
      <c r="S40" s="12"/>
      <c r="T40" s="12"/>
    </row>
    <row r="41" spans="1:20">
      <c r="A41" s="334">
        <v>27</v>
      </c>
      <c r="B41" s="354">
        <v>2057</v>
      </c>
      <c r="C41" s="328" t="s">
        <v>756</v>
      </c>
      <c r="D41" s="338" t="s">
        <v>799</v>
      </c>
      <c r="E41" s="329" t="s">
        <v>852</v>
      </c>
      <c r="F41" s="330"/>
      <c r="G41" s="331">
        <v>1739.16</v>
      </c>
      <c r="H41" s="332" t="s">
        <v>1006</v>
      </c>
      <c r="I41" s="331">
        <v>1739.16</v>
      </c>
      <c r="J41" s="389">
        <v>1739.16</v>
      </c>
      <c r="K41" s="333">
        <f t="shared" si="0"/>
        <v>0</v>
      </c>
      <c r="L41" s="329"/>
    </row>
    <row r="42" spans="1:20">
      <c r="A42" s="334">
        <v>28</v>
      </c>
      <c r="B42" s="354">
        <v>1210</v>
      </c>
      <c r="C42" s="328" t="s">
        <v>756</v>
      </c>
      <c r="D42" s="338" t="s">
        <v>800</v>
      </c>
      <c r="E42" s="329" t="s">
        <v>852</v>
      </c>
      <c r="F42" s="330"/>
      <c r="G42" s="331">
        <v>1739.16</v>
      </c>
      <c r="H42" s="332" t="s">
        <v>1006</v>
      </c>
      <c r="I42" s="331">
        <v>1739.16</v>
      </c>
      <c r="J42" s="389">
        <v>1739.16</v>
      </c>
      <c r="K42" s="333">
        <f t="shared" si="0"/>
        <v>0</v>
      </c>
      <c r="L42" s="329"/>
    </row>
    <row r="43" spans="1:20">
      <c r="A43" s="334"/>
      <c r="B43" s="354">
        <v>2310</v>
      </c>
      <c r="C43" s="328" t="s">
        <v>756</v>
      </c>
      <c r="D43" s="338" t="s">
        <v>977</v>
      </c>
      <c r="E43" s="329" t="s">
        <v>852</v>
      </c>
      <c r="F43" s="330"/>
      <c r="G43" s="331">
        <v>1035.3900000000001</v>
      </c>
      <c r="H43" s="332" t="s">
        <v>1006</v>
      </c>
      <c r="I43" s="331">
        <v>1035.3900000000001</v>
      </c>
      <c r="J43" s="389">
        <v>1035.3900000000001</v>
      </c>
      <c r="K43" s="333">
        <f t="shared" si="0"/>
        <v>0</v>
      </c>
      <c r="L43" s="329"/>
    </row>
    <row r="44" spans="1:20">
      <c r="A44" s="334">
        <v>29</v>
      </c>
      <c r="B44" s="354">
        <v>1460</v>
      </c>
      <c r="C44" s="328" t="s">
        <v>444</v>
      </c>
      <c r="D44" s="328" t="s">
        <v>506</v>
      </c>
      <c r="E44" s="329" t="s">
        <v>852</v>
      </c>
      <c r="F44" s="330"/>
      <c r="G44" s="331">
        <v>1081.19</v>
      </c>
      <c r="H44" s="332" t="s">
        <v>1006</v>
      </c>
      <c r="I44" s="331">
        <v>1081.19</v>
      </c>
      <c r="J44" s="389">
        <v>1081.19</v>
      </c>
      <c r="K44" s="333">
        <f t="shared" si="0"/>
        <v>0</v>
      </c>
      <c r="L44" s="329"/>
    </row>
    <row r="45" spans="1:20">
      <c r="A45" s="334">
        <v>32</v>
      </c>
      <c r="B45" s="354">
        <v>2248</v>
      </c>
      <c r="C45" s="328" t="s">
        <v>757</v>
      </c>
      <c r="D45" s="328" t="s">
        <v>801</v>
      </c>
      <c r="E45" s="341" t="s">
        <v>856</v>
      </c>
      <c r="F45" s="330">
        <v>2</v>
      </c>
      <c r="G45" s="331">
        <v>1320.81</v>
      </c>
      <c r="H45" s="332">
        <v>581.62</v>
      </c>
      <c r="I45" s="332">
        <f>SUM(G45:H45)</f>
        <v>1902.4299999999998</v>
      </c>
      <c r="J45" s="333">
        <v>2360.19</v>
      </c>
      <c r="K45" s="333">
        <f t="shared" si="0"/>
        <v>-457.76000000000022</v>
      </c>
      <c r="L45" s="329" t="s">
        <v>1122</v>
      </c>
    </row>
    <row r="46" spans="1:20">
      <c r="A46" s="334"/>
      <c r="B46" s="354">
        <v>2319</v>
      </c>
      <c r="C46" s="328" t="s">
        <v>757</v>
      </c>
      <c r="D46" s="328" t="s">
        <v>1026</v>
      </c>
      <c r="E46" s="382" t="s">
        <v>853</v>
      </c>
      <c r="F46" s="330">
        <v>2</v>
      </c>
      <c r="G46" s="331">
        <v>1623.94</v>
      </c>
      <c r="H46" s="332">
        <v>0</v>
      </c>
      <c r="I46" s="331">
        <v>1623.94</v>
      </c>
      <c r="J46" s="389">
        <v>1623.94</v>
      </c>
      <c r="K46" s="333">
        <f t="shared" si="0"/>
        <v>0</v>
      </c>
      <c r="L46" s="329"/>
    </row>
    <row r="47" spans="1:20">
      <c r="A47" s="334"/>
      <c r="B47" s="354">
        <v>1300</v>
      </c>
      <c r="C47" s="328" t="s">
        <v>757</v>
      </c>
      <c r="D47" s="328" t="s">
        <v>1037</v>
      </c>
      <c r="E47" s="382" t="s">
        <v>854</v>
      </c>
      <c r="F47" s="330">
        <v>1</v>
      </c>
      <c r="G47" s="331">
        <v>1783.23</v>
      </c>
      <c r="H47" s="332">
        <v>0</v>
      </c>
      <c r="I47" s="331">
        <v>1783.23</v>
      </c>
      <c r="J47" s="389">
        <v>1783.23</v>
      </c>
      <c r="K47" s="333">
        <f t="shared" si="0"/>
        <v>0</v>
      </c>
      <c r="L47" s="329"/>
    </row>
    <row r="48" spans="1:20">
      <c r="A48" s="334">
        <v>30</v>
      </c>
      <c r="B48" s="354">
        <v>2062</v>
      </c>
      <c r="C48" s="328" t="s">
        <v>757</v>
      </c>
      <c r="D48" s="328" t="s">
        <v>802</v>
      </c>
      <c r="E48" s="329" t="s">
        <v>853</v>
      </c>
      <c r="F48" s="330">
        <v>2</v>
      </c>
      <c r="G48" s="331">
        <v>1175.46</v>
      </c>
      <c r="H48" s="332" t="s">
        <v>1006</v>
      </c>
      <c r="I48" s="331">
        <v>1175.46</v>
      </c>
      <c r="J48" s="389">
        <v>1633.22</v>
      </c>
      <c r="K48" s="333">
        <f t="shared" si="0"/>
        <v>-457.76</v>
      </c>
      <c r="L48" s="329" t="s">
        <v>1123</v>
      </c>
    </row>
    <row r="49" spans="1:12">
      <c r="A49" s="334"/>
      <c r="B49" s="354">
        <v>2323</v>
      </c>
      <c r="C49" s="328" t="s">
        <v>1000</v>
      </c>
      <c r="D49" s="328" t="s">
        <v>1027</v>
      </c>
      <c r="E49" s="329" t="s">
        <v>852</v>
      </c>
      <c r="F49" s="330"/>
      <c r="G49" s="331">
        <v>582.04</v>
      </c>
      <c r="H49" s="332">
        <v>0</v>
      </c>
      <c r="I49" s="331">
        <v>582.04</v>
      </c>
      <c r="J49" s="389">
        <v>582.04</v>
      </c>
      <c r="K49" s="333">
        <f t="shared" si="0"/>
        <v>0</v>
      </c>
      <c r="L49" s="161"/>
    </row>
    <row r="50" spans="1:12">
      <c r="A50" s="334"/>
      <c r="B50" s="354">
        <v>2313</v>
      </c>
      <c r="C50" s="328" t="s">
        <v>1000</v>
      </c>
      <c r="D50" s="328" t="s">
        <v>1001</v>
      </c>
      <c r="E50" s="329" t="s">
        <v>853</v>
      </c>
      <c r="F50" s="330">
        <v>2</v>
      </c>
      <c r="G50" s="331">
        <v>1449.67</v>
      </c>
      <c r="H50" s="332" t="s">
        <v>1006</v>
      </c>
      <c r="I50" s="331">
        <v>1449.67</v>
      </c>
      <c r="J50" s="389">
        <v>1907.43</v>
      </c>
      <c r="K50" s="333">
        <f t="shared" si="0"/>
        <v>-457.76</v>
      </c>
      <c r="L50" s="29" t="s">
        <v>1124</v>
      </c>
    </row>
    <row r="51" spans="1:12">
      <c r="A51" s="334"/>
      <c r="B51" s="354">
        <v>2019</v>
      </c>
      <c r="C51" s="328" t="s">
        <v>476</v>
      </c>
      <c r="D51" s="328" t="s">
        <v>447</v>
      </c>
      <c r="E51" s="329" t="s">
        <v>854</v>
      </c>
      <c r="F51" s="330">
        <v>1</v>
      </c>
      <c r="G51" s="331">
        <v>1267.6400000000001</v>
      </c>
      <c r="H51" s="332" t="s">
        <v>1006</v>
      </c>
      <c r="I51" s="331">
        <v>1267.6400000000001</v>
      </c>
      <c r="J51" s="389">
        <v>1267.6400000000001</v>
      </c>
      <c r="K51" s="333">
        <f t="shared" si="0"/>
        <v>0</v>
      </c>
      <c r="L51" s="380"/>
    </row>
    <row r="52" spans="1:12">
      <c r="A52" s="334">
        <v>34</v>
      </c>
      <c r="B52" s="354">
        <v>2278</v>
      </c>
      <c r="C52" s="328" t="s">
        <v>758</v>
      </c>
      <c r="D52" s="328" t="s">
        <v>805</v>
      </c>
      <c r="E52" s="329" t="s">
        <v>852</v>
      </c>
      <c r="F52" s="330"/>
      <c r="G52" s="331">
        <v>657.99</v>
      </c>
      <c r="H52" s="332" t="s">
        <v>1006</v>
      </c>
      <c r="I52" s="331">
        <v>657.99</v>
      </c>
      <c r="J52" s="389">
        <v>657.99</v>
      </c>
      <c r="K52" s="333">
        <f t="shared" si="0"/>
        <v>0</v>
      </c>
      <c r="L52" s="161"/>
    </row>
    <row r="53" spans="1:12">
      <c r="A53" s="334">
        <v>35</v>
      </c>
      <c r="B53" s="354">
        <v>2172</v>
      </c>
      <c r="C53" s="328" t="s">
        <v>478</v>
      </c>
      <c r="D53" s="328" t="s">
        <v>448</v>
      </c>
      <c r="E53" s="329" t="s">
        <v>852</v>
      </c>
      <c r="F53" s="330"/>
      <c r="G53" s="331">
        <v>1739.16</v>
      </c>
      <c r="H53" s="332" t="s">
        <v>1006</v>
      </c>
      <c r="I53" s="331">
        <v>1739.16</v>
      </c>
      <c r="J53" s="399">
        <v>1739.16</v>
      </c>
      <c r="K53" s="333">
        <f t="shared" si="0"/>
        <v>0</v>
      </c>
      <c r="L53" s="161"/>
    </row>
    <row r="54" spans="1:12">
      <c r="A54" s="334">
        <v>36</v>
      </c>
      <c r="B54" s="354">
        <v>2082</v>
      </c>
      <c r="C54" s="328" t="s">
        <v>759</v>
      </c>
      <c r="D54" s="338" t="s">
        <v>806</v>
      </c>
      <c r="E54" s="329" t="s">
        <v>852</v>
      </c>
      <c r="F54" s="330"/>
      <c r="G54" s="331">
        <v>713.06</v>
      </c>
      <c r="H54" s="332" t="s">
        <v>1006</v>
      </c>
      <c r="I54" s="331">
        <v>713.06</v>
      </c>
      <c r="J54" s="333">
        <v>713.06</v>
      </c>
      <c r="K54" s="333">
        <f t="shared" si="0"/>
        <v>0</v>
      </c>
      <c r="L54" s="329"/>
    </row>
    <row r="55" spans="1:12">
      <c r="A55" s="334">
        <v>37</v>
      </c>
      <c r="B55" s="354">
        <v>2119</v>
      </c>
      <c r="C55" s="328" t="s">
        <v>760</v>
      </c>
      <c r="D55" s="328" t="s">
        <v>807</v>
      </c>
      <c r="E55" s="329" t="s">
        <v>852</v>
      </c>
      <c r="F55" s="330"/>
      <c r="G55" s="331">
        <v>630.16</v>
      </c>
      <c r="H55" s="332" t="s">
        <v>1006</v>
      </c>
      <c r="I55" s="331">
        <v>630.16</v>
      </c>
      <c r="J55" s="389">
        <v>630.16</v>
      </c>
      <c r="K55" s="333">
        <f t="shared" si="0"/>
        <v>0</v>
      </c>
      <c r="L55" s="329"/>
    </row>
    <row r="56" spans="1:12">
      <c r="A56" s="334">
        <v>38</v>
      </c>
      <c r="B56" s="354">
        <v>2273</v>
      </c>
      <c r="C56" s="328" t="s">
        <v>761</v>
      </c>
      <c r="D56" s="328" t="s">
        <v>808</v>
      </c>
      <c r="E56" s="329" t="s">
        <v>852</v>
      </c>
      <c r="F56" s="330"/>
      <c r="G56" s="331">
        <v>657.99</v>
      </c>
      <c r="H56" s="332" t="s">
        <v>1006</v>
      </c>
      <c r="I56" s="331">
        <v>657.99</v>
      </c>
      <c r="J56" s="389">
        <v>657.99</v>
      </c>
      <c r="K56" s="333">
        <f t="shared" si="0"/>
        <v>0</v>
      </c>
      <c r="L56" s="329"/>
    </row>
    <row r="57" spans="1:12">
      <c r="A57" s="334">
        <v>40</v>
      </c>
      <c r="B57" s="354">
        <v>1975</v>
      </c>
      <c r="C57" s="328" t="s">
        <v>762</v>
      </c>
      <c r="D57" s="328" t="s">
        <v>810</v>
      </c>
      <c r="E57" s="329" t="s">
        <v>854</v>
      </c>
      <c r="F57" s="330">
        <v>1</v>
      </c>
      <c r="G57" s="331">
        <v>1189.3699999999999</v>
      </c>
      <c r="H57" s="332" t="s">
        <v>1006</v>
      </c>
      <c r="I57" s="331">
        <v>1189.3699999999999</v>
      </c>
      <c r="J57" s="389">
        <v>1189.3699999999999</v>
      </c>
      <c r="K57" s="333">
        <f t="shared" si="0"/>
        <v>0</v>
      </c>
      <c r="L57" s="329"/>
    </row>
    <row r="58" spans="1:12">
      <c r="A58" s="334">
        <v>42</v>
      </c>
      <c r="B58" s="354">
        <v>2235</v>
      </c>
      <c r="C58" s="328" t="s">
        <v>764</v>
      </c>
      <c r="D58" s="328" t="s">
        <v>812</v>
      </c>
      <c r="E58" s="329" t="s">
        <v>854</v>
      </c>
      <c r="F58" s="330">
        <v>1</v>
      </c>
      <c r="G58" s="331">
        <v>1501.26</v>
      </c>
      <c r="H58" s="332" t="s">
        <v>1006</v>
      </c>
      <c r="I58" s="331">
        <v>1501.26</v>
      </c>
      <c r="J58" s="389">
        <v>1501.26</v>
      </c>
      <c r="K58" s="333">
        <f t="shared" si="0"/>
        <v>0</v>
      </c>
      <c r="L58" s="329"/>
    </row>
    <row r="59" spans="1:12">
      <c r="A59" s="334">
        <v>43</v>
      </c>
      <c r="B59" s="354">
        <v>2245</v>
      </c>
      <c r="C59" s="328" t="s">
        <v>765</v>
      </c>
      <c r="D59" s="328" t="s">
        <v>813</v>
      </c>
      <c r="E59" s="329" t="s">
        <v>854</v>
      </c>
      <c r="F59" s="330">
        <v>1</v>
      </c>
      <c r="G59" s="331">
        <v>1789.97</v>
      </c>
      <c r="H59" s="332" t="s">
        <v>1006</v>
      </c>
      <c r="I59" s="331">
        <v>1789.97</v>
      </c>
      <c r="J59" s="389">
        <v>1789.97</v>
      </c>
      <c r="K59" s="333">
        <f t="shared" si="0"/>
        <v>0</v>
      </c>
      <c r="L59" s="329"/>
    </row>
    <row r="60" spans="1:12">
      <c r="A60" s="334">
        <v>44</v>
      </c>
      <c r="B60" s="354">
        <v>2001</v>
      </c>
      <c r="C60" s="328" t="s">
        <v>766</v>
      </c>
      <c r="D60" s="338" t="s">
        <v>814</v>
      </c>
      <c r="E60" s="329" t="s">
        <v>852</v>
      </c>
      <c r="F60" s="330"/>
      <c r="G60" s="331">
        <v>1477.14</v>
      </c>
      <c r="H60" s="332" t="s">
        <v>1006</v>
      </c>
      <c r="I60" s="331">
        <v>1477.14</v>
      </c>
      <c r="J60" s="389">
        <v>1477.14</v>
      </c>
      <c r="K60" s="333">
        <f t="shared" si="0"/>
        <v>0</v>
      </c>
      <c r="L60" s="329"/>
    </row>
    <row r="61" spans="1:12">
      <c r="A61" s="334">
        <v>45</v>
      </c>
      <c r="B61" s="354">
        <v>2160</v>
      </c>
      <c r="C61" s="328" t="s">
        <v>767</v>
      </c>
      <c r="D61" s="338" t="s">
        <v>815</v>
      </c>
      <c r="E61" s="329" t="s">
        <v>854</v>
      </c>
      <c r="F61" s="330">
        <v>1</v>
      </c>
      <c r="G61" s="331"/>
      <c r="H61" s="332" t="s">
        <v>1006</v>
      </c>
      <c r="I61" s="331"/>
      <c r="J61" s="389">
        <v>2091.06</v>
      </c>
      <c r="K61" s="333">
        <f t="shared" si="0"/>
        <v>-2091.06</v>
      </c>
      <c r="L61" s="329" t="s">
        <v>1104</v>
      </c>
    </row>
    <row r="62" spans="1:12">
      <c r="A62" s="334">
        <v>47</v>
      </c>
      <c r="B62" s="354">
        <v>2279</v>
      </c>
      <c r="C62" s="328" t="s">
        <v>769</v>
      </c>
      <c r="D62" s="328" t="s">
        <v>843</v>
      </c>
      <c r="E62" s="329" t="s">
        <v>852</v>
      </c>
      <c r="F62" s="330"/>
      <c r="G62" s="331">
        <v>607.54999999999995</v>
      </c>
      <c r="H62" s="332" t="s">
        <v>1006</v>
      </c>
      <c r="I62" s="331">
        <v>607.54999999999995</v>
      </c>
      <c r="J62" s="389">
        <v>607.54999999999995</v>
      </c>
      <c r="K62" s="333">
        <f t="shared" si="0"/>
        <v>0</v>
      </c>
      <c r="L62" s="161"/>
    </row>
    <row r="63" spans="1:12">
      <c r="A63" s="334">
        <v>48</v>
      </c>
      <c r="B63" s="354">
        <v>2246</v>
      </c>
      <c r="C63" s="328" t="s">
        <v>769</v>
      </c>
      <c r="D63" s="338" t="s">
        <v>817</v>
      </c>
      <c r="E63" s="329" t="s">
        <v>852</v>
      </c>
      <c r="F63" s="330"/>
      <c r="G63" s="331">
        <v>703.79</v>
      </c>
      <c r="H63" s="332" t="s">
        <v>1006</v>
      </c>
      <c r="I63" s="331">
        <v>703.79</v>
      </c>
      <c r="J63" s="389">
        <v>703.79</v>
      </c>
      <c r="K63" s="333">
        <f t="shared" si="0"/>
        <v>0</v>
      </c>
      <c r="L63" s="188"/>
    </row>
    <row r="64" spans="1:12">
      <c r="A64" s="334">
        <v>49</v>
      </c>
      <c r="B64" s="354">
        <v>2018</v>
      </c>
      <c r="C64" s="328" t="s">
        <v>770</v>
      </c>
      <c r="D64" s="328" t="s">
        <v>818</v>
      </c>
      <c r="E64" s="329" t="s">
        <v>852</v>
      </c>
      <c r="F64" s="330"/>
      <c r="G64" s="331">
        <v>1739.16</v>
      </c>
      <c r="H64" s="332" t="s">
        <v>1006</v>
      </c>
      <c r="I64" s="331">
        <v>1739.16</v>
      </c>
      <c r="J64" s="389">
        <v>1739.16</v>
      </c>
      <c r="K64" s="333">
        <f t="shared" si="0"/>
        <v>0</v>
      </c>
      <c r="L64" s="161"/>
    </row>
    <row r="65" spans="1:12">
      <c r="A65" s="334"/>
      <c r="B65" s="354">
        <v>2329</v>
      </c>
      <c r="C65" s="328" t="s">
        <v>1070</v>
      </c>
      <c r="D65" s="328" t="s">
        <v>1071</v>
      </c>
      <c r="E65" s="329" t="s">
        <v>854</v>
      </c>
      <c r="F65" s="330">
        <v>1</v>
      </c>
      <c r="G65" s="331">
        <v>579.72</v>
      </c>
      <c r="H65" s="332">
        <v>0</v>
      </c>
      <c r="I65" s="331">
        <v>579.72</v>
      </c>
      <c r="J65" s="389">
        <v>579.72</v>
      </c>
      <c r="K65" s="333">
        <f t="shared" si="0"/>
        <v>0</v>
      </c>
      <c r="L65" s="329"/>
    </row>
    <row r="66" spans="1:12">
      <c r="A66" s="334">
        <v>50</v>
      </c>
      <c r="B66" s="354">
        <v>1692</v>
      </c>
      <c r="C66" s="328" t="s">
        <v>771</v>
      </c>
      <c r="D66" s="338" t="s">
        <v>819</v>
      </c>
      <c r="E66" s="329" t="s">
        <v>852</v>
      </c>
      <c r="F66" s="330"/>
      <c r="G66" s="331">
        <v>2088.7399999999998</v>
      </c>
      <c r="H66" s="332" t="s">
        <v>1006</v>
      </c>
      <c r="I66" s="331">
        <v>2088.7399999999998</v>
      </c>
      <c r="J66" s="333">
        <v>1509.02</v>
      </c>
      <c r="K66" s="333">
        <f t="shared" si="0"/>
        <v>579.7199999999998</v>
      </c>
      <c r="L66" s="329" t="s">
        <v>1107</v>
      </c>
    </row>
    <row r="67" spans="1:12">
      <c r="A67" s="334"/>
      <c r="B67" s="354">
        <v>2027</v>
      </c>
      <c r="C67" s="328" t="s">
        <v>771</v>
      </c>
      <c r="D67" s="338" t="s">
        <v>982</v>
      </c>
      <c r="E67" s="329" t="s">
        <v>852</v>
      </c>
      <c r="F67" s="330"/>
      <c r="G67" s="331">
        <v>713.06</v>
      </c>
      <c r="H67" s="332" t="s">
        <v>1006</v>
      </c>
      <c r="I67" s="331">
        <v>713.06</v>
      </c>
      <c r="J67" s="389">
        <v>713.06</v>
      </c>
      <c r="K67" s="333">
        <f t="shared" si="0"/>
        <v>0</v>
      </c>
      <c r="L67" s="329"/>
    </row>
    <row r="68" spans="1:12">
      <c r="A68" s="334">
        <v>52</v>
      </c>
      <c r="B68" s="354">
        <v>2060</v>
      </c>
      <c r="C68" s="328" t="s">
        <v>487</v>
      </c>
      <c r="D68" s="328" t="s">
        <v>516</v>
      </c>
      <c r="E68" s="329" t="s">
        <v>852</v>
      </c>
      <c r="F68" s="330"/>
      <c r="G68" s="331">
        <v>1182.6400000000001</v>
      </c>
      <c r="H68" s="332" t="s">
        <v>1006</v>
      </c>
      <c r="I68" s="331">
        <v>1182.6400000000001</v>
      </c>
      <c r="J68" s="389">
        <v>1182.6400000000001</v>
      </c>
      <c r="K68" s="333">
        <f t="shared" si="0"/>
        <v>0</v>
      </c>
      <c r="L68" s="329"/>
    </row>
    <row r="69" spans="1:12">
      <c r="A69" s="334"/>
      <c r="B69" s="354">
        <v>2333</v>
      </c>
      <c r="C69" s="328" t="s">
        <v>1078</v>
      </c>
      <c r="D69" s="328" t="s">
        <v>1079</v>
      </c>
      <c r="E69" s="329" t="s">
        <v>854</v>
      </c>
      <c r="F69" s="330">
        <v>1</v>
      </c>
      <c r="G69" s="331">
        <v>1166.18</v>
      </c>
      <c r="H69" s="332">
        <v>0</v>
      </c>
      <c r="I69" s="331">
        <v>1166.18</v>
      </c>
      <c r="J69" s="389">
        <v>1166.18</v>
      </c>
      <c r="K69" s="333">
        <f t="shared" si="0"/>
        <v>0</v>
      </c>
      <c r="L69" s="329"/>
    </row>
    <row r="70" spans="1:12">
      <c r="A70" s="334">
        <v>54</v>
      </c>
      <c r="B70" s="354">
        <v>1050</v>
      </c>
      <c r="C70" s="328" t="s">
        <v>773</v>
      </c>
      <c r="D70" s="328" t="s">
        <v>821</v>
      </c>
      <c r="E70" s="329" t="s">
        <v>852</v>
      </c>
      <c r="F70" s="330"/>
      <c r="G70" s="331">
        <v>1739.16</v>
      </c>
      <c r="H70" s="332" t="s">
        <v>1006</v>
      </c>
      <c r="I70" s="331">
        <v>1739.16</v>
      </c>
      <c r="J70" s="389">
        <v>1739.16</v>
      </c>
      <c r="K70" s="333">
        <f t="shared" si="0"/>
        <v>0</v>
      </c>
      <c r="L70" s="329"/>
    </row>
    <row r="71" spans="1:12">
      <c r="A71" s="334">
        <v>55</v>
      </c>
      <c r="B71" s="354">
        <v>1964</v>
      </c>
      <c r="C71" s="328" t="s">
        <v>491</v>
      </c>
      <c r="D71" s="328" t="s">
        <v>456</v>
      </c>
      <c r="E71" s="329" t="s">
        <v>852</v>
      </c>
      <c r="F71" s="330"/>
      <c r="G71" s="331">
        <v>947.85</v>
      </c>
      <c r="H71" s="332" t="s">
        <v>1006</v>
      </c>
      <c r="I71" s="331">
        <v>947.85</v>
      </c>
      <c r="J71" s="389">
        <v>947.85</v>
      </c>
      <c r="K71" s="333">
        <f t="shared" si="0"/>
        <v>0</v>
      </c>
      <c r="L71" s="329"/>
    </row>
    <row r="72" spans="1:12">
      <c r="A72" s="334">
        <v>57</v>
      </c>
      <c r="B72" s="354">
        <v>1981</v>
      </c>
      <c r="C72" s="328" t="s">
        <v>774</v>
      </c>
      <c r="D72" s="338" t="s">
        <v>822</v>
      </c>
      <c r="E72" s="329" t="s">
        <v>852</v>
      </c>
      <c r="F72" s="330"/>
      <c r="G72" s="331">
        <v>740.89</v>
      </c>
      <c r="H72" s="332" t="s">
        <v>1006</v>
      </c>
      <c r="I72" s="331">
        <v>740.89</v>
      </c>
      <c r="J72" s="389">
        <v>740.89</v>
      </c>
      <c r="K72" s="333">
        <f t="shared" si="0"/>
        <v>0</v>
      </c>
      <c r="L72" s="329"/>
    </row>
    <row r="73" spans="1:12">
      <c r="A73" s="334">
        <v>56</v>
      </c>
      <c r="B73" s="354">
        <v>1662</v>
      </c>
      <c r="C73" s="328" t="s">
        <v>774</v>
      </c>
      <c r="D73" s="328" t="s">
        <v>823</v>
      </c>
      <c r="E73" s="329" t="s">
        <v>852</v>
      </c>
      <c r="F73" s="330"/>
      <c r="G73" s="331">
        <v>989.01</v>
      </c>
      <c r="H73" s="332" t="s">
        <v>1006</v>
      </c>
      <c r="I73" s="331">
        <v>989.01</v>
      </c>
      <c r="J73" s="389">
        <v>989.01</v>
      </c>
      <c r="K73" s="333">
        <f t="shared" ref="K73:K82" si="1">I73-J73</f>
        <v>0</v>
      </c>
      <c r="L73" s="329"/>
    </row>
    <row r="74" spans="1:12">
      <c r="A74" s="334"/>
      <c r="B74" s="354">
        <v>2339</v>
      </c>
      <c r="C74" s="328" t="s">
        <v>775</v>
      </c>
      <c r="D74" s="328" t="s">
        <v>1110</v>
      </c>
      <c r="E74" s="329" t="s">
        <v>854</v>
      </c>
      <c r="F74" s="330">
        <v>1</v>
      </c>
      <c r="G74" s="331">
        <v>1568.73</v>
      </c>
      <c r="H74" s="332">
        <v>0</v>
      </c>
      <c r="I74" s="331">
        <v>1568.73</v>
      </c>
      <c r="J74" s="389"/>
      <c r="K74" s="333">
        <f t="shared" si="1"/>
        <v>1568.73</v>
      </c>
      <c r="L74" s="329" t="s">
        <v>1036</v>
      </c>
    </row>
    <row r="75" spans="1:12">
      <c r="A75" s="334">
        <v>58</v>
      </c>
      <c r="B75" s="354">
        <v>1630</v>
      </c>
      <c r="C75" s="328" t="s">
        <v>775</v>
      </c>
      <c r="D75" s="338" t="s">
        <v>824</v>
      </c>
      <c r="E75" s="329" t="s">
        <v>852</v>
      </c>
      <c r="F75" s="330"/>
      <c r="G75" s="331">
        <v>1352.5</v>
      </c>
      <c r="H75" s="332" t="s">
        <v>1006</v>
      </c>
      <c r="I75" s="331">
        <v>1352.5</v>
      </c>
      <c r="J75" s="389">
        <v>1352.5</v>
      </c>
      <c r="K75" s="333">
        <f t="shared" si="1"/>
        <v>0</v>
      </c>
      <c r="L75" s="329"/>
    </row>
    <row r="76" spans="1:12">
      <c r="A76" s="334"/>
      <c r="B76" s="354">
        <v>2337</v>
      </c>
      <c r="C76" s="328" t="s">
        <v>777</v>
      </c>
      <c r="D76" s="338" t="s">
        <v>1080</v>
      </c>
      <c r="E76" s="329" t="s">
        <v>852</v>
      </c>
      <c r="F76" s="330"/>
      <c r="G76" s="331">
        <v>685.81</v>
      </c>
      <c r="H76" s="332">
        <v>0</v>
      </c>
      <c r="I76" s="331">
        <v>685.81</v>
      </c>
      <c r="J76" s="389">
        <v>685.81</v>
      </c>
      <c r="K76" s="333">
        <f t="shared" si="1"/>
        <v>0</v>
      </c>
      <c r="L76" s="329"/>
    </row>
    <row r="77" spans="1:12">
      <c r="A77" s="334">
        <v>61</v>
      </c>
      <c r="B77" s="354">
        <v>2010</v>
      </c>
      <c r="C77" s="328" t="s">
        <v>777</v>
      </c>
      <c r="D77" s="328" t="s">
        <v>826</v>
      </c>
      <c r="E77" s="329" t="s">
        <v>852</v>
      </c>
      <c r="F77" s="330"/>
      <c r="G77" s="331">
        <v>1131.6199999999999</v>
      </c>
      <c r="H77" s="332" t="s">
        <v>1006</v>
      </c>
      <c r="I77" s="331">
        <v>1131.6199999999999</v>
      </c>
      <c r="J77" s="389">
        <v>1131.6199999999999</v>
      </c>
      <c r="K77" s="333">
        <f t="shared" si="1"/>
        <v>0</v>
      </c>
      <c r="L77" s="329"/>
    </row>
    <row r="78" spans="1:12">
      <c r="A78" s="334">
        <v>60</v>
      </c>
      <c r="B78" s="354">
        <v>2187</v>
      </c>
      <c r="C78" s="328" t="s">
        <v>777</v>
      </c>
      <c r="D78" s="328" t="s">
        <v>827</v>
      </c>
      <c r="E78" s="329" t="s">
        <v>853</v>
      </c>
      <c r="F78" s="330">
        <v>2</v>
      </c>
      <c r="G78" s="331">
        <v>1624.75</v>
      </c>
      <c r="H78" s="332" t="s">
        <v>1006</v>
      </c>
      <c r="I78" s="391">
        <v>1624.75</v>
      </c>
      <c r="J78" s="389">
        <v>2082.5100000000002</v>
      </c>
      <c r="K78" s="333">
        <f t="shared" si="1"/>
        <v>-457.76000000000022</v>
      </c>
      <c r="L78" s="329" t="s">
        <v>1125</v>
      </c>
    </row>
    <row r="79" spans="1:12">
      <c r="A79" s="334">
        <v>62</v>
      </c>
      <c r="B79" s="354">
        <v>2095</v>
      </c>
      <c r="C79" s="328" t="s">
        <v>778</v>
      </c>
      <c r="D79" s="338" t="s">
        <v>828</v>
      </c>
      <c r="E79" s="329" t="s">
        <v>852</v>
      </c>
      <c r="F79" s="330"/>
      <c r="G79" s="331"/>
      <c r="H79" s="332"/>
      <c r="I79" s="331"/>
      <c r="J79" s="389">
        <v>703.79</v>
      </c>
      <c r="K79" s="333">
        <f t="shared" si="1"/>
        <v>-703.79</v>
      </c>
      <c r="L79" s="329" t="s">
        <v>1103</v>
      </c>
    </row>
    <row r="80" spans="1:12">
      <c r="A80" s="334">
        <v>63</v>
      </c>
      <c r="B80" s="354">
        <v>2064</v>
      </c>
      <c r="C80" s="328" t="s">
        <v>778</v>
      </c>
      <c r="D80" s="338" t="s">
        <v>829</v>
      </c>
      <c r="E80" s="341" t="s">
        <v>856</v>
      </c>
      <c r="F80" s="330">
        <v>2</v>
      </c>
      <c r="G80" s="331">
        <v>1339.37</v>
      </c>
      <c r="H80" s="332">
        <v>659.88</v>
      </c>
      <c r="I80" s="332">
        <f>SUM(G80:H80)</f>
        <v>1999.25</v>
      </c>
      <c r="J80" s="333">
        <v>2457.0100000000002</v>
      </c>
      <c r="K80" s="333">
        <f t="shared" si="1"/>
        <v>-457.76000000000022</v>
      </c>
      <c r="L80" s="329" t="s">
        <v>1126</v>
      </c>
    </row>
    <row r="81" spans="1:20">
      <c r="A81" s="334"/>
      <c r="B81" s="354">
        <v>2335</v>
      </c>
      <c r="C81" s="328" t="s">
        <v>870</v>
      </c>
      <c r="D81" s="338" t="s">
        <v>1081</v>
      </c>
      <c r="E81" s="382" t="s">
        <v>852</v>
      </c>
      <c r="F81" s="330"/>
      <c r="G81" s="331">
        <v>607.54999999999995</v>
      </c>
      <c r="H81" s="332">
        <v>0</v>
      </c>
      <c r="I81" s="331">
        <v>607.54999999999995</v>
      </c>
      <c r="J81" s="389">
        <v>607.54999999999995</v>
      </c>
      <c r="K81" s="333">
        <v>0</v>
      </c>
      <c r="L81" s="329"/>
    </row>
    <row r="82" spans="1:20">
      <c r="A82" s="334"/>
      <c r="B82" s="354">
        <v>2089</v>
      </c>
      <c r="C82" s="328" t="s">
        <v>870</v>
      </c>
      <c r="D82" s="338" t="s">
        <v>1007</v>
      </c>
      <c r="E82" s="329" t="s">
        <v>854</v>
      </c>
      <c r="F82" s="330">
        <v>1</v>
      </c>
      <c r="G82" s="331">
        <v>1161.55</v>
      </c>
      <c r="H82" s="332" t="s">
        <v>1006</v>
      </c>
      <c r="I82" s="331">
        <v>1161.55</v>
      </c>
      <c r="J82" s="389">
        <v>703.79</v>
      </c>
      <c r="K82" s="333">
        <f t="shared" si="1"/>
        <v>457.76</v>
      </c>
      <c r="L82" s="329" t="s">
        <v>1107</v>
      </c>
    </row>
    <row r="83" spans="1:20">
      <c r="A83" s="7"/>
      <c r="B83" s="66"/>
      <c r="C83" s="29"/>
      <c r="D83" s="29"/>
      <c r="E83" s="410"/>
      <c r="F83" s="411"/>
      <c r="G83" s="412"/>
      <c r="H83" s="413">
        <f>SUM(H5:H82)</f>
        <v>2326.46</v>
      </c>
      <c r="I83" s="412"/>
      <c r="J83" s="414"/>
      <c r="K83" s="414"/>
      <c r="L83" s="385"/>
      <c r="M83" s="216"/>
      <c r="O83" s="15"/>
      <c r="P83" s="15"/>
    </row>
    <row r="84" spans="1:20">
      <c r="A84" s="7"/>
      <c r="B84" s="66"/>
      <c r="C84" s="29"/>
      <c r="D84" s="29"/>
      <c r="E84" s="410"/>
      <c r="F84" s="411"/>
      <c r="G84" s="412"/>
      <c r="H84" s="413"/>
      <c r="I84" s="412"/>
      <c r="J84" s="414"/>
      <c r="K84" s="414"/>
      <c r="L84" s="385"/>
      <c r="M84" s="216"/>
      <c r="O84" s="15"/>
      <c r="P84" s="15"/>
    </row>
    <row r="85" spans="1:20">
      <c r="A85" s="7"/>
      <c r="B85" s="66"/>
      <c r="C85" s="29"/>
      <c r="D85" s="29"/>
      <c r="E85" s="410"/>
      <c r="F85" s="411"/>
      <c r="G85" s="412"/>
      <c r="H85" s="413"/>
      <c r="I85" s="412"/>
      <c r="J85" s="414"/>
      <c r="K85" s="414"/>
      <c r="L85" s="385"/>
      <c r="M85" s="216"/>
      <c r="O85" s="15"/>
      <c r="P85" s="15"/>
    </row>
    <row r="86" spans="1:20">
      <c r="A86" s="7"/>
      <c r="B86" s="354">
        <v>2288</v>
      </c>
      <c r="C86" s="328" t="s">
        <v>772</v>
      </c>
      <c r="D86" s="338" t="s">
        <v>820</v>
      </c>
      <c r="E86" s="329" t="s">
        <v>852</v>
      </c>
      <c r="F86" s="330"/>
      <c r="G86" s="331">
        <v>648.71</v>
      </c>
      <c r="H86" s="412"/>
      <c r="I86" s="331">
        <v>648.71</v>
      </c>
      <c r="J86" s="331">
        <v>648.71</v>
      </c>
      <c r="K86" s="333">
        <f t="shared" ref="K86" si="2">I86-J86</f>
        <v>0</v>
      </c>
      <c r="L86" s="196" t="s">
        <v>1128</v>
      </c>
      <c r="M86" s="216"/>
      <c r="O86" s="15"/>
      <c r="P86" s="15"/>
    </row>
    <row r="87" spans="1:20">
      <c r="A87" s="7"/>
      <c r="B87" s="354"/>
      <c r="C87" s="328"/>
      <c r="D87" s="338"/>
      <c r="E87" s="329"/>
      <c r="F87" s="330"/>
      <c r="G87" s="331"/>
      <c r="H87" s="412"/>
      <c r="I87" s="331" t="s">
        <v>1113</v>
      </c>
      <c r="J87" s="415">
        <f>SUM(J86:J86)</f>
        <v>648.71</v>
      </c>
      <c r="K87" s="333"/>
      <c r="L87" s="385"/>
      <c r="M87" s="216"/>
      <c r="O87" s="15"/>
      <c r="P87" s="15"/>
    </row>
    <row r="88" spans="1:20">
      <c r="A88" s="438" t="s">
        <v>652</v>
      </c>
      <c r="B88" s="439"/>
      <c r="C88" s="439"/>
      <c r="D88" s="439"/>
      <c r="E88" s="439"/>
      <c r="F88" s="439"/>
      <c r="G88" s="440"/>
      <c r="H88" s="347"/>
      <c r="I88" s="348">
        <f>SUM(I5:I82)</f>
        <v>85658.780000000028</v>
      </c>
      <c r="J88" s="383">
        <f>SUM(J5:J82)</f>
        <v>90862.920000000013</v>
      </c>
      <c r="K88" s="383"/>
      <c r="L88" s="386"/>
    </row>
    <row r="89" spans="1:20">
      <c r="A89" s="441" t="s">
        <v>1028</v>
      </c>
      <c r="B89" s="442"/>
      <c r="C89" s="443"/>
      <c r="D89" s="351"/>
      <c r="E89" s="352" t="s">
        <v>258</v>
      </c>
      <c r="F89" s="334">
        <v>73</v>
      </c>
      <c r="G89" s="329" t="s">
        <v>1029</v>
      </c>
      <c r="H89" s="351"/>
      <c r="I89" s="352" t="s">
        <v>258</v>
      </c>
      <c r="J89" s="343">
        <v>74</v>
      </c>
      <c r="K89" s="343"/>
      <c r="L89" s="161"/>
    </row>
    <row r="90" spans="1:20">
      <c r="A90" s="353"/>
      <c r="B90" s="352"/>
      <c r="C90" s="351"/>
      <c r="D90" s="351"/>
      <c r="E90" s="351" t="s">
        <v>930</v>
      </c>
      <c r="F90" s="330">
        <v>4</v>
      </c>
      <c r="G90" s="329"/>
      <c r="H90" s="351"/>
      <c r="I90" s="351" t="s">
        <v>930</v>
      </c>
      <c r="J90" s="343">
        <v>4</v>
      </c>
      <c r="K90" s="343"/>
      <c r="L90" s="161"/>
    </row>
    <row r="91" spans="1:20">
      <c r="A91" s="441"/>
      <c r="B91" s="442"/>
      <c r="C91" s="443"/>
      <c r="D91" s="351"/>
      <c r="E91" s="352" t="s">
        <v>931</v>
      </c>
      <c r="F91" s="355">
        <v>26</v>
      </c>
      <c r="G91" s="329"/>
      <c r="H91" s="351"/>
      <c r="I91" s="352" t="s">
        <v>931</v>
      </c>
      <c r="J91" s="343">
        <v>26</v>
      </c>
      <c r="K91" s="343"/>
      <c r="L91" s="161"/>
    </row>
    <row r="92" spans="1:20">
      <c r="A92" s="444"/>
      <c r="B92" s="445"/>
      <c r="C92" s="446"/>
      <c r="D92" s="356"/>
      <c r="E92" s="357" t="s">
        <v>246</v>
      </c>
      <c r="F92" s="358">
        <v>103</v>
      </c>
      <c r="G92" s="329"/>
      <c r="H92" s="393"/>
      <c r="I92" s="394" t="s">
        <v>246</v>
      </c>
      <c r="J92" s="395">
        <v>104</v>
      </c>
      <c r="K92" s="395"/>
      <c r="L92" s="161"/>
    </row>
    <row r="93" spans="1:20">
      <c r="A93" s="447" t="s">
        <v>830</v>
      </c>
      <c r="B93" s="448"/>
      <c r="C93" s="448"/>
      <c r="D93" s="448"/>
      <c r="E93" s="448"/>
      <c r="F93" s="448"/>
      <c r="G93" s="448"/>
      <c r="H93" s="381"/>
      <c r="I93" s="381"/>
      <c r="J93" s="396"/>
      <c r="K93" s="396"/>
      <c r="L93" s="392"/>
      <c r="N93" s="15"/>
    </row>
    <row r="94" spans="1:20">
      <c r="A94" s="334"/>
      <c r="B94" s="354">
        <v>2331</v>
      </c>
      <c r="C94" s="328" t="s">
        <v>1073</v>
      </c>
      <c r="D94" s="328" t="s">
        <v>1074</v>
      </c>
      <c r="E94" s="329" t="s">
        <v>854</v>
      </c>
      <c r="F94" s="330">
        <v>1</v>
      </c>
      <c r="G94" s="389">
        <v>-1161.55</v>
      </c>
      <c r="H94" s="332">
        <v>0</v>
      </c>
      <c r="I94" s="389">
        <v>-1161.55</v>
      </c>
      <c r="J94" s="389">
        <v>-1161.55</v>
      </c>
      <c r="K94" s="333"/>
      <c r="L94" s="196" t="s">
        <v>1115</v>
      </c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>
        <v>2331</v>
      </c>
      <c r="C95" s="328" t="s">
        <v>1073</v>
      </c>
      <c r="D95" s="328" t="s">
        <v>1074</v>
      </c>
      <c r="E95" s="329" t="s">
        <v>854</v>
      </c>
      <c r="F95" s="330">
        <v>1</v>
      </c>
      <c r="G95" s="389">
        <v>-1077.42</v>
      </c>
      <c r="H95" s="332">
        <v>0</v>
      </c>
      <c r="I95" s="389">
        <v>-1077.42</v>
      </c>
      <c r="J95" s="389">
        <v>-1077.42</v>
      </c>
      <c r="K95" s="333"/>
      <c r="L95" s="196" t="s">
        <v>1116</v>
      </c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38"/>
      <c r="E96" s="382"/>
      <c r="F96" s="330"/>
      <c r="G96" s="331"/>
      <c r="H96" s="332"/>
      <c r="I96" s="331"/>
      <c r="J96" s="331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38"/>
      <c r="E97" s="329"/>
      <c r="F97" s="330"/>
      <c r="G97" s="331"/>
      <c r="H97" s="332"/>
      <c r="I97" s="331"/>
      <c r="J97" s="389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38"/>
      <c r="E98" s="329"/>
      <c r="F98" s="330"/>
      <c r="G98" s="331"/>
      <c r="H98" s="332"/>
      <c r="I98" s="331"/>
      <c r="J98" s="389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38"/>
      <c r="E99" s="382"/>
      <c r="F99" s="330"/>
      <c r="G99" s="331"/>
      <c r="H99" s="332"/>
      <c r="I99" s="331"/>
      <c r="J99" s="331"/>
      <c r="K99" s="333"/>
      <c r="L99" s="196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38"/>
      <c r="E100" s="382"/>
      <c r="F100" s="330"/>
      <c r="G100" s="331"/>
      <c r="H100" s="332"/>
      <c r="I100" s="331"/>
      <c r="J100" s="331"/>
      <c r="K100" s="333"/>
      <c r="L100" s="196"/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/>
      <c r="C101" s="328"/>
      <c r="D101" s="338"/>
      <c r="E101" s="382"/>
      <c r="F101" s="330"/>
      <c r="G101" s="331"/>
      <c r="H101" s="332"/>
      <c r="I101" s="331"/>
      <c r="J101" s="331"/>
      <c r="K101" s="333"/>
      <c r="L101" s="196"/>
      <c r="M101" s="362"/>
      <c r="N101" s="363"/>
      <c r="O101" s="362"/>
      <c r="P101" s="362"/>
      <c r="Q101" s="362"/>
      <c r="R101" s="362"/>
      <c r="S101" s="362"/>
      <c r="T101" s="362"/>
    </row>
    <row r="102" spans="1:20">
      <c r="A102" s="334"/>
      <c r="B102" s="354"/>
      <c r="C102" s="328"/>
      <c r="D102" s="338"/>
      <c r="E102" s="382"/>
      <c r="F102" s="330"/>
      <c r="G102" s="331"/>
      <c r="H102" s="332"/>
      <c r="I102" s="331"/>
      <c r="J102" s="331"/>
      <c r="K102" s="333"/>
      <c r="L102" s="196"/>
      <c r="M102" s="362"/>
      <c r="N102" s="363"/>
      <c r="O102" s="362"/>
      <c r="P102" s="362"/>
      <c r="Q102" s="362"/>
      <c r="R102" s="362"/>
      <c r="S102" s="362"/>
      <c r="T102" s="362"/>
    </row>
    <row r="103" spans="1:20">
      <c r="A103" s="334"/>
      <c r="B103" s="354"/>
      <c r="C103" s="328"/>
      <c r="D103" s="328"/>
      <c r="E103" s="329"/>
      <c r="F103" s="330"/>
      <c r="G103" s="331"/>
      <c r="H103" s="332"/>
      <c r="I103" s="332"/>
      <c r="J103" s="333"/>
      <c r="K103" s="333"/>
      <c r="L103" s="161"/>
      <c r="N103" s="15"/>
    </row>
    <row r="104" spans="1:20">
      <c r="A104" s="438" t="s">
        <v>846</v>
      </c>
      <c r="B104" s="439"/>
      <c r="C104" s="439"/>
      <c r="D104" s="439"/>
      <c r="E104" s="439"/>
      <c r="F104" s="439"/>
      <c r="G104" s="440"/>
      <c r="H104" s="348">
        <f>SUM(H94:H95)</f>
        <v>0</v>
      </c>
      <c r="I104" s="347"/>
      <c r="J104" s="348">
        <f>SUM(J94:J103)</f>
        <v>-2238.9700000000003</v>
      </c>
      <c r="K104" s="406"/>
      <c r="L104" s="402"/>
    </row>
    <row r="105" spans="1:20">
      <c r="A105" s="365"/>
      <c r="B105" s="366"/>
      <c r="C105" s="366"/>
      <c r="D105" s="366"/>
      <c r="E105" s="366"/>
      <c r="F105" s="367"/>
      <c r="G105" s="368"/>
      <c r="H105" s="368"/>
      <c r="I105" s="368"/>
      <c r="J105" s="349"/>
      <c r="K105" s="383"/>
      <c r="L105" s="364"/>
    </row>
    <row r="106" spans="1:20" ht="16">
      <c r="A106" s="435" t="s">
        <v>881</v>
      </c>
      <c r="B106" s="436"/>
      <c r="C106" s="436"/>
      <c r="D106" s="436"/>
      <c r="E106" s="436"/>
      <c r="F106" s="436"/>
      <c r="G106" s="437"/>
      <c r="H106" s="369"/>
      <c r="I106" s="369"/>
      <c r="J106" s="370">
        <f>SUM(J88,J104)</f>
        <v>88623.950000000012</v>
      </c>
      <c r="K106" s="407"/>
      <c r="L106" s="350"/>
    </row>
    <row r="107" spans="1:20" ht="18">
      <c r="F107" s="3"/>
      <c r="G107" s="371" t="s">
        <v>1013</v>
      </c>
      <c r="H107" s="372">
        <v>45667</v>
      </c>
    </row>
    <row r="108" spans="1:20" ht="18">
      <c r="F108" s="3"/>
      <c r="G108" s="371" t="s">
        <v>1014</v>
      </c>
      <c r="H108" s="373" t="s">
        <v>990</v>
      </c>
      <c r="I108" s="373"/>
    </row>
    <row r="109" spans="1:20">
      <c r="F109" s="3"/>
      <c r="G109" s="216"/>
      <c r="H109" s="216"/>
      <c r="I109" s="216"/>
      <c r="J109" s="3"/>
      <c r="K109" s="3"/>
      <c r="L109" s="15"/>
      <c r="M109" s="216"/>
    </row>
    <row r="110" spans="1:20">
      <c r="F110" s="3"/>
      <c r="G110" s="216"/>
      <c r="H110" s="269"/>
      <c r="I110" s="216"/>
      <c r="J110" s="270"/>
      <c r="K110" s="270"/>
      <c r="L110" s="15"/>
      <c r="M110" s="216"/>
    </row>
    <row r="111" spans="1:20">
      <c r="F111" s="3"/>
      <c r="G111" s="216"/>
      <c r="H111" s="269"/>
      <c r="I111" s="216"/>
      <c r="J111" s="270"/>
      <c r="K111" s="270"/>
      <c r="L111" s="15"/>
      <c r="M111" s="216"/>
    </row>
    <row r="112" spans="1:20">
      <c r="F112" s="3"/>
      <c r="G112" s="216"/>
      <c r="H112" s="388">
        <f>SUM(H83,H104)</f>
        <v>2326.46</v>
      </c>
      <c r="I112" s="269">
        <f>J106-H112</f>
        <v>86297.49</v>
      </c>
      <c r="J112" s="270">
        <f>SUM(J86:J86)</f>
        <v>648.71</v>
      </c>
      <c r="K112" s="3"/>
      <c r="L112" s="15"/>
      <c r="M112" s="216"/>
    </row>
    <row r="113" spans="6:20">
      <c r="F113" s="3"/>
      <c r="G113" s="216"/>
      <c r="H113" s="216"/>
      <c r="I113" s="216"/>
      <c r="J113" s="3"/>
      <c r="K113" s="3"/>
      <c r="L113" s="15"/>
      <c r="M113" s="216"/>
      <c r="Q113" s="3"/>
      <c r="R113" s="3"/>
      <c r="S113" s="3"/>
      <c r="T113" s="3"/>
    </row>
  </sheetData>
  <mergeCells count="7">
    <mergeCell ref="A106:G106"/>
    <mergeCell ref="A88:G88"/>
    <mergeCell ref="A89:C89"/>
    <mergeCell ref="A91:C91"/>
    <mergeCell ref="A92:C92"/>
    <mergeCell ref="A93:G93"/>
    <mergeCell ref="A104:G104"/>
  </mergeCells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4AE7-792B-E744-A452-6C3EE6300023}">
  <dimension ref="A1:T116"/>
  <sheetViews>
    <sheetView topLeftCell="A81" zoomScale="120" zoomScaleNormal="120" workbookViewId="0">
      <selection activeCell="H115" sqref="H115:J115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45658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1111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648.71</v>
      </c>
      <c r="H5" s="332" t="s">
        <v>1006</v>
      </c>
      <c r="I5" s="332">
        <v>648.71</v>
      </c>
      <c r="J5" s="333">
        <v>648.71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1477.14</v>
      </c>
      <c r="H6" s="332"/>
      <c r="I6" s="331">
        <v>1477.14</v>
      </c>
      <c r="J6" s="389">
        <v>1477.14</v>
      </c>
      <c r="K6" s="333">
        <f t="shared" ref="K6:K71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607.54999999999995</v>
      </c>
      <c r="H7" s="332" t="s">
        <v>1006</v>
      </c>
      <c r="I7" s="331">
        <v>607.54999999999995</v>
      </c>
      <c r="J7" s="389">
        <v>607.54999999999995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1711.35</v>
      </c>
      <c r="H8" s="332" t="s">
        <v>1006</v>
      </c>
      <c r="I8" s="332">
        <v>1711.35</v>
      </c>
      <c r="J8" s="335">
        <v>1711.35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2063.59</v>
      </c>
      <c r="H9" s="332" t="s">
        <v>1006</v>
      </c>
      <c r="I9" s="331">
        <v>2063.59</v>
      </c>
      <c r="J9" s="389">
        <v>2063.59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1998.08</v>
      </c>
      <c r="H10" s="332" t="s">
        <v>1006</v>
      </c>
      <c r="I10" s="331">
        <v>1998.08</v>
      </c>
      <c r="J10" s="389">
        <v>1998.08</v>
      </c>
      <c r="K10" s="333">
        <f t="shared" si="0"/>
        <v>0</v>
      </c>
      <c r="L10" s="329"/>
    </row>
    <row r="11" spans="1:20">
      <c r="A11" s="334"/>
      <c r="B11" s="354">
        <v>2331</v>
      </c>
      <c r="C11" s="328" t="s">
        <v>1073</v>
      </c>
      <c r="D11" s="328" t="s">
        <v>1074</v>
      </c>
      <c r="E11" s="329" t="s">
        <v>854</v>
      </c>
      <c r="F11" s="330">
        <v>1</v>
      </c>
      <c r="G11" s="331"/>
      <c r="H11" s="332">
        <v>0</v>
      </c>
      <c r="I11" s="331"/>
      <c r="J11" s="389">
        <v>1161.55</v>
      </c>
      <c r="K11" s="333">
        <f t="shared" si="0"/>
        <v>-1161.55</v>
      </c>
      <c r="L11" s="329" t="s">
        <v>1101</v>
      </c>
    </row>
    <row r="12" spans="1:20">
      <c r="A12" s="334"/>
      <c r="B12" s="354">
        <v>2341</v>
      </c>
      <c r="C12" s="328" t="s">
        <v>460</v>
      </c>
      <c r="D12" s="328" t="s">
        <v>1102</v>
      </c>
      <c r="E12" s="329" t="s">
        <v>852</v>
      </c>
      <c r="F12" s="330"/>
      <c r="G12" s="331">
        <v>1035.3900000000001</v>
      </c>
      <c r="H12" s="332"/>
      <c r="I12" s="331">
        <v>1035.3900000000001</v>
      </c>
      <c r="J12" s="389"/>
      <c r="K12" s="333">
        <f t="shared" si="0"/>
        <v>1035.3900000000001</v>
      </c>
      <c r="L12" s="329" t="s">
        <v>1036</v>
      </c>
    </row>
    <row r="13" spans="1:20">
      <c r="A13" s="334">
        <v>6</v>
      </c>
      <c r="B13" s="354">
        <v>1593</v>
      </c>
      <c r="C13" s="328" t="s">
        <v>460</v>
      </c>
      <c r="D13" s="328" t="s">
        <v>426</v>
      </c>
      <c r="E13" s="329" t="s">
        <v>852</v>
      </c>
      <c r="F13" s="330"/>
      <c r="G13" s="331">
        <v>1629.03</v>
      </c>
      <c r="H13" s="332" t="s">
        <v>1006</v>
      </c>
      <c r="I13" s="331">
        <v>1629.03</v>
      </c>
      <c r="J13" s="389">
        <v>1629.03</v>
      </c>
      <c r="K13" s="333">
        <f t="shared" si="0"/>
        <v>0</v>
      </c>
      <c r="L13" s="329"/>
    </row>
    <row r="14" spans="1:20">
      <c r="A14" s="334">
        <v>8</v>
      </c>
      <c r="B14" s="354">
        <v>2131</v>
      </c>
      <c r="C14" s="328" t="s">
        <v>745</v>
      </c>
      <c r="D14" s="338" t="s">
        <v>784</v>
      </c>
      <c r="E14" s="329" t="s">
        <v>852</v>
      </c>
      <c r="F14" s="330"/>
      <c r="G14" s="331">
        <v>703.79</v>
      </c>
      <c r="H14" s="332" t="s">
        <v>1006</v>
      </c>
      <c r="I14" s="331">
        <v>703.79</v>
      </c>
      <c r="J14" s="389">
        <v>703.79</v>
      </c>
      <c r="K14" s="333">
        <f t="shared" si="0"/>
        <v>0</v>
      </c>
      <c r="L14" s="329"/>
      <c r="P14" s="1"/>
      <c r="Q14" s="1"/>
      <c r="R14" s="1"/>
      <c r="S14" s="1"/>
      <c r="T14" s="1"/>
    </row>
    <row r="15" spans="1:20">
      <c r="A15" s="334">
        <v>7</v>
      </c>
      <c r="B15" s="354">
        <v>1751</v>
      </c>
      <c r="C15" s="328" t="s">
        <v>745</v>
      </c>
      <c r="D15" s="339" t="s">
        <v>838</v>
      </c>
      <c r="E15" s="329" t="s">
        <v>852</v>
      </c>
      <c r="F15" s="330"/>
      <c r="G15" s="331">
        <v>989.01</v>
      </c>
      <c r="H15" s="332" t="s">
        <v>1006</v>
      </c>
      <c r="I15" s="331">
        <v>989.01</v>
      </c>
      <c r="J15" s="389">
        <v>989.01</v>
      </c>
      <c r="K15" s="333">
        <f t="shared" si="0"/>
        <v>0</v>
      </c>
      <c r="L15" s="329"/>
    </row>
    <row r="16" spans="1:20">
      <c r="A16" s="334">
        <v>9</v>
      </c>
      <c r="B16" s="354">
        <v>2023</v>
      </c>
      <c r="C16" s="328" t="s">
        <v>745</v>
      </c>
      <c r="D16" s="339" t="s">
        <v>783</v>
      </c>
      <c r="E16" s="329" t="s">
        <v>852</v>
      </c>
      <c r="F16" s="330"/>
      <c r="G16" s="331">
        <v>740.89</v>
      </c>
      <c r="H16" s="332" t="s">
        <v>1006</v>
      </c>
      <c r="I16" s="331">
        <v>740.89</v>
      </c>
      <c r="J16" s="389">
        <v>740.89</v>
      </c>
      <c r="K16" s="333">
        <f t="shared" si="0"/>
        <v>0</v>
      </c>
      <c r="L16" s="328"/>
      <c r="P16" s="1"/>
      <c r="Q16" s="1"/>
      <c r="R16" s="1"/>
      <c r="S16" s="1"/>
      <c r="T16" s="1"/>
    </row>
    <row r="17" spans="1:20">
      <c r="A17" s="334"/>
      <c r="B17" s="374">
        <v>2302</v>
      </c>
      <c r="C17" s="336" t="s">
        <v>806</v>
      </c>
      <c r="D17" s="339" t="s">
        <v>952</v>
      </c>
      <c r="E17" s="329" t="s">
        <v>852</v>
      </c>
      <c r="F17" s="330"/>
      <c r="G17" s="331">
        <v>717.7</v>
      </c>
      <c r="H17" s="332" t="s">
        <v>1006</v>
      </c>
      <c r="I17" s="331">
        <v>717.7</v>
      </c>
      <c r="J17" s="389">
        <v>717.7</v>
      </c>
      <c r="K17" s="333">
        <f t="shared" si="0"/>
        <v>0</v>
      </c>
      <c r="L17" s="340"/>
      <c r="P17" s="1"/>
      <c r="Q17" s="1"/>
      <c r="R17" s="1"/>
      <c r="S17" s="1"/>
      <c r="T17" s="1"/>
    </row>
    <row r="18" spans="1:20">
      <c r="A18" s="334">
        <v>10</v>
      </c>
      <c r="B18" s="375">
        <v>2254</v>
      </c>
      <c r="C18" s="328" t="s">
        <v>840</v>
      </c>
      <c r="D18" s="328" t="s">
        <v>841</v>
      </c>
      <c r="E18" s="341" t="s">
        <v>855</v>
      </c>
      <c r="F18" s="330">
        <v>1</v>
      </c>
      <c r="G18" s="331">
        <v>1348.64</v>
      </c>
      <c r="H18" s="332">
        <v>604.79999999999995</v>
      </c>
      <c r="I18" s="332">
        <v>1953.45</v>
      </c>
      <c r="J18" s="333">
        <v>1953.45</v>
      </c>
      <c r="K18" s="333">
        <f t="shared" si="0"/>
        <v>0</v>
      </c>
      <c r="L18" s="329"/>
    </row>
    <row r="19" spans="1:20">
      <c r="A19" s="334"/>
      <c r="B19" s="354">
        <v>2318</v>
      </c>
      <c r="C19" s="328" t="s">
        <v>1018</v>
      </c>
      <c r="D19" s="328" t="s">
        <v>1019</v>
      </c>
      <c r="E19" s="382" t="s">
        <v>851</v>
      </c>
      <c r="F19" s="330"/>
      <c r="G19" s="331"/>
      <c r="H19" s="332"/>
      <c r="I19" s="332"/>
      <c r="J19" s="333">
        <v>1402.93</v>
      </c>
      <c r="K19" s="333">
        <f t="shared" si="0"/>
        <v>-1402.93</v>
      </c>
      <c r="L19" s="161" t="s">
        <v>1104</v>
      </c>
    </row>
    <row r="20" spans="1:20">
      <c r="A20" s="334">
        <v>11</v>
      </c>
      <c r="B20" s="354">
        <v>1721</v>
      </c>
      <c r="C20" s="328" t="s">
        <v>746</v>
      </c>
      <c r="D20" s="328" t="s">
        <v>785</v>
      </c>
      <c r="E20" s="329" t="s">
        <v>854</v>
      </c>
      <c r="F20" s="330">
        <v>1</v>
      </c>
      <c r="G20" s="331">
        <v>1665.55</v>
      </c>
      <c r="H20" s="332" t="s">
        <v>1006</v>
      </c>
      <c r="I20" s="331">
        <v>1665.55</v>
      </c>
      <c r="J20" s="389">
        <v>1665.55</v>
      </c>
      <c r="K20" s="333">
        <f t="shared" si="0"/>
        <v>0</v>
      </c>
      <c r="L20" s="161"/>
    </row>
    <row r="21" spans="1:20">
      <c r="A21" s="334">
        <v>12</v>
      </c>
      <c r="B21" s="354">
        <v>2123</v>
      </c>
      <c r="C21" s="328" t="s">
        <v>746</v>
      </c>
      <c r="D21" s="328" t="s">
        <v>786</v>
      </c>
      <c r="E21" s="329" t="s">
        <v>852</v>
      </c>
      <c r="F21" s="330"/>
      <c r="G21" s="331">
        <v>754.8</v>
      </c>
      <c r="H21" s="332" t="s">
        <v>1006</v>
      </c>
      <c r="I21" s="331">
        <v>754.8</v>
      </c>
      <c r="J21" s="389">
        <v>754.8</v>
      </c>
      <c r="K21" s="333">
        <f t="shared" si="0"/>
        <v>0</v>
      </c>
      <c r="L21" s="161"/>
    </row>
    <row r="22" spans="1:20">
      <c r="A22" s="334">
        <v>13</v>
      </c>
      <c r="B22" s="354">
        <v>1970</v>
      </c>
      <c r="C22" s="328" t="s">
        <v>747</v>
      </c>
      <c r="D22" s="338" t="s">
        <v>787</v>
      </c>
      <c r="E22" s="329" t="s">
        <v>854</v>
      </c>
      <c r="F22" s="330">
        <v>1</v>
      </c>
      <c r="G22" s="331">
        <v>1320.82</v>
      </c>
      <c r="H22" s="332">
        <v>618.14</v>
      </c>
      <c r="I22" s="331">
        <v>1938.96</v>
      </c>
      <c r="J22" s="389">
        <v>1170.82</v>
      </c>
      <c r="K22" s="333">
        <f t="shared" si="0"/>
        <v>768.1400000000001</v>
      </c>
      <c r="L22" s="161" t="s">
        <v>1105</v>
      </c>
    </row>
    <row r="23" spans="1:20">
      <c r="A23" s="334">
        <v>14</v>
      </c>
      <c r="B23" s="376" t="s">
        <v>934</v>
      </c>
      <c r="C23" s="328" t="s">
        <v>932</v>
      </c>
      <c r="D23" s="338" t="s">
        <v>933</v>
      </c>
      <c r="E23" s="329" t="s">
        <v>851</v>
      </c>
      <c r="F23" s="330"/>
      <c r="G23" s="331">
        <v>808</v>
      </c>
      <c r="H23" s="332">
        <v>480.16</v>
      </c>
      <c r="I23" s="332">
        <f>SUM(G23:H23)</f>
        <v>1288.1600000000001</v>
      </c>
      <c r="J23" s="333">
        <v>1288.1500000000001</v>
      </c>
      <c r="K23" s="333">
        <f t="shared" si="0"/>
        <v>9.9999999999909051E-3</v>
      </c>
      <c r="L23" s="188"/>
      <c r="M23" s="403" t="s">
        <v>1042</v>
      </c>
    </row>
    <row r="24" spans="1:20">
      <c r="A24" s="334">
        <v>15</v>
      </c>
      <c r="B24" s="354">
        <v>1794</v>
      </c>
      <c r="C24" s="328" t="s">
        <v>466</v>
      </c>
      <c r="D24" s="328" t="s">
        <v>431</v>
      </c>
      <c r="E24" s="329" t="s">
        <v>854</v>
      </c>
      <c r="F24" s="330">
        <v>1</v>
      </c>
      <c r="G24" s="331">
        <v>1713.66</v>
      </c>
      <c r="H24" s="332" t="s">
        <v>1006</v>
      </c>
      <c r="I24" s="331">
        <v>1713.66</v>
      </c>
      <c r="J24" s="389">
        <v>1713.66</v>
      </c>
      <c r="K24" s="333">
        <f t="shared" si="0"/>
        <v>0</v>
      </c>
      <c r="L24" s="161"/>
      <c r="P24" s="1"/>
      <c r="Q24" s="1"/>
      <c r="R24" s="1"/>
      <c r="S24" s="1"/>
      <c r="T24" s="1"/>
    </row>
    <row r="25" spans="1:20">
      <c r="A25" s="334">
        <v>16</v>
      </c>
      <c r="B25" s="354">
        <v>2201</v>
      </c>
      <c r="C25" s="328" t="s">
        <v>748</v>
      </c>
      <c r="D25" s="338" t="s">
        <v>788</v>
      </c>
      <c r="E25" s="329" t="s">
        <v>852</v>
      </c>
      <c r="F25" s="330"/>
      <c r="G25" s="331">
        <v>1412.79</v>
      </c>
      <c r="H25" s="332" t="s">
        <v>1006</v>
      </c>
      <c r="I25" s="331">
        <v>1412.79</v>
      </c>
      <c r="J25" s="389">
        <v>1412.79</v>
      </c>
      <c r="K25" s="333">
        <f t="shared" si="0"/>
        <v>0</v>
      </c>
      <c r="L25" s="161"/>
    </row>
    <row r="26" spans="1:20">
      <c r="A26" s="334">
        <v>17</v>
      </c>
      <c r="B26" s="354">
        <v>2194</v>
      </c>
      <c r="C26" s="328" t="s">
        <v>749</v>
      </c>
      <c r="D26" s="338" t="s">
        <v>789</v>
      </c>
      <c r="E26" s="329" t="s">
        <v>852</v>
      </c>
      <c r="F26" s="330"/>
      <c r="G26" s="331">
        <v>657.99</v>
      </c>
      <c r="H26" s="332" t="s">
        <v>1006</v>
      </c>
      <c r="I26" s="331">
        <v>657.99</v>
      </c>
      <c r="J26" s="389">
        <v>657.99</v>
      </c>
      <c r="K26" s="333">
        <f t="shared" si="0"/>
        <v>0</v>
      </c>
      <c r="L26" s="161"/>
    </row>
    <row r="27" spans="1:20">
      <c r="A27" s="334"/>
      <c r="B27" s="354">
        <v>1961</v>
      </c>
      <c r="C27" s="328" t="s">
        <v>967</v>
      </c>
      <c r="D27" s="338" t="s">
        <v>968</v>
      </c>
      <c r="E27" s="329" t="s">
        <v>852</v>
      </c>
      <c r="F27" s="330"/>
      <c r="G27" s="331">
        <v>1509.02</v>
      </c>
      <c r="H27" s="332" t="s">
        <v>1006</v>
      </c>
      <c r="I27" s="331">
        <v>1509.02</v>
      </c>
      <c r="J27" s="389">
        <v>1509.02</v>
      </c>
      <c r="K27" s="333">
        <f t="shared" si="0"/>
        <v>0</v>
      </c>
      <c r="L27" s="161"/>
    </row>
    <row r="28" spans="1:20">
      <c r="A28" s="334">
        <v>18</v>
      </c>
      <c r="B28" s="354">
        <v>2289</v>
      </c>
      <c r="C28" s="328" t="s">
        <v>750</v>
      </c>
      <c r="D28" s="338" t="s">
        <v>790</v>
      </c>
      <c r="E28" s="329" t="s">
        <v>852</v>
      </c>
      <c r="F28" s="330"/>
      <c r="G28" s="331">
        <v>740.89</v>
      </c>
      <c r="H28" s="332" t="s">
        <v>1006</v>
      </c>
      <c r="I28" s="331">
        <v>740.89</v>
      </c>
      <c r="J28" s="389">
        <v>740.89</v>
      </c>
      <c r="K28" s="333">
        <f t="shared" si="0"/>
        <v>0</v>
      </c>
      <c r="L28" s="161"/>
    </row>
    <row r="29" spans="1:20">
      <c r="A29" s="334"/>
      <c r="B29" s="354">
        <v>2322</v>
      </c>
      <c r="C29" s="328" t="s">
        <v>1023</v>
      </c>
      <c r="D29" s="338" t="s">
        <v>1024</v>
      </c>
      <c r="E29" s="329" t="s">
        <v>852</v>
      </c>
      <c r="F29" s="330"/>
      <c r="G29" s="331">
        <v>582.04</v>
      </c>
      <c r="H29" s="332">
        <v>0</v>
      </c>
      <c r="I29" s="332">
        <v>582.04</v>
      </c>
      <c r="J29" s="335">
        <v>582.04</v>
      </c>
      <c r="K29" s="333">
        <f t="shared" si="0"/>
        <v>0</v>
      </c>
      <c r="L29" s="161"/>
    </row>
    <row r="30" spans="1:20">
      <c r="A30" s="334">
        <v>20</v>
      </c>
      <c r="B30" s="354">
        <v>2250</v>
      </c>
      <c r="C30" s="328" t="s">
        <v>752</v>
      </c>
      <c r="D30" s="328" t="s">
        <v>792</v>
      </c>
      <c r="E30" s="329" t="s">
        <v>853</v>
      </c>
      <c r="F30" s="330">
        <v>2</v>
      </c>
      <c r="G30" s="331">
        <v>1709.74</v>
      </c>
      <c r="H30" s="332" t="s">
        <v>1006</v>
      </c>
      <c r="I30" s="331">
        <v>1709.74</v>
      </c>
      <c r="J30" s="389">
        <v>1709.74</v>
      </c>
      <c r="K30" s="333">
        <f t="shared" si="0"/>
        <v>0</v>
      </c>
      <c r="L30" s="161"/>
    </row>
    <row r="31" spans="1:20">
      <c r="A31" s="334"/>
      <c r="B31" s="354">
        <v>2298</v>
      </c>
      <c r="C31" s="328" t="s">
        <v>752</v>
      </c>
      <c r="D31" s="328" t="s">
        <v>1106</v>
      </c>
      <c r="E31" s="329" t="s">
        <v>852</v>
      </c>
      <c r="F31" s="330"/>
      <c r="G31" s="331">
        <v>685.81</v>
      </c>
      <c r="H31" s="332">
        <v>0</v>
      </c>
      <c r="I31" s="331">
        <v>685.81</v>
      </c>
      <c r="J31" s="389"/>
      <c r="K31" s="333"/>
      <c r="L31" s="161" t="s">
        <v>1036</v>
      </c>
    </row>
    <row r="32" spans="1:20">
      <c r="A32" s="334">
        <v>21</v>
      </c>
      <c r="B32" s="354">
        <v>2193</v>
      </c>
      <c r="C32" s="328" t="s">
        <v>753</v>
      </c>
      <c r="D32" s="328" t="s">
        <v>794</v>
      </c>
      <c r="E32" s="329" t="s">
        <v>852</v>
      </c>
      <c r="F32" s="330"/>
      <c r="G32" s="331">
        <v>713.06</v>
      </c>
      <c r="H32" s="332" t="s">
        <v>1006</v>
      </c>
      <c r="I32" s="331">
        <v>713.06</v>
      </c>
      <c r="J32" s="389">
        <v>713.06</v>
      </c>
      <c r="K32" s="333">
        <f t="shared" si="0"/>
        <v>0</v>
      </c>
      <c r="L32" s="161"/>
    </row>
    <row r="33" spans="1:20">
      <c r="A33" s="334"/>
      <c r="B33" s="354">
        <v>2223</v>
      </c>
      <c r="C33" s="328" t="s">
        <v>972</v>
      </c>
      <c r="D33" s="328" t="s">
        <v>973</v>
      </c>
      <c r="E33" s="329" t="s">
        <v>852</v>
      </c>
      <c r="F33" s="330"/>
      <c r="G33" s="331">
        <v>630.16</v>
      </c>
      <c r="H33" s="332"/>
      <c r="I33" s="331">
        <v>630.16</v>
      </c>
      <c r="J33" s="389">
        <v>630.16</v>
      </c>
      <c r="K33" s="333">
        <f t="shared" si="0"/>
        <v>0</v>
      </c>
      <c r="L33" s="161"/>
    </row>
    <row r="34" spans="1:20">
      <c r="A34" s="334">
        <v>22</v>
      </c>
      <c r="B34" s="354">
        <v>640</v>
      </c>
      <c r="C34" s="328" t="s">
        <v>754</v>
      </c>
      <c r="D34" s="339" t="s">
        <v>795</v>
      </c>
      <c r="E34" s="329" t="s">
        <v>852</v>
      </c>
      <c r="F34" s="330"/>
      <c r="G34" s="331">
        <v>1509.02</v>
      </c>
      <c r="H34" s="332" t="s">
        <v>1006</v>
      </c>
      <c r="I34" s="391">
        <v>1509.02</v>
      </c>
      <c r="J34" s="389">
        <v>1509.02</v>
      </c>
      <c r="K34" s="333">
        <f t="shared" si="0"/>
        <v>0</v>
      </c>
      <c r="L34" s="329"/>
    </row>
    <row r="35" spans="1:20">
      <c r="A35" s="334">
        <v>23</v>
      </c>
      <c r="B35" s="354">
        <v>901</v>
      </c>
      <c r="C35" s="328" t="s">
        <v>439</v>
      </c>
      <c r="D35" s="328" t="s">
        <v>505</v>
      </c>
      <c r="E35" s="329" t="s">
        <v>852</v>
      </c>
      <c r="F35" s="330"/>
      <c r="G35" s="331">
        <v>1739.16</v>
      </c>
      <c r="H35" s="332" t="s">
        <v>1006</v>
      </c>
      <c r="I35" s="331">
        <v>1739.16</v>
      </c>
      <c r="J35" s="389">
        <v>1739.16</v>
      </c>
      <c r="K35" s="333">
        <f t="shared" si="0"/>
        <v>0</v>
      </c>
      <c r="L35" s="329"/>
    </row>
    <row r="36" spans="1:20">
      <c r="A36" s="334"/>
      <c r="B36" s="354">
        <v>2320</v>
      </c>
      <c r="C36" s="328" t="s">
        <v>1043</v>
      </c>
      <c r="D36" s="328" t="s">
        <v>1044</v>
      </c>
      <c r="E36" s="329" t="s">
        <v>852</v>
      </c>
      <c r="F36" s="330"/>
      <c r="G36" s="331">
        <v>630.16</v>
      </c>
      <c r="H36" s="332"/>
      <c r="I36" s="331">
        <v>630.16</v>
      </c>
      <c r="J36" s="389">
        <v>630.16</v>
      </c>
      <c r="K36" s="333">
        <f t="shared" si="0"/>
        <v>0</v>
      </c>
      <c r="L36" s="329"/>
    </row>
    <row r="37" spans="1:20">
      <c r="A37" s="334">
        <v>24</v>
      </c>
      <c r="B37" s="376" t="s">
        <v>675</v>
      </c>
      <c r="C37" s="328" t="s">
        <v>755</v>
      </c>
      <c r="D37" s="328" t="s">
        <v>796</v>
      </c>
      <c r="E37" s="329" t="s">
        <v>852</v>
      </c>
      <c r="F37" s="330"/>
      <c r="G37" s="331">
        <v>786.69</v>
      </c>
      <c r="H37" s="332" t="s">
        <v>1006</v>
      </c>
      <c r="I37" s="332">
        <v>786.69</v>
      </c>
      <c r="J37" s="333">
        <v>786.69</v>
      </c>
      <c r="K37" s="333">
        <f t="shared" si="0"/>
        <v>0</v>
      </c>
      <c r="L37" s="329"/>
    </row>
    <row r="38" spans="1:20">
      <c r="A38" s="334">
        <v>26</v>
      </c>
      <c r="B38" s="354">
        <v>1741</v>
      </c>
      <c r="C38" s="328" t="s">
        <v>755</v>
      </c>
      <c r="D38" s="328" t="s">
        <v>797</v>
      </c>
      <c r="E38" s="329" t="s">
        <v>852</v>
      </c>
      <c r="F38" s="330"/>
      <c r="G38" s="331">
        <v>1292.79</v>
      </c>
      <c r="H38" s="332" t="s">
        <v>1006</v>
      </c>
      <c r="I38" s="331">
        <v>1292.79</v>
      </c>
      <c r="J38" s="389">
        <v>1292.79</v>
      </c>
      <c r="K38" s="333">
        <f t="shared" si="0"/>
        <v>0</v>
      </c>
      <c r="L38" s="329"/>
    </row>
    <row r="39" spans="1:20">
      <c r="A39" s="334">
        <v>25</v>
      </c>
      <c r="B39" s="354">
        <v>1757</v>
      </c>
      <c r="C39" s="328" t="s">
        <v>755</v>
      </c>
      <c r="D39" s="338" t="s">
        <v>798</v>
      </c>
      <c r="E39" s="329" t="s">
        <v>853</v>
      </c>
      <c r="F39" s="330">
        <v>2</v>
      </c>
      <c r="G39" s="331">
        <v>2170.85</v>
      </c>
      <c r="H39" s="332" t="s">
        <v>1006</v>
      </c>
      <c r="I39" s="331">
        <v>2170.85</v>
      </c>
      <c r="J39" s="389">
        <v>2170.85</v>
      </c>
      <c r="K39" s="333">
        <f t="shared" si="0"/>
        <v>0</v>
      </c>
      <c r="L39" s="329"/>
      <c r="N39" s="12"/>
      <c r="O39" s="12"/>
      <c r="P39" s="12"/>
      <c r="Q39" s="12"/>
      <c r="R39" s="12"/>
      <c r="S39" s="12"/>
      <c r="T39" s="12"/>
    </row>
    <row r="40" spans="1:20">
      <c r="A40" s="334">
        <v>27</v>
      </c>
      <c r="B40" s="354">
        <v>2057</v>
      </c>
      <c r="C40" s="328" t="s">
        <v>756</v>
      </c>
      <c r="D40" s="338" t="s">
        <v>799</v>
      </c>
      <c r="E40" s="329" t="s">
        <v>852</v>
      </c>
      <c r="F40" s="330"/>
      <c r="G40" s="331">
        <v>1739.16</v>
      </c>
      <c r="H40" s="332" t="s">
        <v>1006</v>
      </c>
      <c r="I40" s="331">
        <v>1739.16</v>
      </c>
      <c r="J40" s="389">
        <v>1739.16</v>
      </c>
      <c r="K40" s="333">
        <f t="shared" si="0"/>
        <v>0</v>
      </c>
      <c r="L40" s="329"/>
    </row>
    <row r="41" spans="1:20">
      <c r="A41" s="334">
        <v>28</v>
      </c>
      <c r="B41" s="354">
        <v>1210</v>
      </c>
      <c r="C41" s="328" t="s">
        <v>756</v>
      </c>
      <c r="D41" s="338" t="s">
        <v>800</v>
      </c>
      <c r="E41" s="329" t="s">
        <v>852</v>
      </c>
      <c r="F41" s="330"/>
      <c r="G41" s="331">
        <v>1739.16</v>
      </c>
      <c r="H41" s="332" t="s">
        <v>1006</v>
      </c>
      <c r="I41" s="331">
        <v>1739.16</v>
      </c>
      <c r="J41" s="389">
        <v>1739.16</v>
      </c>
      <c r="K41" s="333">
        <f t="shared" si="0"/>
        <v>0</v>
      </c>
      <c r="L41" s="329"/>
    </row>
    <row r="42" spans="1:20">
      <c r="A42" s="334"/>
      <c r="B42" s="354">
        <v>2310</v>
      </c>
      <c r="C42" s="328" t="s">
        <v>756</v>
      </c>
      <c r="D42" s="338" t="s">
        <v>977</v>
      </c>
      <c r="E42" s="329" t="s">
        <v>852</v>
      </c>
      <c r="F42" s="330"/>
      <c r="G42" s="331">
        <v>1035.3900000000001</v>
      </c>
      <c r="H42" s="332" t="s">
        <v>1006</v>
      </c>
      <c r="I42" s="331">
        <v>1035.3900000000001</v>
      </c>
      <c r="J42" s="389">
        <v>1035.3900000000001</v>
      </c>
      <c r="K42" s="333">
        <f t="shared" si="0"/>
        <v>0</v>
      </c>
      <c r="L42" s="329"/>
    </row>
    <row r="43" spans="1:20">
      <c r="A43" s="334">
        <v>29</v>
      </c>
      <c r="B43" s="354">
        <v>1460</v>
      </c>
      <c r="C43" s="328" t="s">
        <v>444</v>
      </c>
      <c r="D43" s="328" t="s">
        <v>506</v>
      </c>
      <c r="E43" s="329" t="s">
        <v>852</v>
      </c>
      <c r="F43" s="330"/>
      <c r="G43" s="331">
        <v>1081.19</v>
      </c>
      <c r="H43" s="332" t="s">
        <v>1006</v>
      </c>
      <c r="I43" s="331">
        <v>1081.19</v>
      </c>
      <c r="J43" s="389">
        <v>1081.19</v>
      </c>
      <c r="K43" s="333">
        <f t="shared" si="0"/>
        <v>0</v>
      </c>
      <c r="L43" s="329"/>
    </row>
    <row r="44" spans="1:20">
      <c r="A44" s="334">
        <v>32</v>
      </c>
      <c r="B44" s="354">
        <v>2248</v>
      </c>
      <c r="C44" s="328" t="s">
        <v>757</v>
      </c>
      <c r="D44" s="328" t="s">
        <v>801</v>
      </c>
      <c r="E44" s="341" t="s">
        <v>856</v>
      </c>
      <c r="F44" s="330">
        <v>2</v>
      </c>
      <c r="G44" s="331">
        <v>1778.58</v>
      </c>
      <c r="H44" s="332">
        <v>581.62</v>
      </c>
      <c r="I44" s="332">
        <f>SUM(G44:H44)</f>
        <v>2360.1999999999998</v>
      </c>
      <c r="J44" s="333">
        <v>2360.19</v>
      </c>
      <c r="K44" s="333">
        <f t="shared" si="0"/>
        <v>9.9999999997635314E-3</v>
      </c>
      <c r="L44" s="329"/>
    </row>
    <row r="45" spans="1:20">
      <c r="A45" s="334"/>
      <c r="B45" s="354">
        <v>2319</v>
      </c>
      <c r="C45" s="328" t="s">
        <v>757</v>
      </c>
      <c r="D45" s="328" t="s">
        <v>1026</v>
      </c>
      <c r="E45" s="382" t="s">
        <v>853</v>
      </c>
      <c r="F45" s="330">
        <v>2</v>
      </c>
      <c r="G45" s="331">
        <v>1623.94</v>
      </c>
      <c r="H45" s="332">
        <v>0</v>
      </c>
      <c r="I45" s="331">
        <v>1623.94</v>
      </c>
      <c r="J45" s="389">
        <v>1623.94</v>
      </c>
      <c r="K45" s="333">
        <f t="shared" si="0"/>
        <v>0</v>
      </c>
      <c r="L45" s="329"/>
    </row>
    <row r="46" spans="1:20">
      <c r="A46" s="334"/>
      <c r="B46" s="354">
        <v>1300</v>
      </c>
      <c r="C46" s="328" t="s">
        <v>757</v>
      </c>
      <c r="D46" s="328" t="s">
        <v>1037</v>
      </c>
      <c r="E46" s="382" t="s">
        <v>854</v>
      </c>
      <c r="F46" s="330">
        <v>1</v>
      </c>
      <c r="G46" s="331">
        <v>1783.23</v>
      </c>
      <c r="H46" s="332">
        <v>0</v>
      </c>
      <c r="I46" s="331">
        <v>1783.23</v>
      </c>
      <c r="J46" s="389">
        <v>1783.23</v>
      </c>
      <c r="K46" s="333">
        <f t="shared" si="0"/>
        <v>0</v>
      </c>
      <c r="L46" s="329"/>
    </row>
    <row r="47" spans="1:20">
      <c r="A47" s="334">
        <v>30</v>
      </c>
      <c r="B47" s="354">
        <v>2062</v>
      </c>
      <c r="C47" s="328" t="s">
        <v>757</v>
      </c>
      <c r="D47" s="328" t="s">
        <v>802</v>
      </c>
      <c r="E47" s="329" t="s">
        <v>853</v>
      </c>
      <c r="F47" s="330">
        <v>2</v>
      </c>
      <c r="G47" s="331">
        <v>1633.22</v>
      </c>
      <c r="H47" s="332" t="s">
        <v>1006</v>
      </c>
      <c r="I47" s="331">
        <v>1633.22</v>
      </c>
      <c r="J47" s="389">
        <v>1633.22</v>
      </c>
      <c r="K47" s="333">
        <f t="shared" si="0"/>
        <v>0</v>
      </c>
      <c r="L47" s="329"/>
    </row>
    <row r="48" spans="1:20">
      <c r="A48" s="334"/>
      <c r="B48" s="354">
        <v>2323</v>
      </c>
      <c r="C48" s="328" t="s">
        <v>1000</v>
      </c>
      <c r="D48" s="328" t="s">
        <v>1027</v>
      </c>
      <c r="E48" s="329" t="s">
        <v>852</v>
      </c>
      <c r="F48" s="330"/>
      <c r="G48" s="331">
        <v>582.04</v>
      </c>
      <c r="H48" s="332">
        <v>0</v>
      </c>
      <c r="I48" s="331">
        <v>582.04</v>
      </c>
      <c r="J48" s="389">
        <v>582.04</v>
      </c>
      <c r="K48" s="333">
        <f t="shared" si="0"/>
        <v>0</v>
      </c>
      <c r="L48" s="161"/>
    </row>
    <row r="49" spans="1:12">
      <c r="A49" s="334"/>
      <c r="B49" s="354">
        <v>2313</v>
      </c>
      <c r="C49" s="328" t="s">
        <v>1000</v>
      </c>
      <c r="D49" s="328" t="s">
        <v>1001</v>
      </c>
      <c r="E49" s="329" t="s">
        <v>853</v>
      </c>
      <c r="F49" s="330">
        <v>2</v>
      </c>
      <c r="G49" s="331">
        <v>1907.43</v>
      </c>
      <c r="H49" s="332" t="s">
        <v>1006</v>
      </c>
      <c r="I49" s="331">
        <v>1907.43</v>
      </c>
      <c r="J49" s="389">
        <v>1907.43</v>
      </c>
      <c r="K49" s="333">
        <f t="shared" si="0"/>
        <v>0</v>
      </c>
      <c r="L49" s="29"/>
    </row>
    <row r="50" spans="1:12">
      <c r="A50" s="334"/>
      <c r="B50" s="354">
        <v>2019</v>
      </c>
      <c r="C50" s="328" t="s">
        <v>476</v>
      </c>
      <c r="D50" s="328" t="s">
        <v>447</v>
      </c>
      <c r="E50" s="329" t="s">
        <v>854</v>
      </c>
      <c r="F50" s="330">
        <v>1</v>
      </c>
      <c r="G50" s="331">
        <v>1267.6400000000001</v>
      </c>
      <c r="H50" s="332" t="s">
        <v>1006</v>
      </c>
      <c r="I50" s="331">
        <v>1267.6400000000001</v>
      </c>
      <c r="J50" s="389">
        <v>1267.6400000000001</v>
      </c>
      <c r="K50" s="333">
        <f t="shared" si="0"/>
        <v>0</v>
      </c>
      <c r="L50" s="380"/>
    </row>
    <row r="51" spans="1:12">
      <c r="A51" s="334">
        <v>34</v>
      </c>
      <c r="B51" s="354">
        <v>2278</v>
      </c>
      <c r="C51" s="328" t="s">
        <v>758</v>
      </c>
      <c r="D51" s="328" t="s">
        <v>805</v>
      </c>
      <c r="E51" s="329" t="s">
        <v>852</v>
      </c>
      <c r="F51" s="330"/>
      <c r="G51" s="331">
        <v>657.99</v>
      </c>
      <c r="H51" s="332" t="s">
        <v>1006</v>
      </c>
      <c r="I51" s="331">
        <v>657.99</v>
      </c>
      <c r="J51" s="389">
        <v>657.99</v>
      </c>
      <c r="K51" s="333">
        <f t="shared" si="0"/>
        <v>0</v>
      </c>
      <c r="L51" s="161"/>
    </row>
    <row r="52" spans="1:12">
      <c r="A52" s="334">
        <v>35</v>
      </c>
      <c r="B52" s="354">
        <v>2172</v>
      </c>
      <c r="C52" s="328" t="s">
        <v>478</v>
      </c>
      <c r="D52" s="328" t="s">
        <v>448</v>
      </c>
      <c r="E52" s="329" t="s">
        <v>852</v>
      </c>
      <c r="F52" s="330"/>
      <c r="G52" s="331">
        <v>1739.16</v>
      </c>
      <c r="H52" s="332" t="s">
        <v>1006</v>
      </c>
      <c r="I52" s="331">
        <v>1739.16</v>
      </c>
      <c r="J52" s="399">
        <v>1739.16</v>
      </c>
      <c r="K52" s="333">
        <f t="shared" si="0"/>
        <v>0</v>
      </c>
      <c r="L52" s="161"/>
    </row>
    <row r="53" spans="1:12">
      <c r="A53" s="334">
        <v>36</v>
      </c>
      <c r="B53" s="354">
        <v>2082</v>
      </c>
      <c r="C53" s="328" t="s">
        <v>759</v>
      </c>
      <c r="D53" s="338" t="s">
        <v>806</v>
      </c>
      <c r="E53" s="329" t="s">
        <v>852</v>
      </c>
      <c r="F53" s="330"/>
      <c r="G53" s="331">
        <v>713.06</v>
      </c>
      <c r="H53" s="332" t="s">
        <v>1006</v>
      </c>
      <c r="I53" s="331">
        <v>713.06</v>
      </c>
      <c r="J53" s="333">
        <v>713.06</v>
      </c>
      <c r="K53" s="333">
        <f t="shared" si="0"/>
        <v>0</v>
      </c>
      <c r="L53" s="329"/>
    </row>
    <row r="54" spans="1:12">
      <c r="A54" s="334">
        <v>37</v>
      </c>
      <c r="B54" s="354">
        <v>2119</v>
      </c>
      <c r="C54" s="328" t="s">
        <v>760</v>
      </c>
      <c r="D54" s="328" t="s">
        <v>807</v>
      </c>
      <c r="E54" s="329" t="s">
        <v>852</v>
      </c>
      <c r="F54" s="330"/>
      <c r="G54" s="331">
        <v>630.16</v>
      </c>
      <c r="H54" s="332" t="s">
        <v>1006</v>
      </c>
      <c r="I54" s="331">
        <v>630.16</v>
      </c>
      <c r="J54" s="389">
        <v>630.16</v>
      </c>
      <c r="K54" s="333">
        <f t="shared" si="0"/>
        <v>0</v>
      </c>
      <c r="L54" s="329"/>
    </row>
    <row r="55" spans="1:12">
      <c r="A55" s="334">
        <v>38</v>
      </c>
      <c r="B55" s="354">
        <v>2273</v>
      </c>
      <c r="C55" s="328" t="s">
        <v>761</v>
      </c>
      <c r="D55" s="328" t="s">
        <v>808</v>
      </c>
      <c r="E55" s="329" t="s">
        <v>852</v>
      </c>
      <c r="F55" s="330"/>
      <c r="G55" s="331">
        <v>657.99</v>
      </c>
      <c r="H55" s="332" t="s">
        <v>1006</v>
      </c>
      <c r="I55" s="331">
        <v>657.99</v>
      </c>
      <c r="J55" s="389">
        <v>657.99</v>
      </c>
      <c r="K55" s="333">
        <f t="shared" si="0"/>
        <v>0</v>
      </c>
      <c r="L55" s="329"/>
    </row>
    <row r="56" spans="1:12">
      <c r="A56" s="334">
        <v>40</v>
      </c>
      <c r="B56" s="354">
        <v>1975</v>
      </c>
      <c r="C56" s="328" t="s">
        <v>762</v>
      </c>
      <c r="D56" s="328" t="s">
        <v>810</v>
      </c>
      <c r="E56" s="329" t="s">
        <v>854</v>
      </c>
      <c r="F56" s="330">
        <v>1</v>
      </c>
      <c r="G56" s="331">
        <v>1189.3699999999999</v>
      </c>
      <c r="H56" s="332" t="s">
        <v>1006</v>
      </c>
      <c r="I56" s="331">
        <v>1189.3699999999999</v>
      </c>
      <c r="J56" s="389">
        <v>1189.3699999999999</v>
      </c>
      <c r="K56" s="333">
        <f t="shared" si="0"/>
        <v>0</v>
      </c>
      <c r="L56" s="329"/>
    </row>
    <row r="57" spans="1:12">
      <c r="A57" s="334">
        <v>42</v>
      </c>
      <c r="B57" s="354">
        <v>2235</v>
      </c>
      <c r="C57" s="328" t="s">
        <v>764</v>
      </c>
      <c r="D57" s="328" t="s">
        <v>812</v>
      </c>
      <c r="E57" s="329" t="s">
        <v>854</v>
      </c>
      <c r="F57" s="330">
        <v>1</v>
      </c>
      <c r="G57" s="331">
        <v>1501.26</v>
      </c>
      <c r="H57" s="332" t="s">
        <v>1006</v>
      </c>
      <c r="I57" s="331">
        <v>1501.26</v>
      </c>
      <c r="J57" s="389">
        <v>1501.26</v>
      </c>
      <c r="K57" s="333">
        <f t="shared" si="0"/>
        <v>0</v>
      </c>
      <c r="L57" s="329"/>
    </row>
    <row r="58" spans="1:12">
      <c r="A58" s="334">
        <v>43</v>
      </c>
      <c r="B58" s="354">
        <v>2245</v>
      </c>
      <c r="C58" s="328" t="s">
        <v>765</v>
      </c>
      <c r="D58" s="328" t="s">
        <v>813</v>
      </c>
      <c r="E58" s="329" t="s">
        <v>854</v>
      </c>
      <c r="F58" s="330">
        <v>1</v>
      </c>
      <c r="G58" s="331">
        <v>1789.97</v>
      </c>
      <c r="H58" s="332" t="s">
        <v>1006</v>
      </c>
      <c r="I58" s="331">
        <v>1789.97</v>
      </c>
      <c r="J58" s="389">
        <v>1789.97</v>
      </c>
      <c r="K58" s="333">
        <f t="shared" si="0"/>
        <v>0</v>
      </c>
      <c r="L58" s="329"/>
    </row>
    <row r="59" spans="1:12">
      <c r="A59" s="334">
        <v>44</v>
      </c>
      <c r="B59" s="354">
        <v>2001</v>
      </c>
      <c r="C59" s="328" t="s">
        <v>766</v>
      </c>
      <c r="D59" s="338" t="s">
        <v>814</v>
      </c>
      <c r="E59" s="329" t="s">
        <v>852</v>
      </c>
      <c r="F59" s="330"/>
      <c r="G59" s="331">
        <v>1477.14</v>
      </c>
      <c r="H59" s="332" t="s">
        <v>1006</v>
      </c>
      <c r="I59" s="331">
        <v>1477.14</v>
      </c>
      <c r="J59" s="389">
        <v>1477.14</v>
      </c>
      <c r="K59" s="333">
        <f t="shared" si="0"/>
        <v>0</v>
      </c>
      <c r="L59" s="329"/>
    </row>
    <row r="60" spans="1:12">
      <c r="A60" s="334">
        <v>45</v>
      </c>
      <c r="B60" s="354">
        <v>2160</v>
      </c>
      <c r="C60" s="328" t="s">
        <v>767</v>
      </c>
      <c r="D60" s="338" t="s">
        <v>815</v>
      </c>
      <c r="E60" s="329" t="s">
        <v>854</v>
      </c>
      <c r="F60" s="330">
        <v>1</v>
      </c>
      <c r="G60" s="331"/>
      <c r="H60" s="332" t="s">
        <v>1006</v>
      </c>
      <c r="I60" s="331"/>
      <c r="J60" s="389">
        <v>2091.06</v>
      </c>
      <c r="K60" s="333">
        <f t="shared" si="0"/>
        <v>-2091.06</v>
      </c>
      <c r="L60" s="329" t="s">
        <v>1104</v>
      </c>
    </row>
    <row r="61" spans="1:12">
      <c r="A61" s="334">
        <v>47</v>
      </c>
      <c r="B61" s="354">
        <v>2279</v>
      </c>
      <c r="C61" s="328" t="s">
        <v>769</v>
      </c>
      <c r="D61" s="328" t="s">
        <v>843</v>
      </c>
      <c r="E61" s="329" t="s">
        <v>852</v>
      </c>
      <c r="F61" s="330"/>
      <c r="G61" s="331">
        <v>607.54999999999995</v>
      </c>
      <c r="H61" s="332" t="s">
        <v>1006</v>
      </c>
      <c r="I61" s="331">
        <v>607.54999999999995</v>
      </c>
      <c r="J61" s="389">
        <v>607.54999999999995</v>
      </c>
      <c r="K61" s="333">
        <f t="shared" si="0"/>
        <v>0</v>
      </c>
      <c r="L61" s="161"/>
    </row>
    <row r="62" spans="1:12">
      <c r="A62" s="334">
        <v>48</v>
      </c>
      <c r="B62" s="354">
        <v>2246</v>
      </c>
      <c r="C62" s="328" t="s">
        <v>769</v>
      </c>
      <c r="D62" s="338" t="s">
        <v>817</v>
      </c>
      <c r="E62" s="329" t="s">
        <v>852</v>
      </c>
      <c r="F62" s="330"/>
      <c r="G62" s="331">
        <v>703.79</v>
      </c>
      <c r="H62" s="332" t="s">
        <v>1006</v>
      </c>
      <c r="I62" s="331">
        <v>703.79</v>
      </c>
      <c r="J62" s="389">
        <v>703.79</v>
      </c>
      <c r="K62" s="333">
        <f t="shared" si="0"/>
        <v>0</v>
      </c>
      <c r="L62" s="188"/>
    </row>
    <row r="63" spans="1:12">
      <c r="A63" s="334">
        <v>49</v>
      </c>
      <c r="B63" s="354">
        <v>2018</v>
      </c>
      <c r="C63" s="328" t="s">
        <v>770</v>
      </c>
      <c r="D63" s="328" t="s">
        <v>818</v>
      </c>
      <c r="E63" s="329" t="s">
        <v>852</v>
      </c>
      <c r="F63" s="330"/>
      <c r="G63" s="331">
        <v>1739.16</v>
      </c>
      <c r="H63" s="332" t="s">
        <v>1006</v>
      </c>
      <c r="I63" s="331">
        <v>1739.16</v>
      </c>
      <c r="J63" s="389">
        <v>1739.16</v>
      </c>
      <c r="K63" s="333">
        <f t="shared" si="0"/>
        <v>0</v>
      </c>
      <c r="L63" s="161"/>
    </row>
    <row r="64" spans="1:12">
      <c r="A64" s="334"/>
      <c r="B64" s="354">
        <v>2329</v>
      </c>
      <c r="C64" s="328" t="s">
        <v>1070</v>
      </c>
      <c r="D64" s="328" t="s">
        <v>1071</v>
      </c>
      <c r="E64" s="329" t="s">
        <v>854</v>
      </c>
      <c r="F64" s="330">
        <v>1</v>
      </c>
      <c r="G64" s="331">
        <v>579.72</v>
      </c>
      <c r="H64" s="332">
        <v>0</v>
      </c>
      <c r="I64" s="331">
        <v>579.72</v>
      </c>
      <c r="J64" s="389">
        <v>579.72</v>
      </c>
      <c r="K64" s="333">
        <f t="shared" si="0"/>
        <v>0</v>
      </c>
      <c r="L64" s="329"/>
    </row>
    <row r="65" spans="1:12">
      <c r="A65" s="334">
        <v>50</v>
      </c>
      <c r="B65" s="354">
        <v>1692</v>
      </c>
      <c r="C65" s="328" t="s">
        <v>771</v>
      </c>
      <c r="D65" s="338" t="s">
        <v>819</v>
      </c>
      <c r="E65" s="329" t="s">
        <v>852</v>
      </c>
      <c r="F65" s="330"/>
      <c r="G65" s="331">
        <v>2088.7399999999998</v>
      </c>
      <c r="H65" s="332" t="s">
        <v>1006</v>
      </c>
      <c r="I65" s="331">
        <v>2088.7399999999998</v>
      </c>
      <c r="J65" s="333">
        <v>1509.02</v>
      </c>
      <c r="K65" s="333">
        <f t="shared" si="0"/>
        <v>579.7199999999998</v>
      </c>
      <c r="L65" s="329" t="s">
        <v>1107</v>
      </c>
    </row>
    <row r="66" spans="1:12">
      <c r="A66" s="334"/>
      <c r="B66" s="354">
        <v>2027</v>
      </c>
      <c r="C66" s="328" t="s">
        <v>771</v>
      </c>
      <c r="D66" s="338" t="s">
        <v>982</v>
      </c>
      <c r="E66" s="329" t="s">
        <v>852</v>
      </c>
      <c r="F66" s="330"/>
      <c r="G66" s="331">
        <v>713.06</v>
      </c>
      <c r="H66" s="332" t="s">
        <v>1006</v>
      </c>
      <c r="I66" s="331">
        <v>713.06</v>
      </c>
      <c r="J66" s="389">
        <v>713.06</v>
      </c>
      <c r="K66" s="333">
        <f t="shared" si="0"/>
        <v>0</v>
      </c>
      <c r="L66" s="329"/>
    </row>
    <row r="67" spans="1:12">
      <c r="A67" s="334">
        <v>52</v>
      </c>
      <c r="B67" s="354">
        <v>2060</v>
      </c>
      <c r="C67" s="328" t="s">
        <v>487</v>
      </c>
      <c r="D67" s="328" t="s">
        <v>516</v>
      </c>
      <c r="E67" s="329" t="s">
        <v>852</v>
      </c>
      <c r="F67" s="330"/>
      <c r="G67" s="331">
        <v>1182.6400000000001</v>
      </c>
      <c r="H67" s="332" t="s">
        <v>1006</v>
      </c>
      <c r="I67" s="331">
        <v>1182.6400000000001</v>
      </c>
      <c r="J67" s="389">
        <v>1182.6400000000001</v>
      </c>
      <c r="K67" s="333">
        <f t="shared" si="0"/>
        <v>0</v>
      </c>
      <c r="L67" s="329"/>
    </row>
    <row r="68" spans="1:12">
      <c r="A68" s="334"/>
      <c r="B68" s="354">
        <v>2333</v>
      </c>
      <c r="C68" s="328" t="s">
        <v>1078</v>
      </c>
      <c r="D68" s="328" t="s">
        <v>1079</v>
      </c>
      <c r="E68" s="329" t="s">
        <v>854</v>
      </c>
      <c r="F68" s="330">
        <v>1</v>
      </c>
      <c r="G68" s="331">
        <v>1166.18</v>
      </c>
      <c r="H68" s="332">
        <v>0</v>
      </c>
      <c r="I68" s="331">
        <v>1166.18</v>
      </c>
      <c r="J68" s="389">
        <v>1166.18</v>
      </c>
      <c r="K68" s="333">
        <f t="shared" si="0"/>
        <v>0</v>
      </c>
      <c r="L68" s="329"/>
    </row>
    <row r="69" spans="1:12">
      <c r="A69" s="334">
        <v>54</v>
      </c>
      <c r="B69" s="354">
        <v>1050</v>
      </c>
      <c r="C69" s="328" t="s">
        <v>773</v>
      </c>
      <c r="D69" s="328" t="s">
        <v>821</v>
      </c>
      <c r="E69" s="329" t="s">
        <v>852</v>
      </c>
      <c r="F69" s="330"/>
      <c r="G69" s="331">
        <v>1739.16</v>
      </c>
      <c r="H69" s="332" t="s">
        <v>1006</v>
      </c>
      <c r="I69" s="331">
        <v>1739.16</v>
      </c>
      <c r="J69" s="389">
        <v>1739.16</v>
      </c>
      <c r="K69" s="333">
        <f t="shared" si="0"/>
        <v>0</v>
      </c>
      <c r="L69" s="329"/>
    </row>
    <row r="70" spans="1:12">
      <c r="A70" s="334">
        <v>55</v>
      </c>
      <c r="B70" s="354">
        <v>1964</v>
      </c>
      <c r="C70" s="328" t="s">
        <v>491</v>
      </c>
      <c r="D70" s="328" t="s">
        <v>456</v>
      </c>
      <c r="E70" s="329" t="s">
        <v>852</v>
      </c>
      <c r="F70" s="330"/>
      <c r="G70" s="331">
        <v>947.85</v>
      </c>
      <c r="H70" s="332" t="s">
        <v>1006</v>
      </c>
      <c r="I70" s="331">
        <v>947.85</v>
      </c>
      <c r="J70" s="389">
        <v>947.85</v>
      </c>
      <c r="K70" s="333">
        <f t="shared" si="0"/>
        <v>0</v>
      </c>
      <c r="L70" s="329"/>
    </row>
    <row r="71" spans="1:12">
      <c r="A71" s="334">
        <v>57</v>
      </c>
      <c r="B71" s="354">
        <v>1981</v>
      </c>
      <c r="C71" s="328" t="s">
        <v>774</v>
      </c>
      <c r="D71" s="338" t="s">
        <v>822</v>
      </c>
      <c r="E71" s="329" t="s">
        <v>852</v>
      </c>
      <c r="F71" s="330"/>
      <c r="G71" s="331">
        <v>740.89</v>
      </c>
      <c r="H71" s="332" t="s">
        <v>1006</v>
      </c>
      <c r="I71" s="331">
        <v>740.89</v>
      </c>
      <c r="J71" s="389">
        <v>740.89</v>
      </c>
      <c r="K71" s="333">
        <f t="shared" si="0"/>
        <v>0</v>
      </c>
      <c r="L71" s="329"/>
    </row>
    <row r="72" spans="1:12">
      <c r="A72" s="334">
        <v>56</v>
      </c>
      <c r="B72" s="354">
        <v>1662</v>
      </c>
      <c r="C72" s="328" t="s">
        <v>774</v>
      </c>
      <c r="D72" s="328" t="s">
        <v>823</v>
      </c>
      <c r="E72" s="329" t="s">
        <v>852</v>
      </c>
      <c r="F72" s="330"/>
      <c r="G72" s="331">
        <v>989.01</v>
      </c>
      <c r="H72" s="332" t="s">
        <v>1006</v>
      </c>
      <c r="I72" s="331">
        <v>989.01</v>
      </c>
      <c r="J72" s="389">
        <v>989.01</v>
      </c>
      <c r="K72" s="333">
        <f t="shared" ref="K72:K81" si="1">I72-J72</f>
        <v>0</v>
      </c>
      <c r="L72" s="329"/>
    </row>
    <row r="73" spans="1:12">
      <c r="A73" s="334"/>
      <c r="B73" s="354">
        <v>2339</v>
      </c>
      <c r="C73" s="328" t="s">
        <v>775</v>
      </c>
      <c r="D73" s="328" t="s">
        <v>1110</v>
      </c>
      <c r="E73" s="329" t="s">
        <v>854</v>
      </c>
      <c r="F73" s="330">
        <v>1</v>
      </c>
      <c r="G73" s="331">
        <v>1568.73</v>
      </c>
      <c r="H73" s="332">
        <v>0</v>
      </c>
      <c r="I73" s="331">
        <v>1568.73</v>
      </c>
      <c r="J73" s="389"/>
      <c r="K73" s="333">
        <f t="shared" si="1"/>
        <v>1568.73</v>
      </c>
      <c r="L73" s="329" t="s">
        <v>1036</v>
      </c>
    </row>
    <row r="74" spans="1:12">
      <c r="A74" s="334">
        <v>58</v>
      </c>
      <c r="B74" s="354">
        <v>1630</v>
      </c>
      <c r="C74" s="328" t="s">
        <v>775</v>
      </c>
      <c r="D74" s="338" t="s">
        <v>824</v>
      </c>
      <c r="E74" s="329" t="s">
        <v>852</v>
      </c>
      <c r="F74" s="330"/>
      <c r="G74" s="331">
        <v>1352.5</v>
      </c>
      <c r="H74" s="332" t="s">
        <v>1006</v>
      </c>
      <c r="I74" s="331">
        <v>1352.5</v>
      </c>
      <c r="J74" s="389">
        <v>1352.5</v>
      </c>
      <c r="K74" s="333">
        <f t="shared" si="1"/>
        <v>0</v>
      </c>
      <c r="L74" s="329"/>
    </row>
    <row r="75" spans="1:12">
      <c r="A75" s="334"/>
      <c r="B75" s="354">
        <v>2337</v>
      </c>
      <c r="C75" s="328" t="s">
        <v>777</v>
      </c>
      <c r="D75" s="338" t="s">
        <v>1080</v>
      </c>
      <c r="E75" s="329" t="s">
        <v>852</v>
      </c>
      <c r="F75" s="330"/>
      <c r="G75" s="331">
        <v>685.81</v>
      </c>
      <c r="H75" s="332">
        <v>0</v>
      </c>
      <c r="I75" s="331">
        <v>685.81</v>
      </c>
      <c r="J75" s="389">
        <v>685.81</v>
      </c>
      <c r="K75" s="333">
        <f t="shared" si="1"/>
        <v>0</v>
      </c>
      <c r="L75" s="329"/>
    </row>
    <row r="76" spans="1:12">
      <c r="A76" s="334">
        <v>61</v>
      </c>
      <c r="B76" s="354">
        <v>2010</v>
      </c>
      <c r="C76" s="328" t="s">
        <v>777</v>
      </c>
      <c r="D76" s="328" t="s">
        <v>826</v>
      </c>
      <c r="E76" s="329" t="s">
        <v>852</v>
      </c>
      <c r="F76" s="330"/>
      <c r="G76" s="331">
        <v>1131.6199999999999</v>
      </c>
      <c r="H76" s="332" t="s">
        <v>1006</v>
      </c>
      <c r="I76" s="331">
        <v>1131.6199999999999</v>
      </c>
      <c r="J76" s="389">
        <v>1131.6199999999999</v>
      </c>
      <c r="K76" s="333">
        <f t="shared" si="1"/>
        <v>0</v>
      </c>
      <c r="L76" s="329"/>
    </row>
    <row r="77" spans="1:12">
      <c r="A77" s="334">
        <v>60</v>
      </c>
      <c r="B77" s="354">
        <v>2187</v>
      </c>
      <c r="C77" s="328" t="s">
        <v>777</v>
      </c>
      <c r="D77" s="328" t="s">
        <v>827</v>
      </c>
      <c r="E77" s="329" t="s">
        <v>853</v>
      </c>
      <c r="F77" s="330">
        <v>2</v>
      </c>
      <c r="G77" s="331">
        <v>2082.5100000000002</v>
      </c>
      <c r="H77" s="332" t="s">
        <v>1006</v>
      </c>
      <c r="I77" s="391">
        <v>2082.5100000000002</v>
      </c>
      <c r="J77" s="389">
        <v>2082.5100000000002</v>
      </c>
      <c r="K77" s="333">
        <f t="shared" si="1"/>
        <v>0</v>
      </c>
      <c r="L77" s="329"/>
    </row>
    <row r="78" spans="1:12">
      <c r="A78" s="334">
        <v>62</v>
      </c>
      <c r="B78" s="354">
        <v>2095</v>
      </c>
      <c r="C78" s="328" t="s">
        <v>778</v>
      </c>
      <c r="D78" s="338" t="s">
        <v>828</v>
      </c>
      <c r="E78" s="329" t="s">
        <v>852</v>
      </c>
      <c r="F78" s="330"/>
      <c r="G78" s="331"/>
      <c r="H78" s="332"/>
      <c r="I78" s="331"/>
      <c r="J78" s="389">
        <v>703.79</v>
      </c>
      <c r="K78" s="333">
        <f t="shared" si="1"/>
        <v>-703.79</v>
      </c>
      <c r="L78" s="329" t="s">
        <v>1103</v>
      </c>
    </row>
    <row r="79" spans="1:12">
      <c r="A79" s="334">
        <v>63</v>
      </c>
      <c r="B79" s="354">
        <v>2064</v>
      </c>
      <c r="C79" s="328" t="s">
        <v>778</v>
      </c>
      <c r="D79" s="338" t="s">
        <v>829</v>
      </c>
      <c r="E79" s="341" t="s">
        <v>856</v>
      </c>
      <c r="F79" s="330">
        <v>2</v>
      </c>
      <c r="G79" s="331">
        <v>1797.12</v>
      </c>
      <c r="H79" s="332">
        <v>659.88</v>
      </c>
      <c r="I79" s="332">
        <f>SUM(G79:H79)</f>
        <v>2457</v>
      </c>
      <c r="J79" s="333">
        <v>2457.0100000000002</v>
      </c>
      <c r="K79" s="333">
        <f t="shared" si="1"/>
        <v>-1.0000000000218279E-2</v>
      </c>
      <c r="L79" s="329"/>
    </row>
    <row r="80" spans="1:12">
      <c r="A80" s="334"/>
      <c r="B80" s="354">
        <v>2335</v>
      </c>
      <c r="C80" s="328" t="s">
        <v>870</v>
      </c>
      <c r="D80" s="338" t="s">
        <v>1081</v>
      </c>
      <c r="E80" s="382" t="s">
        <v>852</v>
      </c>
      <c r="F80" s="330"/>
      <c r="G80" s="331">
        <v>607.54999999999995</v>
      </c>
      <c r="H80" s="332">
        <v>0</v>
      </c>
      <c r="I80" s="331">
        <v>607.54999999999995</v>
      </c>
      <c r="J80" s="389">
        <v>607.54999999999995</v>
      </c>
      <c r="K80" s="333">
        <v>0</v>
      </c>
      <c r="L80" s="329"/>
    </row>
    <row r="81" spans="1:20">
      <c r="A81" s="334"/>
      <c r="B81" s="354">
        <v>2089</v>
      </c>
      <c r="C81" s="328" t="s">
        <v>870</v>
      </c>
      <c r="D81" s="338" t="s">
        <v>1007</v>
      </c>
      <c r="E81" s="329" t="s">
        <v>854</v>
      </c>
      <c r="F81" s="330">
        <v>1</v>
      </c>
      <c r="G81" s="331">
        <v>1161.55</v>
      </c>
      <c r="H81" s="332" t="s">
        <v>1006</v>
      </c>
      <c r="I81" s="331">
        <v>1161.55</v>
      </c>
      <c r="J81" s="389">
        <v>703.79</v>
      </c>
      <c r="K81" s="333">
        <f t="shared" si="1"/>
        <v>457.76</v>
      </c>
      <c r="L81" s="329" t="s">
        <v>1107</v>
      </c>
    </row>
    <row r="82" spans="1:20">
      <c r="A82" s="7"/>
      <c r="B82" s="66"/>
      <c r="C82" s="29"/>
      <c r="D82" s="29"/>
      <c r="E82" s="410"/>
      <c r="F82" s="411"/>
      <c r="G82" s="412"/>
      <c r="H82" s="413">
        <f>SUM(H5:H81)</f>
        <v>2944.6000000000004</v>
      </c>
      <c r="I82" s="412"/>
      <c r="J82" s="414"/>
      <c r="K82" s="414"/>
      <c r="L82" s="385"/>
      <c r="M82" s="216"/>
      <c r="O82" s="15"/>
      <c r="P82" s="15"/>
    </row>
    <row r="83" spans="1:20">
      <c r="A83" s="7"/>
      <c r="B83" s="66"/>
      <c r="C83" s="29"/>
      <c r="D83" s="29"/>
      <c r="E83" s="410"/>
      <c r="F83" s="411"/>
      <c r="G83" s="412"/>
      <c r="H83" s="413"/>
      <c r="I83" s="412"/>
      <c r="J83" s="414"/>
      <c r="K83" s="414"/>
      <c r="L83" s="385"/>
      <c r="M83" s="216"/>
      <c r="O83" s="15"/>
      <c r="P83" s="15"/>
    </row>
    <row r="84" spans="1:20">
      <c r="A84" s="7"/>
      <c r="B84" s="66"/>
      <c r="C84" s="29"/>
      <c r="D84" s="29"/>
      <c r="E84" s="410"/>
      <c r="F84" s="411"/>
      <c r="G84" s="412"/>
      <c r="H84" s="413"/>
      <c r="I84" s="412"/>
      <c r="J84" s="414"/>
      <c r="K84" s="414"/>
      <c r="L84" s="385"/>
      <c r="M84" s="216"/>
      <c r="O84" s="15"/>
      <c r="P84" s="15"/>
    </row>
    <row r="85" spans="1:20">
      <c r="A85" s="7"/>
      <c r="B85" s="354">
        <v>2288</v>
      </c>
      <c r="C85" s="328" t="s">
        <v>772</v>
      </c>
      <c r="D85" s="338" t="s">
        <v>820</v>
      </c>
      <c r="E85" s="329" t="s">
        <v>852</v>
      </c>
      <c r="F85" s="330"/>
      <c r="G85" s="331">
        <v>588.71</v>
      </c>
      <c r="H85" s="332">
        <v>0</v>
      </c>
      <c r="I85" s="331">
        <v>588.71</v>
      </c>
      <c r="J85" s="331">
        <v>588.71</v>
      </c>
      <c r="K85" s="333">
        <f t="shared" ref="K85:K86" si="2">I85-J85</f>
        <v>0</v>
      </c>
      <c r="L85" s="196" t="s">
        <v>1112</v>
      </c>
      <c r="M85" s="216"/>
      <c r="O85" s="15"/>
      <c r="P85" s="15"/>
    </row>
    <row r="86" spans="1:20">
      <c r="A86" s="7"/>
      <c r="B86" s="354">
        <v>2288</v>
      </c>
      <c r="C86" s="328" t="s">
        <v>772</v>
      </c>
      <c r="D86" s="338" t="s">
        <v>820</v>
      </c>
      <c r="E86" s="329" t="s">
        <v>852</v>
      </c>
      <c r="F86" s="330"/>
      <c r="G86" s="331">
        <v>588.71</v>
      </c>
      <c r="H86" s="332">
        <v>0</v>
      </c>
      <c r="I86" s="331">
        <v>588.71</v>
      </c>
      <c r="J86" s="331">
        <v>588.71</v>
      </c>
      <c r="K86" s="333">
        <f t="shared" si="2"/>
        <v>0</v>
      </c>
      <c r="L86" s="196" t="s">
        <v>1112</v>
      </c>
      <c r="M86" s="216"/>
      <c r="O86" s="15"/>
      <c r="P86" s="15"/>
    </row>
    <row r="87" spans="1:20">
      <c r="A87" s="7"/>
      <c r="B87" s="354">
        <v>2288</v>
      </c>
      <c r="C87" s="328" t="s">
        <v>772</v>
      </c>
      <c r="D87" s="338" t="s">
        <v>820</v>
      </c>
      <c r="E87" s="329" t="s">
        <v>852</v>
      </c>
      <c r="F87" s="330"/>
      <c r="G87" s="331">
        <v>648.71</v>
      </c>
      <c r="H87" s="412"/>
      <c r="I87" s="331">
        <v>648.71</v>
      </c>
      <c r="J87" s="331">
        <v>648.71</v>
      </c>
      <c r="K87" s="333">
        <f t="shared" ref="K87" si="3">I87-J87</f>
        <v>0</v>
      </c>
      <c r="L87" s="196"/>
      <c r="M87" s="216"/>
      <c r="O87" s="15"/>
      <c r="P87" s="15"/>
    </row>
    <row r="88" spans="1:20">
      <c r="A88" s="7"/>
      <c r="B88" s="354"/>
      <c r="C88" s="328"/>
      <c r="D88" s="338"/>
      <c r="E88" s="329"/>
      <c r="F88" s="330"/>
      <c r="G88" s="331"/>
      <c r="H88" s="412"/>
      <c r="I88" s="331" t="s">
        <v>1113</v>
      </c>
      <c r="J88" s="415">
        <f>SUM(J85:J87)</f>
        <v>1826.13</v>
      </c>
      <c r="K88" s="333"/>
      <c r="L88" s="385"/>
      <c r="M88" s="216"/>
      <c r="O88" s="15"/>
      <c r="P88" s="15"/>
    </row>
    <row r="89" spans="1:20">
      <c r="A89" s="438" t="s">
        <v>652</v>
      </c>
      <c r="B89" s="439"/>
      <c r="C89" s="439"/>
      <c r="D89" s="439"/>
      <c r="E89" s="439"/>
      <c r="F89" s="439"/>
      <c r="G89" s="440"/>
      <c r="H89" s="347"/>
      <c r="I89" s="348">
        <f>SUM(I5:I81)</f>
        <v>91760.700000000026</v>
      </c>
      <c r="J89" s="383">
        <f>SUM(J5:J81)</f>
        <v>92024.47</v>
      </c>
      <c r="K89" s="383"/>
      <c r="L89" s="386"/>
    </row>
    <row r="90" spans="1:20">
      <c r="A90" s="441" t="s">
        <v>1028</v>
      </c>
      <c r="B90" s="442"/>
      <c r="C90" s="443"/>
      <c r="D90" s="351"/>
      <c r="E90" s="352" t="s">
        <v>258</v>
      </c>
      <c r="F90" s="334">
        <v>73</v>
      </c>
      <c r="G90" s="329" t="s">
        <v>1029</v>
      </c>
      <c r="H90" s="351"/>
      <c r="I90" s="352" t="s">
        <v>258</v>
      </c>
      <c r="J90" s="343">
        <v>74</v>
      </c>
      <c r="K90" s="343"/>
      <c r="L90" s="161"/>
    </row>
    <row r="91" spans="1:20">
      <c r="A91" s="353"/>
      <c r="B91" s="352"/>
      <c r="C91" s="351"/>
      <c r="D91" s="351"/>
      <c r="E91" s="351" t="s">
        <v>930</v>
      </c>
      <c r="F91" s="330">
        <v>4</v>
      </c>
      <c r="G91" s="329"/>
      <c r="H91" s="351"/>
      <c r="I91" s="351" t="s">
        <v>930</v>
      </c>
      <c r="J91" s="343">
        <v>4</v>
      </c>
      <c r="K91" s="343"/>
      <c r="L91" s="161"/>
    </row>
    <row r="92" spans="1:20">
      <c r="A92" s="441"/>
      <c r="B92" s="442"/>
      <c r="C92" s="443"/>
      <c r="D92" s="351"/>
      <c r="E92" s="352" t="s">
        <v>931</v>
      </c>
      <c r="F92" s="355">
        <v>26</v>
      </c>
      <c r="G92" s="329"/>
      <c r="H92" s="351"/>
      <c r="I92" s="352" t="s">
        <v>931</v>
      </c>
      <c r="J92" s="343">
        <v>26</v>
      </c>
      <c r="K92" s="343"/>
      <c r="L92" s="161"/>
    </row>
    <row r="93" spans="1:20">
      <c r="A93" s="444"/>
      <c r="B93" s="445"/>
      <c r="C93" s="446"/>
      <c r="D93" s="356"/>
      <c r="E93" s="357" t="s">
        <v>246</v>
      </c>
      <c r="F93" s="358">
        <v>103</v>
      </c>
      <c r="G93" s="329"/>
      <c r="H93" s="393"/>
      <c r="I93" s="394" t="s">
        <v>246</v>
      </c>
      <c r="J93" s="395">
        <v>104</v>
      </c>
      <c r="K93" s="395"/>
      <c r="L93" s="161"/>
    </row>
    <row r="94" spans="1:20">
      <c r="A94" s="447" t="s">
        <v>830</v>
      </c>
      <c r="B94" s="448"/>
      <c r="C94" s="448"/>
      <c r="D94" s="448"/>
      <c r="E94" s="448"/>
      <c r="F94" s="448"/>
      <c r="G94" s="448"/>
      <c r="H94" s="381"/>
      <c r="I94" s="381"/>
      <c r="J94" s="396"/>
      <c r="K94" s="396"/>
      <c r="L94" s="392"/>
      <c r="N94" s="15"/>
    </row>
    <row r="95" spans="1:20">
      <c r="A95" s="334"/>
      <c r="B95" s="354">
        <v>2288</v>
      </c>
      <c r="C95" s="328" t="s">
        <v>772</v>
      </c>
      <c r="D95" s="338" t="s">
        <v>820</v>
      </c>
      <c r="E95" s="329" t="s">
        <v>852</v>
      </c>
      <c r="F95" s="330"/>
      <c r="G95" s="331">
        <v>-588.71</v>
      </c>
      <c r="H95" s="332">
        <v>0</v>
      </c>
      <c r="I95" s="331">
        <v>-588.71</v>
      </c>
      <c r="J95" s="331">
        <v>-588.71</v>
      </c>
      <c r="K95" s="333">
        <f t="shared" ref="K95" si="4">I95-J95</f>
        <v>0</v>
      </c>
      <c r="L95" s="196" t="s">
        <v>1108</v>
      </c>
      <c r="N95" s="15"/>
    </row>
    <row r="96" spans="1:20">
      <c r="A96" s="334"/>
      <c r="B96" s="354">
        <v>2288</v>
      </c>
      <c r="C96" s="328" t="s">
        <v>772</v>
      </c>
      <c r="D96" s="338" t="s">
        <v>820</v>
      </c>
      <c r="E96" s="329" t="s">
        <v>852</v>
      </c>
      <c r="F96" s="330"/>
      <c r="G96" s="331">
        <v>-588.71</v>
      </c>
      <c r="H96" s="332">
        <v>0</v>
      </c>
      <c r="I96" s="331">
        <v>-588.71</v>
      </c>
      <c r="J96" s="331">
        <v>-588.71</v>
      </c>
      <c r="K96" s="333">
        <f t="shared" ref="K96" si="5">I96-J96</f>
        <v>0</v>
      </c>
      <c r="L96" s="196" t="s">
        <v>1109</v>
      </c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28"/>
      <c r="E97" s="329"/>
      <c r="F97" s="330"/>
      <c r="G97" s="331"/>
      <c r="H97" s="332"/>
      <c r="I97" s="331"/>
      <c r="J97" s="331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38"/>
      <c r="E98" s="382"/>
      <c r="F98" s="330"/>
      <c r="G98" s="331"/>
      <c r="H98" s="332"/>
      <c r="I98" s="331"/>
      <c r="J98" s="331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38"/>
      <c r="E99" s="382"/>
      <c r="F99" s="330"/>
      <c r="G99" s="331"/>
      <c r="H99" s="332"/>
      <c r="I99" s="331"/>
      <c r="J99" s="331"/>
      <c r="K99" s="333"/>
      <c r="L99" s="196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38"/>
      <c r="E100" s="329"/>
      <c r="F100" s="330"/>
      <c r="G100" s="331"/>
      <c r="H100" s="332"/>
      <c r="I100" s="331"/>
      <c r="J100" s="389"/>
      <c r="K100" s="333"/>
      <c r="L100" s="196"/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/>
      <c r="C101" s="328"/>
      <c r="D101" s="338"/>
      <c r="E101" s="329"/>
      <c r="F101" s="330"/>
      <c r="G101" s="331"/>
      <c r="H101" s="332"/>
      <c r="I101" s="331"/>
      <c r="J101" s="389"/>
      <c r="K101" s="333"/>
      <c r="L101" s="196"/>
      <c r="M101" s="362"/>
      <c r="N101" s="363"/>
      <c r="O101" s="362"/>
      <c r="P101" s="362"/>
      <c r="Q101" s="362"/>
      <c r="R101" s="362"/>
      <c r="S101" s="362"/>
      <c r="T101" s="362"/>
    </row>
    <row r="102" spans="1:20">
      <c r="A102" s="334"/>
      <c r="B102" s="354"/>
      <c r="C102" s="328"/>
      <c r="D102" s="338"/>
      <c r="E102" s="382"/>
      <c r="F102" s="330"/>
      <c r="G102" s="331"/>
      <c r="H102" s="332"/>
      <c r="I102" s="331"/>
      <c r="J102" s="331"/>
      <c r="K102" s="333"/>
      <c r="L102" s="196"/>
      <c r="M102" s="362"/>
      <c r="N102" s="363"/>
      <c r="O102" s="362"/>
      <c r="P102" s="362"/>
      <c r="Q102" s="362"/>
      <c r="R102" s="362"/>
      <c r="S102" s="362"/>
      <c r="T102" s="362"/>
    </row>
    <row r="103" spans="1:20">
      <c r="A103" s="334"/>
      <c r="B103" s="354"/>
      <c r="C103" s="328"/>
      <c r="D103" s="338"/>
      <c r="E103" s="382"/>
      <c r="F103" s="330"/>
      <c r="G103" s="331"/>
      <c r="H103" s="332"/>
      <c r="I103" s="331"/>
      <c r="J103" s="331"/>
      <c r="K103" s="333"/>
      <c r="L103" s="196"/>
      <c r="M103" s="362"/>
      <c r="N103" s="363"/>
      <c r="O103" s="362"/>
      <c r="P103" s="362"/>
      <c r="Q103" s="362"/>
      <c r="R103" s="362"/>
      <c r="S103" s="362"/>
      <c r="T103" s="362"/>
    </row>
    <row r="104" spans="1:20">
      <c r="A104" s="334"/>
      <c r="B104" s="354"/>
      <c r="C104" s="328"/>
      <c r="D104" s="338"/>
      <c r="E104" s="382"/>
      <c r="F104" s="330"/>
      <c r="G104" s="331"/>
      <c r="H104" s="332"/>
      <c r="I104" s="331"/>
      <c r="J104" s="331"/>
      <c r="K104" s="333"/>
      <c r="L104" s="196"/>
      <c r="M104" s="362"/>
      <c r="N104" s="363"/>
      <c r="O104" s="362"/>
      <c r="P104" s="362"/>
      <c r="Q104" s="362"/>
      <c r="R104" s="362"/>
      <c r="S104" s="362"/>
      <c r="T104" s="362"/>
    </row>
    <row r="105" spans="1:20">
      <c r="A105" s="334"/>
      <c r="B105" s="354"/>
      <c r="C105" s="328"/>
      <c r="D105" s="338"/>
      <c r="E105" s="382"/>
      <c r="F105" s="330"/>
      <c r="G105" s="331"/>
      <c r="H105" s="332"/>
      <c r="I105" s="331"/>
      <c r="J105" s="331"/>
      <c r="K105" s="333"/>
      <c r="L105" s="196"/>
      <c r="M105" s="362"/>
      <c r="N105" s="363"/>
      <c r="O105" s="362"/>
      <c r="P105" s="362"/>
      <c r="Q105" s="362"/>
      <c r="R105" s="362"/>
      <c r="S105" s="362"/>
      <c r="T105" s="362"/>
    </row>
    <row r="106" spans="1:20">
      <c r="A106" s="334"/>
      <c r="B106" s="354"/>
      <c r="C106" s="328"/>
      <c r="D106" s="328"/>
      <c r="E106" s="329"/>
      <c r="F106" s="330"/>
      <c r="G106" s="331"/>
      <c r="H106" s="332"/>
      <c r="I106" s="332"/>
      <c r="J106" s="333"/>
      <c r="K106" s="333"/>
      <c r="L106" s="161"/>
      <c r="N106" s="15"/>
    </row>
    <row r="107" spans="1:20">
      <c r="A107" s="438" t="s">
        <v>846</v>
      </c>
      <c r="B107" s="439"/>
      <c r="C107" s="439"/>
      <c r="D107" s="439"/>
      <c r="E107" s="439"/>
      <c r="F107" s="439"/>
      <c r="G107" s="440"/>
      <c r="H107" s="348">
        <f>SUM(H95:H98)</f>
        <v>0</v>
      </c>
      <c r="I107" s="347"/>
      <c r="J107" s="348">
        <f>SUM(J95:J106)</f>
        <v>-1177.42</v>
      </c>
      <c r="K107" s="406"/>
      <c r="L107" s="402"/>
    </row>
    <row r="108" spans="1:20">
      <c r="A108" s="365"/>
      <c r="B108" s="366"/>
      <c r="C108" s="366"/>
      <c r="D108" s="366"/>
      <c r="E108" s="366"/>
      <c r="F108" s="367"/>
      <c r="G108" s="368"/>
      <c r="H108" s="368"/>
      <c r="I108" s="368"/>
      <c r="J108" s="349"/>
      <c r="K108" s="383"/>
      <c r="L108" s="364"/>
    </row>
    <row r="109" spans="1:20" ht="16">
      <c r="A109" s="435" t="s">
        <v>881</v>
      </c>
      <c r="B109" s="436"/>
      <c r="C109" s="436"/>
      <c r="D109" s="436"/>
      <c r="E109" s="436"/>
      <c r="F109" s="436"/>
      <c r="G109" s="437"/>
      <c r="H109" s="369"/>
      <c r="I109" s="369"/>
      <c r="J109" s="370">
        <f>SUM(J89,J107,J88)</f>
        <v>92673.180000000008</v>
      </c>
      <c r="K109" s="407"/>
      <c r="L109" s="350"/>
    </row>
    <row r="110" spans="1:20" ht="18">
      <c r="F110" s="3"/>
      <c r="G110" s="371" t="s">
        <v>1013</v>
      </c>
      <c r="H110" s="372">
        <v>45642</v>
      </c>
    </row>
    <row r="111" spans="1:20" ht="18">
      <c r="F111" s="3"/>
      <c r="G111" s="371" t="s">
        <v>1014</v>
      </c>
      <c r="H111" s="373" t="s">
        <v>990</v>
      </c>
      <c r="I111" s="373"/>
    </row>
    <row r="112" spans="1:20">
      <c r="F112" s="3"/>
      <c r="G112" s="216"/>
      <c r="H112" s="216"/>
      <c r="I112" s="216"/>
      <c r="J112" s="3"/>
      <c r="K112" s="3"/>
      <c r="L112" s="15"/>
      <c r="M112" s="216"/>
    </row>
    <row r="113" spans="6:20">
      <c r="F113" s="3"/>
      <c r="G113" s="216"/>
      <c r="H113" s="269"/>
      <c r="I113" s="216"/>
      <c r="J113" s="270"/>
      <c r="K113" s="270"/>
      <c r="L113" s="15"/>
      <c r="M113" s="216"/>
    </row>
    <row r="114" spans="6:20">
      <c r="F114" s="3"/>
      <c r="G114" s="216"/>
      <c r="H114" s="269"/>
      <c r="I114" s="216"/>
      <c r="J114" s="270"/>
      <c r="K114" s="270"/>
      <c r="L114" s="15"/>
      <c r="M114" s="216"/>
    </row>
    <row r="115" spans="6:20">
      <c r="F115" s="3"/>
      <c r="G115" s="216"/>
      <c r="H115" s="388">
        <f>SUM(H82,H107)</f>
        <v>2944.6000000000004</v>
      </c>
      <c r="I115" s="269">
        <f>J109-H115</f>
        <v>89728.58</v>
      </c>
      <c r="J115" s="270">
        <f>SUM(J85:J87)</f>
        <v>1826.13</v>
      </c>
      <c r="K115" s="3"/>
      <c r="L115" s="15"/>
      <c r="M115" s="216"/>
    </row>
    <row r="116" spans="6:20">
      <c r="F116" s="3"/>
      <c r="G116" s="216"/>
      <c r="H116" s="216"/>
      <c r="I116" s="216"/>
      <c r="J116" s="3"/>
      <c r="K116" s="3"/>
      <c r="L116" s="15"/>
      <c r="M116" s="216"/>
      <c r="Q116" s="3"/>
      <c r="R116" s="3"/>
      <c r="S116" s="3"/>
      <c r="T116" s="3"/>
    </row>
  </sheetData>
  <mergeCells count="7">
    <mergeCell ref="A109:G109"/>
    <mergeCell ref="A89:G89"/>
    <mergeCell ref="A90:C90"/>
    <mergeCell ref="A92:C92"/>
    <mergeCell ref="A93:C93"/>
    <mergeCell ref="A94:G94"/>
    <mergeCell ref="A107:G107"/>
  </mergeCells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3388-3D9C-FF43-8661-8B12AD8A3D7B}">
  <dimension ref="A1:T109"/>
  <sheetViews>
    <sheetView topLeftCell="A81" zoomScale="160" zoomScaleNormal="160" workbookViewId="0">
      <selection sqref="A1:XFD1048576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45566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70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/>
      <c r="B11" s="354">
        <v>2331</v>
      </c>
      <c r="C11" s="328" t="s">
        <v>1073</v>
      </c>
      <c r="D11" s="328" t="s">
        <v>1074</v>
      </c>
      <c r="E11" s="329" t="s">
        <v>854</v>
      </c>
      <c r="F11" s="330">
        <v>1</v>
      </c>
      <c r="G11" s="331">
        <v>1077.42</v>
      </c>
      <c r="H11" s="332">
        <v>0</v>
      </c>
      <c r="I11" s="331">
        <v>1077.42</v>
      </c>
      <c r="J11" s="389">
        <v>1077.42</v>
      </c>
      <c r="K11" s="333">
        <f t="shared" si="0"/>
        <v>0</v>
      </c>
      <c r="L11" s="329"/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1469.89</v>
      </c>
      <c r="H12" s="332" t="s">
        <v>1006</v>
      </c>
      <c r="I12" s="331">
        <v>1469.89</v>
      </c>
      <c r="J12" s="389">
        <v>1469.89</v>
      </c>
      <c r="K12" s="333">
        <f t="shared" si="0"/>
        <v>0</v>
      </c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648.83000000000004</v>
      </c>
      <c r="H13" s="332" t="s">
        <v>1006</v>
      </c>
      <c r="I13" s="331">
        <v>648.83000000000004</v>
      </c>
      <c r="J13" s="389">
        <v>648.83000000000004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885.51</v>
      </c>
      <c r="H14" s="332" t="s">
        <v>1006</v>
      </c>
      <c r="I14" s="331">
        <v>885.51</v>
      </c>
      <c r="J14" s="389">
        <v>885.51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683.49</v>
      </c>
      <c r="H15" s="332" t="s">
        <v>1006</v>
      </c>
      <c r="I15" s="331">
        <v>683.49</v>
      </c>
      <c r="J15" s="389">
        <v>683.49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666.16</v>
      </c>
      <c r="H16" s="332" t="s">
        <v>1006</v>
      </c>
      <c r="I16" s="331">
        <v>666.16</v>
      </c>
      <c r="J16" s="389">
        <v>666.16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1262.08</v>
      </c>
      <c r="H17" s="332">
        <v>542.16</v>
      </c>
      <c r="I17" s="332">
        <v>1804.24</v>
      </c>
      <c r="J17" s="333">
        <v>1804.24</v>
      </c>
      <c r="K17" s="333">
        <f t="shared" si="0"/>
        <v>0</v>
      </c>
      <c r="L17" s="329"/>
    </row>
    <row r="18" spans="1:20">
      <c r="A18" s="334"/>
      <c r="B18" s="354">
        <v>2318</v>
      </c>
      <c r="C18" s="328" t="s">
        <v>1018</v>
      </c>
      <c r="D18" s="328" t="s">
        <v>1019</v>
      </c>
      <c r="E18" s="382" t="s">
        <v>851</v>
      </c>
      <c r="F18" s="330"/>
      <c r="G18" s="331">
        <v>790.72</v>
      </c>
      <c r="H18" s="332">
        <v>507.5</v>
      </c>
      <c r="I18" s="332">
        <f>SUM(G18:H18)</f>
        <v>1298.22</v>
      </c>
      <c r="J18" s="333">
        <v>1298.21</v>
      </c>
      <c r="K18" s="333">
        <f t="shared" si="0"/>
        <v>9.9999999999909051E-3</v>
      </c>
      <c r="L18" s="161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1521.88</v>
      </c>
      <c r="H19" s="332" t="s">
        <v>1006</v>
      </c>
      <c r="I19" s="331">
        <v>1521.88</v>
      </c>
      <c r="J19" s="389">
        <v>1521.88</v>
      </c>
      <c r="K19" s="333">
        <f t="shared" si="0"/>
        <v>0</v>
      </c>
      <c r="L19" s="161"/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692.16</v>
      </c>
      <c r="H20" s="332" t="s">
        <v>1006</v>
      </c>
      <c r="I20" s="331">
        <v>692.16</v>
      </c>
      <c r="J20" s="389">
        <v>692.16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1090.42</v>
      </c>
      <c r="H21" s="332" t="s">
        <v>1006</v>
      </c>
      <c r="I21" s="331">
        <v>1090.42</v>
      </c>
      <c r="J21" s="389">
        <v>1090.42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756.04</v>
      </c>
      <c r="H22" s="332">
        <v>417.6</v>
      </c>
      <c r="I22" s="332">
        <f>SUM(G22:H22)</f>
        <v>1173.6399999999999</v>
      </c>
      <c r="J22" s="333">
        <v>1173.6300000000001</v>
      </c>
      <c r="K22" s="333">
        <f t="shared" si="0"/>
        <v>9.9999999997635314E-3</v>
      </c>
      <c r="L22" s="188"/>
      <c r="M22" s="403" t="s">
        <v>1042</v>
      </c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1551.66</v>
      </c>
      <c r="H23" s="332" t="s">
        <v>1006</v>
      </c>
      <c r="I23" s="331">
        <v>1551.66</v>
      </c>
      <c r="J23" s="389">
        <v>1551.66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1263.54</v>
      </c>
      <c r="H24" s="332" t="s">
        <v>1006</v>
      </c>
      <c r="I24" s="331">
        <v>1263.54</v>
      </c>
      <c r="J24" s="389">
        <v>1263.54</v>
      </c>
      <c r="K24" s="333">
        <f t="shared" si="0"/>
        <v>0</v>
      </c>
      <c r="L24" s="161"/>
    </row>
    <row r="25" spans="1:20">
      <c r="A25" s="334">
        <v>17</v>
      </c>
      <c r="B25" s="354">
        <v>2194</v>
      </c>
      <c r="C25" s="328" t="s">
        <v>749</v>
      </c>
      <c r="D25" s="338" t="s">
        <v>789</v>
      </c>
      <c r="E25" s="329" t="s">
        <v>852</v>
      </c>
      <c r="F25" s="330"/>
      <c r="G25" s="331">
        <v>606.04</v>
      </c>
      <c r="H25" s="332" t="s">
        <v>1006</v>
      </c>
      <c r="I25" s="331">
        <v>606.04</v>
      </c>
      <c r="J25" s="389">
        <v>606.04</v>
      </c>
      <c r="K25" s="333">
        <f t="shared" si="0"/>
        <v>0</v>
      </c>
      <c r="L25" s="161"/>
    </row>
    <row r="26" spans="1:20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331">
        <v>1379.98</v>
      </c>
      <c r="H26" s="332" t="s">
        <v>1006</v>
      </c>
      <c r="I26" s="331">
        <v>1379.98</v>
      </c>
      <c r="J26" s="389">
        <v>1379.98</v>
      </c>
      <c r="K26" s="333">
        <f t="shared" si="0"/>
        <v>0</v>
      </c>
      <c r="L26" s="161"/>
    </row>
    <row r="27" spans="1:20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683.49</v>
      </c>
      <c r="H27" s="332" t="s">
        <v>1006</v>
      </c>
      <c r="I27" s="331">
        <v>683.49</v>
      </c>
      <c r="J27" s="389">
        <v>683.49</v>
      </c>
      <c r="K27" s="333">
        <f t="shared" si="0"/>
        <v>0</v>
      </c>
      <c r="L27" s="161"/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541.59</v>
      </c>
      <c r="H28" s="332">
        <v>0</v>
      </c>
      <c r="I28" s="332">
        <v>541.59</v>
      </c>
      <c r="J28" s="335">
        <v>541.59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1549.34</v>
      </c>
      <c r="H29" s="332" t="s">
        <v>1006</v>
      </c>
      <c r="I29" s="331">
        <v>1549.34</v>
      </c>
      <c r="J29" s="389">
        <v>1549.34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661.83</v>
      </c>
      <c r="H30" s="332" t="s">
        <v>1006</v>
      </c>
      <c r="I30" s="331">
        <v>661.83</v>
      </c>
      <c r="J30" s="389">
        <v>661.83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567.59</v>
      </c>
      <c r="H31" s="332"/>
      <c r="I31" s="331">
        <v>567.59</v>
      </c>
      <c r="J31" s="389">
        <v>567.59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1379.98</v>
      </c>
      <c r="H32" s="332" t="s">
        <v>1006</v>
      </c>
      <c r="I32" s="391">
        <v>1379.98</v>
      </c>
      <c r="J32" s="389">
        <v>1379.98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1624.77</v>
      </c>
      <c r="H33" s="332" t="s">
        <v>1006</v>
      </c>
      <c r="I33" s="331">
        <v>1624.77</v>
      </c>
      <c r="J33" s="389">
        <v>1624.77</v>
      </c>
      <c r="K33" s="333">
        <f t="shared" si="0"/>
        <v>0</v>
      </c>
      <c r="L33" s="329"/>
    </row>
    <row r="34" spans="1:20">
      <c r="A34" s="334"/>
      <c r="B34" s="354">
        <v>2320</v>
      </c>
      <c r="C34" s="328" t="s">
        <v>1043</v>
      </c>
      <c r="D34" s="328" t="s">
        <v>1044</v>
      </c>
      <c r="E34" s="329" t="s">
        <v>852</v>
      </c>
      <c r="F34" s="330"/>
      <c r="G34" s="331">
        <v>567.59</v>
      </c>
      <c r="H34" s="332"/>
      <c r="I34" s="331">
        <v>567.59</v>
      </c>
      <c r="J34" s="389">
        <v>567.59</v>
      </c>
      <c r="K34" s="333">
        <f t="shared" si="0"/>
        <v>0</v>
      </c>
      <c r="L34" s="329"/>
    </row>
    <row r="35" spans="1:20">
      <c r="A35" s="334">
        <v>24</v>
      </c>
      <c r="B35" s="376" t="s">
        <v>675</v>
      </c>
      <c r="C35" s="328" t="s">
        <v>755</v>
      </c>
      <c r="D35" s="328" t="s">
        <v>796</v>
      </c>
      <c r="E35" s="329" t="s">
        <v>852</v>
      </c>
      <c r="F35" s="330"/>
      <c r="G35" s="331">
        <v>717.61</v>
      </c>
      <c r="H35" s="332" t="s">
        <v>1006</v>
      </c>
      <c r="I35" s="332">
        <v>717.61</v>
      </c>
      <c r="J35" s="333">
        <v>717.61</v>
      </c>
      <c r="K35" s="333">
        <f t="shared" si="0"/>
        <v>0</v>
      </c>
      <c r="L35" s="329"/>
    </row>
    <row r="36" spans="1:20">
      <c r="A36" s="334">
        <v>26</v>
      </c>
      <c r="B36" s="354">
        <v>1741</v>
      </c>
      <c r="C36" s="328" t="s">
        <v>755</v>
      </c>
      <c r="D36" s="328" t="s">
        <v>797</v>
      </c>
      <c r="E36" s="329" t="s">
        <v>852</v>
      </c>
      <c r="F36" s="330"/>
      <c r="G36" s="331">
        <v>1156.3</v>
      </c>
      <c r="H36" s="332" t="s">
        <v>1006</v>
      </c>
      <c r="I36" s="331">
        <v>1156.3</v>
      </c>
      <c r="J36" s="389">
        <v>1156.3</v>
      </c>
      <c r="K36" s="333">
        <f t="shared" si="0"/>
        <v>0</v>
      </c>
      <c r="L36" s="329"/>
    </row>
    <row r="37" spans="1:20">
      <c r="A37" s="334">
        <v>25</v>
      </c>
      <c r="B37" s="354">
        <v>1757</v>
      </c>
      <c r="C37" s="328" t="s">
        <v>755</v>
      </c>
      <c r="D37" s="338" t="s">
        <v>798</v>
      </c>
      <c r="E37" s="329" t="s">
        <v>853</v>
      </c>
      <c r="F37" s="330">
        <v>2</v>
      </c>
      <c r="G37" s="331">
        <v>1956.43</v>
      </c>
      <c r="H37" s="332" t="s">
        <v>1006</v>
      </c>
      <c r="I37" s="331">
        <v>1956.43</v>
      </c>
      <c r="J37" s="389">
        <v>1956.43</v>
      </c>
      <c r="K37" s="333">
        <f t="shared" si="0"/>
        <v>0</v>
      </c>
      <c r="L37" s="329"/>
      <c r="N37" s="12"/>
      <c r="O37" s="12"/>
      <c r="P37" s="12"/>
      <c r="Q37" s="12"/>
      <c r="R37" s="12"/>
      <c r="S37" s="12"/>
      <c r="T37" s="12"/>
    </row>
    <row r="38" spans="1:20">
      <c r="A38" s="334">
        <v>27</v>
      </c>
      <c r="B38" s="354">
        <v>2057</v>
      </c>
      <c r="C38" s="328" t="s">
        <v>756</v>
      </c>
      <c r="D38" s="338" t="s">
        <v>799</v>
      </c>
      <c r="E38" s="329" t="s">
        <v>852</v>
      </c>
      <c r="F38" s="330"/>
      <c r="G38" s="331">
        <v>1624.77</v>
      </c>
      <c r="H38" s="332" t="s">
        <v>1006</v>
      </c>
      <c r="I38" s="331">
        <v>1624.77</v>
      </c>
      <c r="J38" s="389">
        <v>1624.77</v>
      </c>
      <c r="K38" s="333">
        <f t="shared" si="0"/>
        <v>0</v>
      </c>
      <c r="L38" s="329"/>
    </row>
    <row r="39" spans="1:20">
      <c r="A39" s="334">
        <v>28</v>
      </c>
      <c r="B39" s="354">
        <v>1210</v>
      </c>
      <c r="C39" s="328" t="s">
        <v>756</v>
      </c>
      <c r="D39" s="338" t="s">
        <v>800</v>
      </c>
      <c r="E39" s="329" t="s">
        <v>852</v>
      </c>
      <c r="F39" s="330"/>
      <c r="G39" s="331">
        <v>1598.79</v>
      </c>
      <c r="H39" s="332" t="s">
        <v>1006</v>
      </c>
      <c r="I39" s="331">
        <v>1598.79</v>
      </c>
      <c r="J39" s="389">
        <v>1598.79</v>
      </c>
      <c r="K39" s="333">
        <f t="shared" si="0"/>
        <v>0</v>
      </c>
      <c r="L39" s="329"/>
    </row>
    <row r="40" spans="1:20">
      <c r="A40" s="334"/>
      <c r="B40" s="354">
        <v>2310</v>
      </c>
      <c r="C40" s="328" t="s">
        <v>756</v>
      </c>
      <c r="D40" s="338" t="s">
        <v>977</v>
      </c>
      <c r="E40" s="329" t="s">
        <v>852</v>
      </c>
      <c r="F40" s="330"/>
      <c r="G40" s="331">
        <v>923.96</v>
      </c>
      <c r="H40" s="332" t="s">
        <v>1006</v>
      </c>
      <c r="I40" s="331">
        <v>923.96</v>
      </c>
      <c r="J40" s="389">
        <v>923.96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853</v>
      </c>
      <c r="F43" s="330">
        <v>2</v>
      </c>
      <c r="G43" s="331">
        <v>1514.68</v>
      </c>
      <c r="H43" s="332">
        <v>0</v>
      </c>
      <c r="I43" s="331">
        <v>1514.68</v>
      </c>
      <c r="J43" s="389">
        <v>1514.68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>
        <v>1</v>
      </c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/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853</v>
      </c>
      <c r="F45" s="330">
        <v>2</v>
      </c>
      <c r="G45" s="331">
        <v>1523.34</v>
      </c>
      <c r="H45" s="332" t="s">
        <v>1006</v>
      </c>
      <c r="I45" s="331">
        <v>1523.34</v>
      </c>
      <c r="J45" s="389">
        <v>1523.34</v>
      </c>
      <c r="K45" s="333">
        <f t="shared" si="0"/>
        <v>0</v>
      </c>
      <c r="L45" s="329"/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>
        <v>661.83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1350.93</v>
      </c>
      <c r="H55" s="332" t="s">
        <v>1006</v>
      </c>
      <c r="I55" s="331">
        <v>1350.93</v>
      </c>
      <c r="J55" s="389">
        <v>1350.93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1584.89</v>
      </c>
      <c r="H56" s="332" t="s">
        <v>1006</v>
      </c>
      <c r="I56" s="331">
        <v>1584.89</v>
      </c>
      <c r="J56" s="389">
        <v>1584.89</v>
      </c>
      <c r="K56" s="333">
        <f t="shared" si="0"/>
        <v>0</v>
      </c>
      <c r="L56" s="329"/>
    </row>
    <row r="57" spans="1:12">
      <c r="A57" s="334">
        <v>44</v>
      </c>
      <c r="B57" s="354">
        <v>2001</v>
      </c>
      <c r="C57" s="328" t="s">
        <v>766</v>
      </c>
      <c r="D57" s="338" t="s">
        <v>814</v>
      </c>
      <c r="E57" s="329" t="s">
        <v>852</v>
      </c>
      <c r="F57" s="330"/>
      <c r="G57" s="331">
        <v>1319.87</v>
      </c>
      <c r="H57" s="332" t="s">
        <v>1006</v>
      </c>
      <c r="I57" s="331">
        <v>1319.87</v>
      </c>
      <c r="J57" s="389">
        <v>1319.87</v>
      </c>
      <c r="K57" s="333">
        <f t="shared" si="0"/>
        <v>0</v>
      </c>
      <c r="L57" s="329"/>
    </row>
    <row r="58" spans="1:12">
      <c r="A58" s="334">
        <v>45</v>
      </c>
      <c r="B58" s="354">
        <v>2160</v>
      </c>
      <c r="C58" s="328" t="s">
        <v>767</v>
      </c>
      <c r="D58" s="338" t="s">
        <v>815</v>
      </c>
      <c r="E58" s="329" t="s">
        <v>854</v>
      </c>
      <c r="F58" s="330">
        <v>1</v>
      </c>
      <c r="G58" s="331">
        <v>1921.57</v>
      </c>
      <c r="H58" s="332" t="s">
        <v>1006</v>
      </c>
      <c r="I58" s="331">
        <v>1921.57</v>
      </c>
      <c r="J58" s="389">
        <v>1921.57</v>
      </c>
      <c r="K58" s="333">
        <f t="shared" si="0"/>
        <v>0</v>
      </c>
      <c r="L58" s="329"/>
    </row>
    <row r="59" spans="1:12">
      <c r="A59" s="334">
        <v>47</v>
      </c>
      <c r="B59" s="354">
        <v>2279</v>
      </c>
      <c r="C59" s="328" t="s">
        <v>769</v>
      </c>
      <c r="D59" s="328" t="s">
        <v>843</v>
      </c>
      <c r="E59" s="329" t="s">
        <v>852</v>
      </c>
      <c r="F59" s="330"/>
      <c r="G59" s="331">
        <v>554.59</v>
      </c>
      <c r="H59" s="332" t="s">
        <v>1006</v>
      </c>
      <c r="I59" s="331">
        <v>554.59</v>
      </c>
      <c r="J59" s="389">
        <v>554.59</v>
      </c>
      <c r="K59" s="333">
        <f t="shared" si="0"/>
        <v>0</v>
      </c>
      <c r="L59" s="161"/>
    </row>
    <row r="60" spans="1:12">
      <c r="A60" s="334">
        <v>48</v>
      </c>
      <c r="B60" s="354">
        <v>2246</v>
      </c>
      <c r="C60" s="328" t="s">
        <v>769</v>
      </c>
      <c r="D60" s="338" t="s">
        <v>817</v>
      </c>
      <c r="E60" s="329" t="s">
        <v>852</v>
      </c>
      <c r="F60" s="330"/>
      <c r="G60" s="331">
        <v>648.83000000000004</v>
      </c>
      <c r="H60" s="332" t="s">
        <v>1006</v>
      </c>
      <c r="I60" s="331">
        <v>648.83000000000004</v>
      </c>
      <c r="J60" s="389">
        <v>648.83000000000004</v>
      </c>
      <c r="K60" s="333">
        <f t="shared" si="0"/>
        <v>0</v>
      </c>
      <c r="L60" s="188"/>
    </row>
    <row r="61" spans="1:12">
      <c r="A61" s="334">
        <v>49</v>
      </c>
      <c r="B61" s="354">
        <v>2018</v>
      </c>
      <c r="C61" s="328" t="s">
        <v>770</v>
      </c>
      <c r="D61" s="328" t="s">
        <v>818</v>
      </c>
      <c r="E61" s="329" t="s">
        <v>852</v>
      </c>
      <c r="F61" s="330"/>
      <c r="G61" s="331">
        <v>1624.77</v>
      </c>
      <c r="H61" s="332" t="s">
        <v>1006</v>
      </c>
      <c r="I61" s="331">
        <v>1624.77</v>
      </c>
      <c r="J61" s="389">
        <v>1624.77</v>
      </c>
      <c r="K61" s="333">
        <f t="shared" si="0"/>
        <v>0</v>
      </c>
      <c r="L61" s="161"/>
    </row>
    <row r="62" spans="1:12">
      <c r="A62" s="334"/>
      <c r="B62" s="354">
        <v>2329</v>
      </c>
      <c r="C62" s="328" t="s">
        <v>1070</v>
      </c>
      <c r="D62" s="328" t="s">
        <v>1071</v>
      </c>
      <c r="E62" s="329" t="s">
        <v>852</v>
      </c>
      <c r="F62" s="330"/>
      <c r="G62" s="331">
        <v>541.59</v>
      </c>
      <c r="H62" s="332">
        <v>0</v>
      </c>
      <c r="I62" s="331">
        <v>541.59</v>
      </c>
      <c r="J62" s="331">
        <v>541.59</v>
      </c>
      <c r="K62" s="333"/>
      <c r="L62" s="329"/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1379.98</v>
      </c>
      <c r="H63" s="332" t="s">
        <v>1006</v>
      </c>
      <c r="I63" s="331">
        <v>1379.98</v>
      </c>
      <c r="J63" s="333">
        <v>1379.98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661.83</v>
      </c>
      <c r="H64" s="332" t="s">
        <v>1006</v>
      </c>
      <c r="I64" s="331">
        <v>661.83</v>
      </c>
      <c r="J64" s="389">
        <v>661.83</v>
      </c>
      <c r="K64" s="333">
        <f t="shared" si="0"/>
        <v>0</v>
      </c>
      <c r="L64" s="329"/>
    </row>
    <row r="65" spans="1:16">
      <c r="A65" s="334"/>
      <c r="B65" s="354">
        <v>2288</v>
      </c>
      <c r="C65" s="328" t="s">
        <v>772</v>
      </c>
      <c r="D65" s="338" t="s">
        <v>820</v>
      </c>
      <c r="E65" s="329" t="s">
        <v>852</v>
      </c>
      <c r="F65" s="330"/>
      <c r="G65" s="331">
        <v>588.71</v>
      </c>
      <c r="H65" s="332"/>
      <c r="I65" s="331">
        <v>588.71</v>
      </c>
      <c r="J65" s="389">
        <v>588.71</v>
      </c>
      <c r="K65" s="333">
        <f t="shared" si="0"/>
        <v>0</v>
      </c>
      <c r="L65" s="329"/>
    </row>
    <row r="66" spans="1:16">
      <c r="A66" s="334">
        <v>52</v>
      </c>
      <c r="B66" s="354">
        <v>2060</v>
      </c>
      <c r="C66" s="328" t="s">
        <v>487</v>
      </c>
      <c r="D66" s="328" t="s">
        <v>516</v>
      </c>
      <c r="E66" s="329" t="s">
        <v>852</v>
      </c>
      <c r="F66" s="330"/>
      <c r="G66" s="331">
        <v>1057.19</v>
      </c>
      <c r="H66" s="332" t="s">
        <v>1006</v>
      </c>
      <c r="I66" s="331">
        <v>1057.19</v>
      </c>
      <c r="J66" s="389">
        <v>1057.19</v>
      </c>
      <c r="K66" s="333">
        <f t="shared" si="0"/>
        <v>0</v>
      </c>
      <c r="L66" s="329"/>
    </row>
    <row r="67" spans="1:16">
      <c r="A67" s="334"/>
      <c r="B67" s="354">
        <v>2333</v>
      </c>
      <c r="C67" s="328" t="s">
        <v>1078</v>
      </c>
      <c r="D67" s="328" t="s">
        <v>1079</v>
      </c>
      <c r="E67" s="329" t="s">
        <v>854</v>
      </c>
      <c r="F67" s="330">
        <v>1</v>
      </c>
      <c r="G67" s="331">
        <v>1086.0899999999999</v>
      </c>
      <c r="H67" s="332">
        <v>0</v>
      </c>
      <c r="I67" s="331">
        <v>1086.0899999999999</v>
      </c>
      <c r="J67" s="389">
        <v>1086.0899999999999</v>
      </c>
      <c r="K67" s="333">
        <f t="shared" si="0"/>
        <v>0</v>
      </c>
      <c r="L67" s="329"/>
    </row>
    <row r="68" spans="1:16">
      <c r="A68" s="334">
        <v>54</v>
      </c>
      <c r="B68" s="354">
        <v>1050</v>
      </c>
      <c r="C68" s="328" t="s">
        <v>773</v>
      </c>
      <c r="D68" s="328" t="s">
        <v>821</v>
      </c>
      <c r="E68" s="329" t="s">
        <v>852</v>
      </c>
      <c r="F68" s="330"/>
      <c r="G68" s="331">
        <v>1624.77</v>
      </c>
      <c r="H68" s="332" t="s">
        <v>1006</v>
      </c>
      <c r="I68" s="331">
        <v>1624.77</v>
      </c>
      <c r="J68" s="389">
        <v>1624.77</v>
      </c>
      <c r="K68" s="333">
        <f t="shared" si="0"/>
        <v>0</v>
      </c>
      <c r="L68" s="329"/>
    </row>
    <row r="69" spans="1:16">
      <c r="A69" s="334">
        <v>55</v>
      </c>
      <c r="B69" s="354">
        <v>1964</v>
      </c>
      <c r="C69" s="328" t="s">
        <v>491</v>
      </c>
      <c r="D69" s="328" t="s">
        <v>456</v>
      </c>
      <c r="E69" s="329" t="s">
        <v>852</v>
      </c>
      <c r="F69" s="330"/>
      <c r="G69" s="331">
        <v>846.51</v>
      </c>
      <c r="H69" s="332" t="s">
        <v>1006</v>
      </c>
      <c r="I69" s="331">
        <v>846.51</v>
      </c>
      <c r="J69" s="389">
        <v>846.51</v>
      </c>
      <c r="K69" s="333">
        <f t="shared" si="0"/>
        <v>0</v>
      </c>
      <c r="L69" s="329"/>
    </row>
    <row r="70" spans="1:16">
      <c r="A70" s="334">
        <v>57</v>
      </c>
      <c r="B70" s="354">
        <v>1981</v>
      </c>
      <c r="C70" s="328" t="s">
        <v>774</v>
      </c>
      <c r="D70" s="338" t="s">
        <v>822</v>
      </c>
      <c r="E70" s="329" t="s">
        <v>852</v>
      </c>
      <c r="F70" s="330"/>
      <c r="G70" s="331">
        <v>683.49</v>
      </c>
      <c r="H70" s="332" t="s">
        <v>1006</v>
      </c>
      <c r="I70" s="331">
        <v>683.49</v>
      </c>
      <c r="J70" s="389">
        <v>683.49</v>
      </c>
      <c r="K70" s="333">
        <f t="shared" si="0"/>
        <v>0</v>
      </c>
      <c r="L70" s="329"/>
    </row>
    <row r="71" spans="1:16">
      <c r="A71" s="334">
        <v>56</v>
      </c>
      <c r="B71" s="354">
        <v>1662</v>
      </c>
      <c r="C71" s="328" t="s">
        <v>774</v>
      </c>
      <c r="D71" s="328" t="s">
        <v>823</v>
      </c>
      <c r="E71" s="329" t="s">
        <v>852</v>
      </c>
      <c r="F71" s="330"/>
      <c r="G71" s="331">
        <v>885.51</v>
      </c>
      <c r="H71" s="332" t="s">
        <v>1006</v>
      </c>
      <c r="I71" s="331">
        <v>885.51</v>
      </c>
      <c r="J71" s="389">
        <v>885.51</v>
      </c>
      <c r="K71" s="333">
        <f t="shared" ref="K71:K79" si="1">I71-J71</f>
        <v>0</v>
      </c>
      <c r="L71" s="329"/>
    </row>
    <row r="72" spans="1:16">
      <c r="A72" s="334">
        <v>58</v>
      </c>
      <c r="B72" s="354">
        <v>1630</v>
      </c>
      <c r="C72" s="328" t="s">
        <v>775</v>
      </c>
      <c r="D72" s="338" t="s">
        <v>824</v>
      </c>
      <c r="E72" s="329" t="s">
        <v>852</v>
      </c>
      <c r="F72" s="330"/>
      <c r="G72" s="331">
        <v>1207.76</v>
      </c>
      <c r="H72" s="332" t="s">
        <v>1006</v>
      </c>
      <c r="I72" s="331">
        <v>1207.76</v>
      </c>
      <c r="J72" s="389">
        <v>1207.76</v>
      </c>
      <c r="K72" s="333">
        <f t="shared" si="1"/>
        <v>0</v>
      </c>
      <c r="L72" s="329"/>
    </row>
    <row r="73" spans="1:16">
      <c r="A73" s="334"/>
      <c r="B73" s="354">
        <v>2337</v>
      </c>
      <c r="C73" s="328" t="s">
        <v>777</v>
      </c>
      <c r="D73" s="338" t="s">
        <v>1080</v>
      </c>
      <c r="E73" s="329" t="s">
        <v>852</v>
      </c>
      <c r="F73" s="330"/>
      <c r="G73" s="331">
        <v>627.71</v>
      </c>
      <c r="H73" s="332">
        <v>0</v>
      </c>
      <c r="I73" s="331">
        <v>627.71</v>
      </c>
      <c r="J73" s="389">
        <v>627.71</v>
      </c>
      <c r="K73" s="333">
        <f t="shared" si="1"/>
        <v>0</v>
      </c>
      <c r="L73" s="329"/>
    </row>
    <row r="74" spans="1:16">
      <c r="A74" s="334">
        <v>61</v>
      </c>
      <c r="B74" s="354">
        <v>2010</v>
      </c>
      <c r="C74" s="328" t="s">
        <v>777</v>
      </c>
      <c r="D74" s="328" t="s">
        <v>826</v>
      </c>
      <c r="E74" s="329" t="s">
        <v>852</v>
      </c>
      <c r="F74" s="330"/>
      <c r="G74" s="331">
        <v>1010.07</v>
      </c>
      <c r="H74" s="332" t="s">
        <v>1006</v>
      </c>
      <c r="I74" s="331">
        <v>1010.07</v>
      </c>
      <c r="J74" s="389">
        <v>1010.07</v>
      </c>
      <c r="K74" s="333">
        <f t="shared" si="1"/>
        <v>0</v>
      </c>
      <c r="L74" s="329"/>
    </row>
    <row r="75" spans="1:16">
      <c r="A75" s="334">
        <v>60</v>
      </c>
      <c r="B75" s="354">
        <v>2187</v>
      </c>
      <c r="C75" s="328" t="s">
        <v>777</v>
      </c>
      <c r="D75" s="328" t="s">
        <v>827</v>
      </c>
      <c r="E75" s="329" t="s">
        <v>853</v>
      </c>
      <c r="F75" s="330">
        <v>2</v>
      </c>
      <c r="G75" s="331">
        <v>1889.46</v>
      </c>
      <c r="H75" s="332" t="s">
        <v>1006</v>
      </c>
      <c r="I75" s="391">
        <v>1889.46</v>
      </c>
      <c r="J75" s="389">
        <v>1889.46</v>
      </c>
      <c r="K75" s="333">
        <f t="shared" si="1"/>
        <v>0</v>
      </c>
      <c r="L75" s="329"/>
    </row>
    <row r="76" spans="1:16">
      <c r="A76" s="334">
        <v>62</v>
      </c>
      <c r="B76" s="354">
        <v>2095</v>
      </c>
      <c r="C76" s="328" t="s">
        <v>778</v>
      </c>
      <c r="D76" s="338" t="s">
        <v>828</v>
      </c>
      <c r="E76" s="329" t="s">
        <v>852</v>
      </c>
      <c r="F76" s="330"/>
      <c r="G76" s="331">
        <v>648.83000000000004</v>
      </c>
      <c r="H76" s="332" t="s">
        <v>1006</v>
      </c>
      <c r="I76" s="331">
        <v>648.83000000000004</v>
      </c>
      <c r="J76" s="389">
        <v>648.83000000000004</v>
      </c>
      <c r="K76" s="333">
        <f t="shared" si="1"/>
        <v>0</v>
      </c>
      <c r="L76" s="329"/>
    </row>
    <row r="77" spans="1:16">
      <c r="A77" s="334">
        <v>63</v>
      </c>
      <c r="B77" s="354">
        <v>2064</v>
      </c>
      <c r="C77" s="328" t="s">
        <v>778</v>
      </c>
      <c r="D77" s="338" t="s">
        <v>829</v>
      </c>
      <c r="E77" s="341" t="s">
        <v>856</v>
      </c>
      <c r="F77" s="330">
        <v>2</v>
      </c>
      <c r="G77" s="331">
        <v>1682.01</v>
      </c>
      <c r="H77" s="332">
        <v>584.94000000000005</v>
      </c>
      <c r="I77" s="332">
        <f>SUM(G77:H77)</f>
        <v>2266.9499999999998</v>
      </c>
      <c r="J77" s="333">
        <v>2266.9499999999998</v>
      </c>
      <c r="K77" s="333">
        <f t="shared" si="1"/>
        <v>0</v>
      </c>
      <c r="L77" s="329"/>
    </row>
    <row r="78" spans="1:16">
      <c r="A78" s="334"/>
      <c r="B78" s="354">
        <v>2335</v>
      </c>
      <c r="C78" s="328" t="s">
        <v>870</v>
      </c>
      <c r="D78" s="338" t="s">
        <v>1081</v>
      </c>
      <c r="E78" s="382" t="s">
        <v>852</v>
      </c>
      <c r="F78" s="330"/>
      <c r="G78" s="331">
        <v>554.59</v>
      </c>
      <c r="H78" s="332">
        <v>0</v>
      </c>
      <c r="I78" s="331">
        <v>554.59</v>
      </c>
      <c r="J78" s="331">
        <v>554.59</v>
      </c>
      <c r="K78" s="333">
        <v>0</v>
      </c>
      <c r="L78" s="329"/>
    </row>
    <row r="79" spans="1:16">
      <c r="A79" s="334"/>
      <c r="B79" s="354">
        <v>2089</v>
      </c>
      <c r="C79" s="328" t="s">
        <v>870</v>
      </c>
      <c r="D79" s="338" t="s">
        <v>1007</v>
      </c>
      <c r="E79" s="329" t="s">
        <v>852</v>
      </c>
      <c r="F79" s="330"/>
      <c r="G79" s="331">
        <v>648.83000000000004</v>
      </c>
      <c r="H79" s="332" t="s">
        <v>1006</v>
      </c>
      <c r="I79" s="331">
        <v>648.83000000000004</v>
      </c>
      <c r="J79" s="389">
        <v>648.83000000000004</v>
      </c>
      <c r="K79" s="333">
        <f t="shared" si="1"/>
        <v>0</v>
      </c>
      <c r="L79" s="329"/>
    </row>
    <row r="80" spans="1:16">
      <c r="A80" s="296"/>
      <c r="B80" s="66"/>
      <c r="C80" s="29"/>
      <c r="D80" s="29"/>
      <c r="E80" s="342"/>
      <c r="F80" s="343"/>
      <c r="G80" s="344"/>
      <c r="H80" s="345">
        <f>SUM(H5:H79)</f>
        <v>2577.04</v>
      </c>
      <c r="I80" s="344"/>
      <c r="J80" s="346"/>
      <c r="K80" s="346"/>
      <c r="L80" s="385"/>
      <c r="M80" s="216"/>
      <c r="O80" s="15"/>
      <c r="P80" s="15"/>
    </row>
    <row r="81" spans="1:20">
      <c r="A81" s="296"/>
      <c r="E81" s="342"/>
      <c r="F81" s="343"/>
      <c r="G81" s="344"/>
      <c r="H81" s="344"/>
      <c r="I81" s="344"/>
      <c r="J81" s="346"/>
      <c r="K81" s="346"/>
      <c r="L81" s="385"/>
      <c r="M81" s="216"/>
      <c r="O81" s="15"/>
      <c r="P81" s="15"/>
    </row>
    <row r="82" spans="1:20">
      <c r="A82" s="438" t="s">
        <v>652</v>
      </c>
      <c r="B82" s="439"/>
      <c r="C82" s="439"/>
      <c r="D82" s="439"/>
      <c r="E82" s="439"/>
      <c r="F82" s="439"/>
      <c r="G82" s="440"/>
      <c r="H82" s="347"/>
      <c r="I82" s="348">
        <f>SUM(I5:I79)</f>
        <v>84703.7</v>
      </c>
      <c r="J82" s="383">
        <f>SUM(J5:J79)</f>
        <v>84703.680000000008</v>
      </c>
      <c r="K82" s="383"/>
      <c r="L82" s="386"/>
    </row>
    <row r="83" spans="1:20">
      <c r="A83" s="441" t="s">
        <v>1028</v>
      </c>
      <c r="B83" s="442"/>
      <c r="C83" s="443"/>
      <c r="D83" s="351"/>
      <c r="E83" s="352" t="s">
        <v>258</v>
      </c>
      <c r="F83" s="334">
        <v>73</v>
      </c>
      <c r="G83" s="329" t="s">
        <v>1029</v>
      </c>
      <c r="H83" s="351"/>
      <c r="I83" s="352" t="s">
        <v>258</v>
      </c>
      <c r="J83" s="343">
        <v>74</v>
      </c>
      <c r="K83" s="343"/>
      <c r="L83" s="161"/>
    </row>
    <row r="84" spans="1:20">
      <c r="A84" s="353"/>
      <c r="B84" s="352"/>
      <c r="C84" s="351"/>
      <c r="D84" s="351"/>
      <c r="E84" s="351" t="s">
        <v>930</v>
      </c>
      <c r="F84" s="330">
        <v>4</v>
      </c>
      <c r="G84" s="329"/>
      <c r="H84" s="351"/>
      <c r="I84" s="351" t="s">
        <v>930</v>
      </c>
      <c r="J84" s="343">
        <v>4</v>
      </c>
      <c r="K84" s="343"/>
      <c r="L84" s="161"/>
    </row>
    <row r="85" spans="1:20">
      <c r="A85" s="441"/>
      <c r="B85" s="442"/>
      <c r="C85" s="443"/>
      <c r="D85" s="351"/>
      <c r="E85" s="352" t="s">
        <v>931</v>
      </c>
      <c r="F85" s="355">
        <v>26</v>
      </c>
      <c r="G85" s="329"/>
      <c r="H85" s="351"/>
      <c r="I85" s="352" t="s">
        <v>931</v>
      </c>
      <c r="J85" s="343">
        <v>26</v>
      </c>
      <c r="K85" s="343"/>
      <c r="L85" s="161"/>
    </row>
    <row r="86" spans="1:20">
      <c r="A86" s="444"/>
      <c r="B86" s="445"/>
      <c r="C86" s="446"/>
      <c r="D86" s="356"/>
      <c r="E86" s="357" t="s">
        <v>246</v>
      </c>
      <c r="F86" s="358">
        <v>103</v>
      </c>
      <c r="G86" s="329"/>
      <c r="H86" s="393"/>
      <c r="I86" s="394" t="s">
        <v>246</v>
      </c>
      <c r="J86" s="395">
        <v>104</v>
      </c>
      <c r="K86" s="395"/>
      <c r="L86" s="161"/>
    </row>
    <row r="87" spans="1:20">
      <c r="A87" s="447" t="s">
        <v>830</v>
      </c>
      <c r="B87" s="448"/>
      <c r="C87" s="448"/>
      <c r="D87" s="448"/>
      <c r="E87" s="448"/>
      <c r="F87" s="448"/>
      <c r="G87" s="448"/>
      <c r="H87" s="381"/>
      <c r="I87" s="381"/>
      <c r="J87" s="396"/>
      <c r="K87" s="396"/>
      <c r="L87" s="392"/>
      <c r="N87" s="15"/>
    </row>
    <row r="88" spans="1:20">
      <c r="A88" s="334"/>
      <c r="B88" s="354"/>
      <c r="C88" s="328"/>
      <c r="D88" s="328"/>
      <c r="E88" s="329"/>
      <c r="F88" s="330"/>
      <c r="G88" s="331"/>
      <c r="H88" s="332"/>
      <c r="I88" s="331"/>
      <c r="J88" s="331"/>
      <c r="K88" s="333"/>
      <c r="L88" s="196"/>
      <c r="N88" s="15"/>
    </row>
    <row r="89" spans="1:20">
      <c r="A89" s="334"/>
      <c r="B89" s="354"/>
      <c r="C89" s="328"/>
      <c r="D89" s="328"/>
      <c r="E89" s="329"/>
      <c r="F89" s="330"/>
      <c r="G89" s="331"/>
      <c r="H89" s="332"/>
      <c r="I89" s="331"/>
      <c r="J89" s="331"/>
      <c r="K89" s="333"/>
      <c r="L89" s="196"/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/>
      <c r="C90" s="328"/>
      <c r="D90" s="328"/>
      <c r="E90" s="329"/>
      <c r="F90" s="330"/>
      <c r="G90" s="331"/>
      <c r="H90" s="332"/>
      <c r="I90" s="331"/>
      <c r="J90" s="331"/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38"/>
      <c r="E91" s="382"/>
      <c r="F91" s="330"/>
      <c r="G91" s="331"/>
      <c r="H91" s="332"/>
      <c r="I91" s="331"/>
      <c r="J91" s="331"/>
      <c r="K91" s="333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38"/>
      <c r="E92" s="382"/>
      <c r="F92" s="330"/>
      <c r="G92" s="331"/>
      <c r="H92" s="332"/>
      <c r="I92" s="331"/>
      <c r="J92" s="331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38"/>
      <c r="E93" s="329"/>
      <c r="F93" s="330"/>
      <c r="G93" s="331"/>
      <c r="H93" s="332"/>
      <c r="I93" s="331"/>
      <c r="J93" s="38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38"/>
      <c r="E94" s="329"/>
      <c r="F94" s="330"/>
      <c r="G94" s="331"/>
      <c r="H94" s="332"/>
      <c r="I94" s="331"/>
      <c r="J94" s="38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38"/>
      <c r="E95" s="382"/>
      <c r="F95" s="330"/>
      <c r="G95" s="331"/>
      <c r="H95" s="332"/>
      <c r="I95" s="331"/>
      <c r="J95" s="331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38"/>
      <c r="E96" s="382"/>
      <c r="F96" s="330"/>
      <c r="G96" s="331"/>
      <c r="H96" s="332"/>
      <c r="I96" s="331"/>
      <c r="J96" s="331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38"/>
      <c r="E97" s="382"/>
      <c r="F97" s="330"/>
      <c r="G97" s="331"/>
      <c r="H97" s="332"/>
      <c r="I97" s="331"/>
      <c r="J97" s="331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38"/>
      <c r="E98" s="382"/>
      <c r="F98" s="330"/>
      <c r="G98" s="331"/>
      <c r="H98" s="332"/>
      <c r="I98" s="331"/>
      <c r="J98" s="331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28"/>
      <c r="E99" s="329"/>
      <c r="F99" s="330"/>
      <c r="G99" s="331"/>
      <c r="H99" s="332"/>
      <c r="I99" s="332"/>
      <c r="J99" s="333"/>
      <c r="K99" s="333"/>
      <c r="L99" s="161"/>
      <c r="N99" s="15"/>
    </row>
    <row r="100" spans="1:20">
      <c r="A100" s="438" t="s">
        <v>846</v>
      </c>
      <c r="B100" s="439"/>
      <c r="C100" s="439"/>
      <c r="D100" s="439"/>
      <c r="E100" s="439"/>
      <c r="F100" s="439"/>
      <c r="G100" s="440"/>
      <c r="H100" s="348">
        <f>SUM(H88:H91)</f>
        <v>0</v>
      </c>
      <c r="I100" s="347"/>
      <c r="J100" s="348">
        <f>SUM(J88:J99)</f>
        <v>0</v>
      </c>
      <c r="K100" s="406"/>
      <c r="L100" s="402"/>
    </row>
    <row r="101" spans="1:20">
      <c r="A101" s="365"/>
      <c r="B101" s="366"/>
      <c r="C101" s="366"/>
      <c r="D101" s="366"/>
      <c r="E101" s="366"/>
      <c r="F101" s="367"/>
      <c r="G101" s="368"/>
      <c r="H101" s="368"/>
      <c r="I101" s="368"/>
      <c r="J101" s="349"/>
      <c r="K101" s="383"/>
      <c r="L101" s="364"/>
    </row>
    <row r="102" spans="1:20" ht="16">
      <c r="A102" s="435" t="s">
        <v>881</v>
      </c>
      <c r="B102" s="436"/>
      <c r="C102" s="436"/>
      <c r="D102" s="436"/>
      <c r="E102" s="436"/>
      <c r="F102" s="436"/>
      <c r="G102" s="437"/>
      <c r="H102" s="369"/>
      <c r="I102" s="369"/>
      <c r="J102" s="370">
        <f>SUM(J82,J100)</f>
        <v>84703.680000000008</v>
      </c>
      <c r="K102" s="407"/>
      <c r="L102" s="350"/>
    </row>
    <row r="103" spans="1:20" ht="18">
      <c r="F103" s="3"/>
      <c r="G103" s="371" t="s">
        <v>1013</v>
      </c>
      <c r="H103" s="372">
        <v>45609</v>
      </c>
    </row>
    <row r="104" spans="1:20" ht="18">
      <c r="F104" s="3"/>
      <c r="G104" s="371" t="s">
        <v>1014</v>
      </c>
      <c r="H104" s="373" t="s">
        <v>990</v>
      </c>
      <c r="I104" s="373"/>
    </row>
    <row r="105" spans="1:20">
      <c r="F105" s="3"/>
      <c r="G105" s="216"/>
      <c r="H105" s="216"/>
      <c r="I105" s="216"/>
      <c r="J105" s="3"/>
      <c r="K105" s="3"/>
      <c r="L105" s="15"/>
      <c r="M105" s="216"/>
    </row>
    <row r="106" spans="1:20">
      <c r="F106" s="3"/>
      <c r="G106" s="216"/>
      <c r="H106" s="269"/>
      <c r="I106" s="216"/>
      <c r="J106" s="270"/>
      <c r="K106" s="270"/>
      <c r="L106" s="15"/>
      <c r="M106" s="216"/>
    </row>
    <row r="107" spans="1:20">
      <c r="F107" s="3"/>
      <c r="G107" s="216"/>
      <c r="H107" s="269"/>
      <c r="I107" s="216"/>
      <c r="J107" s="270"/>
      <c r="K107" s="270"/>
      <c r="L107" s="15"/>
      <c r="M107" s="216"/>
    </row>
    <row r="108" spans="1:20">
      <c r="F108" s="3"/>
      <c r="G108" s="216"/>
      <c r="H108" s="388">
        <f>SUM(H80,H100)</f>
        <v>2577.04</v>
      </c>
      <c r="I108" s="269">
        <f>J102-H108</f>
        <v>82126.640000000014</v>
      </c>
      <c r="J108" s="3"/>
      <c r="K108" s="3"/>
      <c r="L108" s="15"/>
      <c r="M108" s="216"/>
    </row>
    <row r="109" spans="1:20">
      <c r="F109" s="3"/>
      <c r="G109" s="216"/>
      <c r="H109" s="216"/>
      <c r="I109" s="216"/>
      <c r="J109" s="3"/>
      <c r="K109" s="3"/>
      <c r="L109" s="15"/>
      <c r="M109" s="216"/>
      <c r="Q109" s="3"/>
      <c r="R109" s="3"/>
      <c r="S109" s="3"/>
      <c r="T109" s="3"/>
    </row>
  </sheetData>
  <mergeCells count="7">
    <mergeCell ref="A102:G102"/>
    <mergeCell ref="A82:G82"/>
    <mergeCell ref="A83:C83"/>
    <mergeCell ref="A85:C85"/>
    <mergeCell ref="A86:C86"/>
    <mergeCell ref="A87:G87"/>
    <mergeCell ref="A100:G100"/>
  </mergeCells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E4EA-7082-7148-8CE0-F6B909D08B1A}">
  <dimension ref="A1:T109"/>
  <sheetViews>
    <sheetView topLeftCell="A77" zoomScale="160" zoomScaleNormal="160" workbookViewId="0">
      <selection sqref="A1:XFD1048576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45566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70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/>
      <c r="B11" s="354">
        <v>2331</v>
      </c>
      <c r="C11" s="328" t="s">
        <v>1073</v>
      </c>
      <c r="D11" s="328" t="s">
        <v>1074</v>
      </c>
      <c r="E11" s="329" t="s">
        <v>854</v>
      </c>
      <c r="F11" s="330">
        <v>1</v>
      </c>
      <c r="G11" s="331">
        <v>1077.42</v>
      </c>
      <c r="H11" s="332">
        <v>0</v>
      </c>
      <c r="I11" s="331">
        <v>1077.42</v>
      </c>
      <c r="J11" s="389">
        <v>1077.42</v>
      </c>
      <c r="K11" s="333">
        <f t="shared" si="0"/>
        <v>0</v>
      </c>
      <c r="L11" s="329"/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1469.89</v>
      </c>
      <c r="H12" s="332" t="s">
        <v>1006</v>
      </c>
      <c r="I12" s="331">
        <v>1469.89</v>
      </c>
      <c r="J12" s="389">
        <v>1469.89</v>
      </c>
      <c r="K12" s="333">
        <f t="shared" si="0"/>
        <v>0</v>
      </c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648.83000000000004</v>
      </c>
      <c r="H13" s="332" t="s">
        <v>1006</v>
      </c>
      <c r="I13" s="331">
        <v>648.83000000000004</v>
      </c>
      <c r="J13" s="389">
        <v>648.83000000000004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885.51</v>
      </c>
      <c r="H14" s="332" t="s">
        <v>1006</v>
      </c>
      <c r="I14" s="331">
        <v>885.51</v>
      </c>
      <c r="J14" s="389">
        <v>885.51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683.49</v>
      </c>
      <c r="H15" s="332" t="s">
        <v>1006</v>
      </c>
      <c r="I15" s="331">
        <v>683.49</v>
      </c>
      <c r="J15" s="389">
        <v>683.49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666.16</v>
      </c>
      <c r="H16" s="332" t="s">
        <v>1006</v>
      </c>
      <c r="I16" s="331">
        <v>666.16</v>
      </c>
      <c r="J16" s="389">
        <v>666.16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1262.08</v>
      </c>
      <c r="H17" s="332">
        <v>542.16</v>
      </c>
      <c r="I17" s="332">
        <v>1804.24</v>
      </c>
      <c r="J17" s="333">
        <v>1804.24</v>
      </c>
      <c r="K17" s="333">
        <f t="shared" si="0"/>
        <v>0</v>
      </c>
      <c r="L17" s="329"/>
    </row>
    <row r="18" spans="1:20">
      <c r="A18" s="334"/>
      <c r="B18" s="354">
        <v>2318</v>
      </c>
      <c r="C18" s="328" t="s">
        <v>1018</v>
      </c>
      <c r="D18" s="328" t="s">
        <v>1019</v>
      </c>
      <c r="E18" s="382" t="s">
        <v>851</v>
      </c>
      <c r="F18" s="330"/>
      <c r="G18" s="331">
        <v>790.72</v>
      </c>
      <c r="H18" s="332">
        <v>507.5</v>
      </c>
      <c r="I18" s="332">
        <f>SUM(G18:H18)</f>
        <v>1298.22</v>
      </c>
      <c r="J18" s="333">
        <v>1298.21</v>
      </c>
      <c r="K18" s="333">
        <f t="shared" si="0"/>
        <v>9.9999999999909051E-3</v>
      </c>
      <c r="L18" s="161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1521.88</v>
      </c>
      <c r="H19" s="332" t="s">
        <v>1006</v>
      </c>
      <c r="I19" s="331">
        <v>1521.88</v>
      </c>
      <c r="J19" s="389">
        <v>1521.88</v>
      </c>
      <c r="K19" s="333">
        <f t="shared" si="0"/>
        <v>0</v>
      </c>
      <c r="L19" s="161" t="s">
        <v>1093</v>
      </c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692.16</v>
      </c>
      <c r="H20" s="332" t="s">
        <v>1006</v>
      </c>
      <c r="I20" s="331">
        <v>692.16</v>
      </c>
      <c r="J20" s="389">
        <v>692.16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1090.42</v>
      </c>
      <c r="H21" s="332" t="s">
        <v>1006</v>
      </c>
      <c r="I21" s="331">
        <v>1090.42</v>
      </c>
      <c r="J21" s="389">
        <v>1090.42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756.04</v>
      </c>
      <c r="H22" s="332">
        <v>417.6</v>
      </c>
      <c r="I22" s="332">
        <f>SUM(G22:H22)</f>
        <v>1173.6399999999999</v>
      </c>
      <c r="J22" s="333">
        <v>1173.6300000000001</v>
      </c>
      <c r="K22" s="333">
        <f t="shared" si="0"/>
        <v>9.9999999997635314E-3</v>
      </c>
      <c r="L22" s="188"/>
      <c r="M22" s="403" t="s">
        <v>1042</v>
      </c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1551.66</v>
      </c>
      <c r="H23" s="332" t="s">
        <v>1006</v>
      </c>
      <c r="I23" s="331">
        <v>1551.66</v>
      </c>
      <c r="J23" s="389">
        <v>1551.66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1263.54</v>
      </c>
      <c r="H24" s="332" t="s">
        <v>1006</v>
      </c>
      <c r="I24" s="331">
        <v>1263.54</v>
      </c>
      <c r="J24" s="389">
        <v>1263.54</v>
      </c>
      <c r="K24" s="333">
        <f t="shared" si="0"/>
        <v>0</v>
      </c>
      <c r="L24" s="161"/>
    </row>
    <row r="25" spans="1:20">
      <c r="A25" s="334">
        <v>17</v>
      </c>
      <c r="B25" s="354">
        <v>2194</v>
      </c>
      <c r="C25" s="328" t="s">
        <v>749</v>
      </c>
      <c r="D25" s="338" t="s">
        <v>789</v>
      </c>
      <c r="E25" s="329" t="s">
        <v>852</v>
      </c>
      <c r="F25" s="330"/>
      <c r="G25" s="331">
        <v>606.04</v>
      </c>
      <c r="H25" s="332" t="s">
        <v>1006</v>
      </c>
      <c r="I25" s="331">
        <v>606.04</v>
      </c>
      <c r="J25" s="389">
        <v>606.04</v>
      </c>
      <c r="K25" s="333">
        <f t="shared" si="0"/>
        <v>0</v>
      </c>
      <c r="L25" s="161"/>
    </row>
    <row r="26" spans="1:20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331">
        <v>1379.98</v>
      </c>
      <c r="H26" s="332" t="s">
        <v>1006</v>
      </c>
      <c r="I26" s="331">
        <v>1379.98</v>
      </c>
      <c r="J26" s="389">
        <v>1379.98</v>
      </c>
      <c r="K26" s="333">
        <f t="shared" si="0"/>
        <v>0</v>
      </c>
      <c r="L26" s="161"/>
    </row>
    <row r="27" spans="1:20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683.49</v>
      </c>
      <c r="H27" s="332" t="s">
        <v>1006</v>
      </c>
      <c r="I27" s="331">
        <v>683.49</v>
      </c>
      <c r="J27" s="389">
        <v>683.49</v>
      </c>
      <c r="K27" s="333">
        <f t="shared" si="0"/>
        <v>0</v>
      </c>
      <c r="L27" s="161"/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541.59</v>
      </c>
      <c r="H28" s="332">
        <v>0</v>
      </c>
      <c r="I28" s="332">
        <v>541.59</v>
      </c>
      <c r="J28" s="335">
        <v>541.59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1549.34</v>
      </c>
      <c r="H29" s="332" t="s">
        <v>1006</v>
      </c>
      <c r="I29" s="331">
        <v>1549.34</v>
      </c>
      <c r="J29" s="389">
        <v>1549.34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661.83</v>
      </c>
      <c r="H30" s="332" t="s">
        <v>1006</v>
      </c>
      <c r="I30" s="331">
        <v>661.83</v>
      </c>
      <c r="J30" s="389">
        <v>661.83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567.59</v>
      </c>
      <c r="H31" s="332"/>
      <c r="I31" s="331">
        <v>567.59</v>
      </c>
      <c r="J31" s="389">
        <v>567.59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1379.98</v>
      </c>
      <c r="H32" s="332" t="s">
        <v>1006</v>
      </c>
      <c r="I32" s="391">
        <v>1379.98</v>
      </c>
      <c r="J32" s="389">
        <v>1379.98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1624.77</v>
      </c>
      <c r="H33" s="332" t="s">
        <v>1006</v>
      </c>
      <c r="I33" s="331">
        <v>1624.77</v>
      </c>
      <c r="J33" s="389">
        <v>1624.77</v>
      </c>
      <c r="K33" s="333">
        <f t="shared" si="0"/>
        <v>0</v>
      </c>
      <c r="L33" s="329"/>
    </row>
    <row r="34" spans="1:20">
      <c r="A34" s="334"/>
      <c r="B34" s="354">
        <v>2320</v>
      </c>
      <c r="C34" s="328" t="s">
        <v>1043</v>
      </c>
      <c r="D34" s="328" t="s">
        <v>1044</v>
      </c>
      <c r="E34" s="329" t="s">
        <v>852</v>
      </c>
      <c r="F34" s="330"/>
      <c r="G34" s="331">
        <v>567.59</v>
      </c>
      <c r="H34" s="332"/>
      <c r="I34" s="331">
        <v>567.59</v>
      </c>
      <c r="J34" s="389">
        <v>567.59</v>
      </c>
      <c r="K34" s="333">
        <f t="shared" si="0"/>
        <v>0</v>
      </c>
      <c r="L34" s="329"/>
    </row>
    <row r="35" spans="1:20">
      <c r="A35" s="334">
        <v>24</v>
      </c>
      <c r="B35" s="376" t="s">
        <v>675</v>
      </c>
      <c r="C35" s="328" t="s">
        <v>755</v>
      </c>
      <c r="D35" s="328" t="s">
        <v>796</v>
      </c>
      <c r="E35" s="329" t="s">
        <v>852</v>
      </c>
      <c r="F35" s="330"/>
      <c r="G35" s="331">
        <v>717.61</v>
      </c>
      <c r="H35" s="332" t="s">
        <v>1006</v>
      </c>
      <c r="I35" s="332">
        <v>717.61</v>
      </c>
      <c r="J35" s="333">
        <v>717.61</v>
      </c>
      <c r="K35" s="333">
        <f t="shared" si="0"/>
        <v>0</v>
      </c>
      <c r="L35" s="329"/>
    </row>
    <row r="36" spans="1:20">
      <c r="A36" s="334">
        <v>26</v>
      </c>
      <c r="B36" s="354">
        <v>1741</v>
      </c>
      <c r="C36" s="328" t="s">
        <v>755</v>
      </c>
      <c r="D36" s="328" t="s">
        <v>797</v>
      </c>
      <c r="E36" s="329" t="s">
        <v>852</v>
      </c>
      <c r="F36" s="330"/>
      <c r="G36" s="331">
        <v>1156.3</v>
      </c>
      <c r="H36" s="332" t="s">
        <v>1006</v>
      </c>
      <c r="I36" s="331">
        <v>1156.3</v>
      </c>
      <c r="J36" s="389">
        <v>1156.3</v>
      </c>
      <c r="K36" s="333">
        <f t="shared" si="0"/>
        <v>0</v>
      </c>
      <c r="L36" s="329"/>
    </row>
    <row r="37" spans="1:20">
      <c r="A37" s="334">
        <v>25</v>
      </c>
      <c r="B37" s="354">
        <v>1757</v>
      </c>
      <c r="C37" s="328" t="s">
        <v>755</v>
      </c>
      <c r="D37" s="338" t="s">
        <v>798</v>
      </c>
      <c r="E37" s="329" t="s">
        <v>853</v>
      </c>
      <c r="F37" s="330">
        <v>2</v>
      </c>
      <c r="G37" s="331">
        <v>1956.43</v>
      </c>
      <c r="H37" s="332" t="s">
        <v>1006</v>
      </c>
      <c r="I37" s="331">
        <v>1956.43</v>
      </c>
      <c r="J37" s="389">
        <v>1956.43</v>
      </c>
      <c r="K37" s="333">
        <f t="shared" si="0"/>
        <v>0</v>
      </c>
      <c r="L37" s="329"/>
      <c r="N37" s="12"/>
      <c r="O37" s="12"/>
      <c r="P37" s="12"/>
      <c r="Q37" s="12"/>
      <c r="R37" s="12"/>
      <c r="S37" s="12"/>
      <c r="T37" s="12"/>
    </row>
    <row r="38" spans="1:20">
      <c r="A38" s="334">
        <v>27</v>
      </c>
      <c r="B38" s="354">
        <v>2057</v>
      </c>
      <c r="C38" s="328" t="s">
        <v>756</v>
      </c>
      <c r="D38" s="338" t="s">
        <v>799</v>
      </c>
      <c r="E38" s="329" t="s">
        <v>852</v>
      </c>
      <c r="F38" s="330"/>
      <c r="G38" s="331">
        <v>1624.77</v>
      </c>
      <c r="H38" s="332" t="s">
        <v>1006</v>
      </c>
      <c r="I38" s="331">
        <v>1624.77</v>
      </c>
      <c r="J38" s="389">
        <v>1624.77</v>
      </c>
      <c r="K38" s="333">
        <f t="shared" si="0"/>
        <v>0</v>
      </c>
      <c r="L38" s="329"/>
    </row>
    <row r="39" spans="1:20">
      <c r="A39" s="334">
        <v>28</v>
      </c>
      <c r="B39" s="354">
        <v>1210</v>
      </c>
      <c r="C39" s="328" t="s">
        <v>756</v>
      </c>
      <c r="D39" s="338" t="s">
        <v>800</v>
      </c>
      <c r="E39" s="329" t="s">
        <v>852</v>
      </c>
      <c r="F39" s="330"/>
      <c r="G39" s="331">
        <v>1598.79</v>
      </c>
      <c r="H39" s="332" t="s">
        <v>1006</v>
      </c>
      <c r="I39" s="331">
        <v>1598.79</v>
      </c>
      <c r="J39" s="389">
        <v>1598.79</v>
      </c>
      <c r="K39" s="333">
        <f t="shared" si="0"/>
        <v>0</v>
      </c>
      <c r="L39" s="329"/>
    </row>
    <row r="40" spans="1:20">
      <c r="A40" s="334"/>
      <c r="B40" s="354">
        <v>2310</v>
      </c>
      <c r="C40" s="328" t="s">
        <v>756</v>
      </c>
      <c r="D40" s="338" t="s">
        <v>977</v>
      </c>
      <c r="E40" s="329" t="s">
        <v>852</v>
      </c>
      <c r="F40" s="330"/>
      <c r="G40" s="331">
        <v>923.96</v>
      </c>
      <c r="H40" s="332" t="s">
        <v>1006</v>
      </c>
      <c r="I40" s="331">
        <v>923.96</v>
      </c>
      <c r="J40" s="389">
        <v>923.96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853</v>
      </c>
      <c r="F43" s="330">
        <v>2</v>
      </c>
      <c r="G43" s="331">
        <v>1514.68</v>
      </c>
      <c r="H43" s="332">
        <v>0</v>
      </c>
      <c r="I43" s="331">
        <v>1514.68</v>
      </c>
      <c r="J43" s="389">
        <v>1514.68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>
        <v>1</v>
      </c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/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1095</v>
      </c>
      <c r="F45" s="330">
        <v>2</v>
      </c>
      <c r="G45" s="331">
        <v>1523.34</v>
      </c>
      <c r="H45" s="332" t="s">
        <v>1006</v>
      </c>
      <c r="I45" s="331">
        <v>1523.34</v>
      </c>
      <c r="J45" s="389">
        <v>1523.34</v>
      </c>
      <c r="K45" s="333">
        <f t="shared" si="0"/>
        <v>0</v>
      </c>
      <c r="L45" s="329" t="s">
        <v>1094</v>
      </c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>
        <v>661.83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1350.93</v>
      </c>
      <c r="H55" s="332" t="s">
        <v>1006</v>
      </c>
      <c r="I55" s="331">
        <v>1350.93</v>
      </c>
      <c r="J55" s="389">
        <v>1350.93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1584.89</v>
      </c>
      <c r="H56" s="332" t="s">
        <v>1006</v>
      </c>
      <c r="I56" s="331">
        <v>1584.89</v>
      </c>
      <c r="J56" s="389">
        <v>1584.89</v>
      </c>
      <c r="K56" s="333">
        <f t="shared" si="0"/>
        <v>0</v>
      </c>
      <c r="L56" s="329"/>
    </row>
    <row r="57" spans="1:12">
      <c r="A57" s="334">
        <v>44</v>
      </c>
      <c r="B57" s="354">
        <v>2001</v>
      </c>
      <c r="C57" s="328" t="s">
        <v>766</v>
      </c>
      <c r="D57" s="338" t="s">
        <v>814</v>
      </c>
      <c r="E57" s="329" t="s">
        <v>852</v>
      </c>
      <c r="F57" s="330"/>
      <c r="G57" s="331">
        <v>1319.87</v>
      </c>
      <c r="H57" s="332" t="s">
        <v>1006</v>
      </c>
      <c r="I57" s="331">
        <v>1319.87</v>
      </c>
      <c r="J57" s="389">
        <v>1319.87</v>
      </c>
      <c r="K57" s="333">
        <f t="shared" si="0"/>
        <v>0</v>
      </c>
      <c r="L57" s="329"/>
    </row>
    <row r="58" spans="1:12">
      <c r="A58" s="334">
        <v>45</v>
      </c>
      <c r="B58" s="354">
        <v>2160</v>
      </c>
      <c r="C58" s="328" t="s">
        <v>767</v>
      </c>
      <c r="D58" s="338" t="s">
        <v>815</v>
      </c>
      <c r="E58" s="329" t="s">
        <v>854</v>
      </c>
      <c r="F58" s="330">
        <v>1</v>
      </c>
      <c r="G58" s="331">
        <v>1921.57</v>
      </c>
      <c r="H58" s="332" t="s">
        <v>1006</v>
      </c>
      <c r="I58" s="331">
        <v>1921.57</v>
      </c>
      <c r="J58" s="389">
        <v>1921.57</v>
      </c>
      <c r="K58" s="333">
        <f t="shared" si="0"/>
        <v>0</v>
      </c>
      <c r="L58" s="329"/>
    </row>
    <row r="59" spans="1:12">
      <c r="A59" s="334">
        <v>47</v>
      </c>
      <c r="B59" s="354">
        <v>2279</v>
      </c>
      <c r="C59" s="328" t="s">
        <v>769</v>
      </c>
      <c r="D59" s="328" t="s">
        <v>843</v>
      </c>
      <c r="E59" s="329" t="s">
        <v>852</v>
      </c>
      <c r="F59" s="330"/>
      <c r="G59" s="331">
        <v>554.59</v>
      </c>
      <c r="H59" s="332" t="s">
        <v>1006</v>
      </c>
      <c r="I59" s="331">
        <v>554.59</v>
      </c>
      <c r="J59" s="389">
        <v>554.59</v>
      </c>
      <c r="K59" s="333">
        <f t="shared" si="0"/>
        <v>0</v>
      </c>
      <c r="L59" s="161"/>
    </row>
    <row r="60" spans="1:12">
      <c r="A60" s="334">
        <v>48</v>
      </c>
      <c r="B60" s="354">
        <v>2246</v>
      </c>
      <c r="C60" s="328" t="s">
        <v>769</v>
      </c>
      <c r="D60" s="338" t="s">
        <v>817</v>
      </c>
      <c r="E60" s="329" t="s">
        <v>852</v>
      </c>
      <c r="F60" s="330"/>
      <c r="G60" s="331">
        <v>648.83000000000004</v>
      </c>
      <c r="H60" s="332" t="s">
        <v>1006</v>
      </c>
      <c r="I60" s="331">
        <v>648.83000000000004</v>
      </c>
      <c r="J60" s="389">
        <v>648.83000000000004</v>
      </c>
      <c r="K60" s="333">
        <f t="shared" si="0"/>
        <v>0</v>
      </c>
      <c r="L60" s="188"/>
    </row>
    <row r="61" spans="1:12">
      <c r="A61" s="334">
        <v>49</v>
      </c>
      <c r="B61" s="354">
        <v>2018</v>
      </c>
      <c r="C61" s="328" t="s">
        <v>770</v>
      </c>
      <c r="D61" s="328" t="s">
        <v>818</v>
      </c>
      <c r="E61" s="329" t="s">
        <v>852</v>
      </c>
      <c r="F61" s="330"/>
      <c r="G61" s="331">
        <v>1624.77</v>
      </c>
      <c r="H61" s="332" t="s">
        <v>1006</v>
      </c>
      <c r="I61" s="331">
        <v>1624.77</v>
      </c>
      <c r="J61" s="389">
        <v>1624.77</v>
      </c>
      <c r="K61" s="333">
        <f t="shared" si="0"/>
        <v>0</v>
      </c>
      <c r="L61" s="161"/>
    </row>
    <row r="62" spans="1:12">
      <c r="A62" s="334"/>
      <c r="B62" s="354">
        <v>2329</v>
      </c>
      <c r="C62" s="328" t="s">
        <v>1070</v>
      </c>
      <c r="D62" s="328" t="s">
        <v>1071</v>
      </c>
      <c r="E62" s="329" t="s">
        <v>852</v>
      </c>
      <c r="F62" s="330"/>
      <c r="G62" s="331">
        <v>541.59</v>
      </c>
      <c r="H62" s="332">
        <v>0</v>
      </c>
      <c r="I62" s="331">
        <v>541.59</v>
      </c>
      <c r="J62" s="331">
        <v>541.59</v>
      </c>
      <c r="K62" s="333"/>
      <c r="L62" s="329"/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1379.98</v>
      </c>
      <c r="H63" s="332" t="s">
        <v>1006</v>
      </c>
      <c r="I63" s="331">
        <v>1379.98</v>
      </c>
      <c r="J63" s="333">
        <v>1379.98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661.83</v>
      </c>
      <c r="H64" s="332" t="s">
        <v>1006</v>
      </c>
      <c r="I64" s="331">
        <v>661.83</v>
      </c>
      <c r="J64" s="389">
        <v>661.83</v>
      </c>
      <c r="K64" s="333">
        <f t="shared" si="0"/>
        <v>0</v>
      </c>
      <c r="L64" s="329"/>
    </row>
    <row r="65" spans="1:16">
      <c r="A65" s="334"/>
      <c r="B65" s="354">
        <v>2288</v>
      </c>
      <c r="C65" s="328" t="s">
        <v>772</v>
      </c>
      <c r="D65" s="338" t="s">
        <v>820</v>
      </c>
      <c r="E65" s="329" t="s">
        <v>852</v>
      </c>
      <c r="F65" s="330"/>
      <c r="G65" s="331">
        <v>588.71</v>
      </c>
      <c r="H65" s="332"/>
      <c r="I65" s="331">
        <v>588.71</v>
      </c>
      <c r="J65" s="389">
        <v>588.71</v>
      </c>
      <c r="K65" s="333">
        <f t="shared" si="0"/>
        <v>0</v>
      </c>
      <c r="L65" s="329"/>
    </row>
    <row r="66" spans="1:16">
      <c r="A66" s="334">
        <v>52</v>
      </c>
      <c r="B66" s="354">
        <v>2060</v>
      </c>
      <c r="C66" s="328" t="s">
        <v>487</v>
      </c>
      <c r="D66" s="328" t="s">
        <v>516</v>
      </c>
      <c r="E66" s="329" t="s">
        <v>852</v>
      </c>
      <c r="F66" s="330"/>
      <c r="G66" s="331">
        <v>1057.19</v>
      </c>
      <c r="H66" s="332" t="s">
        <v>1006</v>
      </c>
      <c r="I66" s="331">
        <v>1057.19</v>
      </c>
      <c r="J66" s="389">
        <v>1057.19</v>
      </c>
      <c r="K66" s="333">
        <f t="shared" si="0"/>
        <v>0</v>
      </c>
      <c r="L66" s="329"/>
    </row>
    <row r="67" spans="1:16">
      <c r="A67" s="334"/>
      <c r="B67" s="354">
        <v>2333</v>
      </c>
      <c r="C67" s="328" t="s">
        <v>1078</v>
      </c>
      <c r="D67" s="328" t="s">
        <v>1079</v>
      </c>
      <c r="E67" s="329" t="s">
        <v>854</v>
      </c>
      <c r="F67" s="330">
        <v>1</v>
      </c>
      <c r="G67" s="331">
        <v>1086.0899999999999</v>
      </c>
      <c r="H67" s="332">
        <v>0</v>
      </c>
      <c r="I67" s="331">
        <v>1086.0899999999999</v>
      </c>
      <c r="J67" s="389">
        <v>1086.0899999999999</v>
      </c>
      <c r="K67" s="333">
        <f t="shared" si="0"/>
        <v>0</v>
      </c>
      <c r="L67" s="329"/>
    </row>
    <row r="68" spans="1:16">
      <c r="A68" s="334">
        <v>54</v>
      </c>
      <c r="B68" s="354">
        <v>1050</v>
      </c>
      <c r="C68" s="328" t="s">
        <v>773</v>
      </c>
      <c r="D68" s="328" t="s">
        <v>821</v>
      </c>
      <c r="E68" s="329" t="s">
        <v>852</v>
      </c>
      <c r="F68" s="330"/>
      <c r="G68" s="331">
        <v>1624.77</v>
      </c>
      <c r="H68" s="332" t="s">
        <v>1006</v>
      </c>
      <c r="I68" s="331">
        <v>1624.77</v>
      </c>
      <c r="J68" s="389">
        <v>1624.77</v>
      </c>
      <c r="K68" s="333">
        <f t="shared" si="0"/>
        <v>0</v>
      </c>
      <c r="L68" s="329"/>
    </row>
    <row r="69" spans="1:16">
      <c r="A69" s="334">
        <v>55</v>
      </c>
      <c r="B69" s="354">
        <v>1964</v>
      </c>
      <c r="C69" s="328" t="s">
        <v>491</v>
      </c>
      <c r="D69" s="328" t="s">
        <v>456</v>
      </c>
      <c r="E69" s="329" t="s">
        <v>852</v>
      </c>
      <c r="F69" s="330"/>
      <c r="G69" s="331">
        <v>846.51</v>
      </c>
      <c r="H69" s="332" t="s">
        <v>1006</v>
      </c>
      <c r="I69" s="331">
        <v>846.51</v>
      </c>
      <c r="J69" s="389">
        <v>846.51</v>
      </c>
      <c r="K69" s="333">
        <f t="shared" si="0"/>
        <v>0</v>
      </c>
      <c r="L69" s="329"/>
    </row>
    <row r="70" spans="1:16">
      <c r="A70" s="334">
        <v>57</v>
      </c>
      <c r="B70" s="354">
        <v>1981</v>
      </c>
      <c r="C70" s="328" t="s">
        <v>774</v>
      </c>
      <c r="D70" s="338" t="s">
        <v>822</v>
      </c>
      <c r="E70" s="329" t="s">
        <v>852</v>
      </c>
      <c r="F70" s="330"/>
      <c r="G70" s="331">
        <v>683.49</v>
      </c>
      <c r="H70" s="332" t="s">
        <v>1006</v>
      </c>
      <c r="I70" s="331">
        <v>683.49</v>
      </c>
      <c r="J70" s="389">
        <v>683.49</v>
      </c>
      <c r="K70" s="333">
        <f t="shared" si="0"/>
        <v>0</v>
      </c>
      <c r="L70" s="329"/>
    </row>
    <row r="71" spans="1:16">
      <c r="A71" s="334">
        <v>56</v>
      </c>
      <c r="B71" s="354">
        <v>1662</v>
      </c>
      <c r="C71" s="328" t="s">
        <v>774</v>
      </c>
      <c r="D71" s="328" t="s">
        <v>823</v>
      </c>
      <c r="E71" s="329" t="s">
        <v>852</v>
      </c>
      <c r="F71" s="330"/>
      <c r="G71" s="331">
        <v>885.51</v>
      </c>
      <c r="H71" s="332" t="s">
        <v>1006</v>
      </c>
      <c r="I71" s="331">
        <v>885.51</v>
      </c>
      <c r="J71" s="389">
        <v>885.51</v>
      </c>
      <c r="K71" s="333">
        <f t="shared" ref="K71:K79" si="1">I71-J71</f>
        <v>0</v>
      </c>
      <c r="L71" s="329"/>
    </row>
    <row r="72" spans="1:16">
      <c r="A72" s="334">
        <v>58</v>
      </c>
      <c r="B72" s="354">
        <v>1630</v>
      </c>
      <c r="C72" s="328" t="s">
        <v>775</v>
      </c>
      <c r="D72" s="338" t="s">
        <v>824</v>
      </c>
      <c r="E72" s="329" t="s">
        <v>852</v>
      </c>
      <c r="F72" s="330"/>
      <c r="G72" s="331">
        <v>1207.76</v>
      </c>
      <c r="H72" s="332" t="s">
        <v>1006</v>
      </c>
      <c r="I72" s="331">
        <v>1207.76</v>
      </c>
      <c r="J72" s="389">
        <v>1207.76</v>
      </c>
      <c r="K72" s="333">
        <f t="shared" si="1"/>
        <v>0</v>
      </c>
      <c r="L72" s="329"/>
    </row>
    <row r="73" spans="1:16">
      <c r="A73" s="334"/>
      <c r="B73" s="354">
        <v>2337</v>
      </c>
      <c r="C73" s="328" t="s">
        <v>777</v>
      </c>
      <c r="D73" s="338" t="s">
        <v>1080</v>
      </c>
      <c r="E73" s="329" t="s">
        <v>852</v>
      </c>
      <c r="F73" s="330"/>
      <c r="G73" s="331">
        <v>627.71</v>
      </c>
      <c r="H73" s="332">
        <v>0</v>
      </c>
      <c r="I73" s="331">
        <v>627.71</v>
      </c>
      <c r="J73" s="389">
        <v>627.71</v>
      </c>
      <c r="K73" s="333">
        <f t="shared" si="1"/>
        <v>0</v>
      </c>
      <c r="L73" s="329"/>
    </row>
    <row r="74" spans="1:16">
      <c r="A74" s="334">
        <v>61</v>
      </c>
      <c r="B74" s="354">
        <v>2010</v>
      </c>
      <c r="C74" s="328" t="s">
        <v>777</v>
      </c>
      <c r="D74" s="328" t="s">
        <v>826</v>
      </c>
      <c r="E74" s="329" t="s">
        <v>852</v>
      </c>
      <c r="F74" s="330"/>
      <c r="G74" s="331">
        <v>1010.07</v>
      </c>
      <c r="H74" s="332" t="s">
        <v>1006</v>
      </c>
      <c r="I74" s="331">
        <v>1010.07</v>
      </c>
      <c r="J74" s="389">
        <v>1010.07</v>
      </c>
      <c r="K74" s="333">
        <f t="shared" si="1"/>
        <v>0</v>
      </c>
      <c r="L74" s="329"/>
    </row>
    <row r="75" spans="1:16">
      <c r="A75" s="334">
        <v>60</v>
      </c>
      <c r="B75" s="354">
        <v>2187</v>
      </c>
      <c r="C75" s="328" t="s">
        <v>777</v>
      </c>
      <c r="D75" s="328" t="s">
        <v>827</v>
      </c>
      <c r="E75" s="329" t="s">
        <v>853</v>
      </c>
      <c r="F75" s="330">
        <v>2</v>
      </c>
      <c r="G75" s="331">
        <v>1889.46</v>
      </c>
      <c r="H75" s="332" t="s">
        <v>1006</v>
      </c>
      <c r="I75" s="391">
        <v>1889.46</v>
      </c>
      <c r="J75" s="389">
        <v>1889.46</v>
      </c>
      <c r="K75" s="333">
        <f t="shared" si="1"/>
        <v>0</v>
      </c>
      <c r="L75" s="329"/>
    </row>
    <row r="76" spans="1:16">
      <c r="A76" s="334">
        <v>62</v>
      </c>
      <c r="B76" s="354">
        <v>2095</v>
      </c>
      <c r="C76" s="328" t="s">
        <v>778</v>
      </c>
      <c r="D76" s="338" t="s">
        <v>828</v>
      </c>
      <c r="E76" s="329" t="s">
        <v>852</v>
      </c>
      <c r="F76" s="330"/>
      <c r="G76" s="331">
        <v>648.83000000000004</v>
      </c>
      <c r="H76" s="332" t="s">
        <v>1006</v>
      </c>
      <c r="I76" s="331">
        <v>648.83000000000004</v>
      </c>
      <c r="J76" s="389">
        <v>648.83000000000004</v>
      </c>
      <c r="K76" s="333">
        <f t="shared" si="1"/>
        <v>0</v>
      </c>
      <c r="L76" s="329"/>
    </row>
    <row r="77" spans="1:16">
      <c r="A77" s="334">
        <v>63</v>
      </c>
      <c r="B77" s="354">
        <v>2064</v>
      </c>
      <c r="C77" s="328" t="s">
        <v>778</v>
      </c>
      <c r="D77" s="338" t="s">
        <v>829</v>
      </c>
      <c r="E77" s="341" t="s">
        <v>856</v>
      </c>
      <c r="F77" s="330">
        <v>2</v>
      </c>
      <c r="G77" s="331">
        <v>1682.01</v>
      </c>
      <c r="H77" s="332">
        <v>584.94000000000005</v>
      </c>
      <c r="I77" s="332">
        <f>SUM(G77:H77)</f>
        <v>2266.9499999999998</v>
      </c>
      <c r="J77" s="333">
        <v>2266.9499999999998</v>
      </c>
      <c r="K77" s="333">
        <f t="shared" si="1"/>
        <v>0</v>
      </c>
      <c r="L77" s="329"/>
    </row>
    <row r="78" spans="1:16">
      <c r="A78" s="334"/>
      <c r="B78" s="354">
        <v>2335</v>
      </c>
      <c r="C78" s="328" t="s">
        <v>870</v>
      </c>
      <c r="D78" s="338" t="s">
        <v>1081</v>
      </c>
      <c r="E78" s="382" t="s">
        <v>852</v>
      </c>
      <c r="F78" s="330"/>
      <c r="G78" s="331">
        <v>554.59</v>
      </c>
      <c r="H78" s="332">
        <v>0</v>
      </c>
      <c r="I78" s="331">
        <v>554.59</v>
      </c>
      <c r="J78" s="331">
        <v>554.59</v>
      </c>
      <c r="K78" s="333">
        <v>0</v>
      </c>
      <c r="L78" s="329"/>
    </row>
    <row r="79" spans="1:16">
      <c r="A79" s="334"/>
      <c r="B79" s="354">
        <v>2089</v>
      </c>
      <c r="C79" s="328" t="s">
        <v>870</v>
      </c>
      <c r="D79" s="338" t="s">
        <v>1007</v>
      </c>
      <c r="E79" s="329" t="s">
        <v>852</v>
      </c>
      <c r="F79" s="330"/>
      <c r="G79" s="331">
        <v>648.83000000000004</v>
      </c>
      <c r="H79" s="332" t="s">
        <v>1006</v>
      </c>
      <c r="I79" s="331">
        <v>648.83000000000004</v>
      </c>
      <c r="J79" s="389">
        <v>648.83000000000004</v>
      </c>
      <c r="K79" s="333">
        <f t="shared" si="1"/>
        <v>0</v>
      </c>
      <c r="L79" s="329"/>
    </row>
    <row r="80" spans="1:16">
      <c r="A80" s="296"/>
      <c r="B80" s="66"/>
      <c r="C80" s="29"/>
      <c r="D80" s="29"/>
      <c r="E80" s="342"/>
      <c r="F80" s="343"/>
      <c r="G80" s="344"/>
      <c r="H80" s="345">
        <f>SUM(H5:H79)</f>
        <v>2577.04</v>
      </c>
      <c r="I80" s="344"/>
      <c r="J80" s="346"/>
      <c r="K80" s="346"/>
      <c r="L80" s="385"/>
      <c r="M80" s="216"/>
      <c r="O80" s="15"/>
      <c r="P80" s="15"/>
    </row>
    <row r="81" spans="1:20">
      <c r="A81" s="296"/>
      <c r="E81" s="342"/>
      <c r="F81" s="343"/>
      <c r="G81" s="344"/>
      <c r="H81" s="344"/>
      <c r="I81" s="344"/>
      <c r="J81" s="346"/>
      <c r="K81" s="346"/>
      <c r="L81" s="385"/>
      <c r="M81" s="216"/>
      <c r="O81" s="15"/>
      <c r="P81" s="15"/>
    </row>
    <row r="82" spans="1:20">
      <c r="A82" s="438" t="s">
        <v>652</v>
      </c>
      <c r="B82" s="439"/>
      <c r="C82" s="439"/>
      <c r="D82" s="439"/>
      <c r="E82" s="439"/>
      <c r="F82" s="439"/>
      <c r="G82" s="440"/>
      <c r="H82" s="347"/>
      <c r="I82" s="348">
        <f>SUM(I5:I79)</f>
        <v>84703.7</v>
      </c>
      <c r="J82" s="383">
        <f>SUM(J5:J79)</f>
        <v>84703.680000000008</v>
      </c>
      <c r="K82" s="383"/>
      <c r="L82" s="386"/>
    </row>
    <row r="83" spans="1:20">
      <c r="A83" s="441" t="s">
        <v>1028</v>
      </c>
      <c r="B83" s="442"/>
      <c r="C83" s="443"/>
      <c r="D83" s="351"/>
      <c r="E83" s="352" t="s">
        <v>258</v>
      </c>
      <c r="F83" s="334">
        <v>73</v>
      </c>
      <c r="G83" s="329" t="s">
        <v>1029</v>
      </c>
      <c r="H83" s="351"/>
      <c r="I83" s="352" t="s">
        <v>258</v>
      </c>
      <c r="J83" s="343">
        <v>74</v>
      </c>
      <c r="K83" s="343"/>
      <c r="L83" s="161"/>
    </row>
    <row r="84" spans="1:20">
      <c r="A84" s="353"/>
      <c r="B84" s="352"/>
      <c r="C84" s="351"/>
      <c r="D84" s="351"/>
      <c r="E84" s="351" t="s">
        <v>930</v>
      </c>
      <c r="F84" s="330">
        <v>4</v>
      </c>
      <c r="G84" s="329"/>
      <c r="H84" s="351"/>
      <c r="I84" s="351" t="s">
        <v>930</v>
      </c>
      <c r="J84" s="343">
        <v>4</v>
      </c>
      <c r="K84" s="343"/>
      <c r="L84" s="161"/>
    </row>
    <row r="85" spans="1:20">
      <c r="A85" s="441"/>
      <c r="B85" s="442"/>
      <c r="C85" s="443"/>
      <c r="D85" s="351"/>
      <c r="E85" s="352" t="s">
        <v>931</v>
      </c>
      <c r="F85" s="355">
        <v>26</v>
      </c>
      <c r="G85" s="329"/>
      <c r="H85" s="351"/>
      <c r="I85" s="352" t="s">
        <v>931</v>
      </c>
      <c r="J85" s="343">
        <v>26</v>
      </c>
      <c r="K85" s="343"/>
      <c r="L85" s="161"/>
    </row>
    <row r="86" spans="1:20">
      <c r="A86" s="444"/>
      <c r="B86" s="445"/>
      <c r="C86" s="446"/>
      <c r="D86" s="356"/>
      <c r="E86" s="357" t="s">
        <v>246</v>
      </c>
      <c r="F86" s="358">
        <v>103</v>
      </c>
      <c r="G86" s="329"/>
      <c r="H86" s="393"/>
      <c r="I86" s="394" t="s">
        <v>246</v>
      </c>
      <c r="J86" s="395">
        <v>104</v>
      </c>
      <c r="K86" s="395"/>
      <c r="L86" s="161"/>
    </row>
    <row r="87" spans="1:20">
      <c r="A87" s="447" t="s">
        <v>830</v>
      </c>
      <c r="B87" s="448"/>
      <c r="C87" s="448"/>
      <c r="D87" s="448"/>
      <c r="E87" s="448"/>
      <c r="F87" s="448"/>
      <c r="G87" s="448"/>
      <c r="H87" s="381"/>
      <c r="I87" s="381"/>
      <c r="J87" s="396"/>
      <c r="K87" s="396"/>
      <c r="L87" s="392"/>
      <c r="N87" s="15"/>
    </row>
    <row r="88" spans="1:20">
      <c r="A88" s="334"/>
      <c r="B88" s="354">
        <v>2062</v>
      </c>
      <c r="C88" s="328" t="s">
        <v>757</v>
      </c>
      <c r="D88" s="328" t="s">
        <v>802</v>
      </c>
      <c r="E88" s="329" t="s">
        <v>1095</v>
      </c>
      <c r="F88" s="330">
        <v>2</v>
      </c>
      <c r="G88" s="331">
        <v>428.59</v>
      </c>
      <c r="H88" s="332" t="s">
        <v>1006</v>
      </c>
      <c r="I88" s="331">
        <v>428.59</v>
      </c>
      <c r="J88" s="331">
        <v>428.59</v>
      </c>
      <c r="K88" s="333"/>
      <c r="L88" s="196" t="s">
        <v>1096</v>
      </c>
      <c r="N88" s="15"/>
    </row>
    <row r="89" spans="1:20">
      <c r="A89" s="334"/>
      <c r="B89" s="354">
        <v>2062</v>
      </c>
      <c r="C89" s="328" t="s">
        <v>757</v>
      </c>
      <c r="D89" s="328" t="s">
        <v>802</v>
      </c>
      <c r="E89" s="329" t="s">
        <v>1095</v>
      </c>
      <c r="F89" s="330">
        <v>2</v>
      </c>
      <c r="G89" s="331">
        <v>428.59</v>
      </c>
      <c r="H89" s="332" t="s">
        <v>1006</v>
      </c>
      <c r="I89" s="331">
        <v>428.59</v>
      </c>
      <c r="J89" s="331">
        <v>428.59</v>
      </c>
      <c r="K89" s="333"/>
      <c r="L89" s="196" t="s">
        <v>1097</v>
      </c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>
        <v>2062</v>
      </c>
      <c r="C90" s="328" t="s">
        <v>757</v>
      </c>
      <c r="D90" s="328" t="s">
        <v>802</v>
      </c>
      <c r="E90" s="329" t="s">
        <v>1095</v>
      </c>
      <c r="F90" s="330">
        <v>2</v>
      </c>
      <c r="G90" s="331">
        <v>428.59</v>
      </c>
      <c r="H90" s="332" t="s">
        <v>1006</v>
      </c>
      <c r="I90" s="331">
        <v>428.59</v>
      </c>
      <c r="J90" s="331">
        <v>428.59</v>
      </c>
      <c r="K90" s="333"/>
      <c r="L90" s="196" t="s">
        <v>1098</v>
      </c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>
        <v>2336</v>
      </c>
      <c r="C91" s="328" t="s">
        <v>778</v>
      </c>
      <c r="D91" s="338" t="s">
        <v>1087</v>
      </c>
      <c r="E91" s="382" t="s">
        <v>853</v>
      </c>
      <c r="F91" s="330">
        <v>2</v>
      </c>
      <c r="G91" s="331">
        <v>-2030.37</v>
      </c>
      <c r="H91" s="332">
        <v>0</v>
      </c>
      <c r="I91" s="331">
        <v>-2030.37</v>
      </c>
      <c r="J91" s="331">
        <v>-2030.27</v>
      </c>
      <c r="K91" s="333"/>
      <c r="L91" s="196" t="s">
        <v>1099</v>
      </c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>
        <v>2336</v>
      </c>
      <c r="C92" s="328" t="s">
        <v>778</v>
      </c>
      <c r="D92" s="338" t="s">
        <v>1087</v>
      </c>
      <c r="E92" s="382" t="s">
        <v>853</v>
      </c>
      <c r="F92" s="330">
        <v>2</v>
      </c>
      <c r="G92" s="331">
        <v>-2030.37</v>
      </c>
      <c r="H92" s="332">
        <v>0</v>
      </c>
      <c r="I92" s="331">
        <v>-2030.37</v>
      </c>
      <c r="J92" s="331">
        <v>-2030.27</v>
      </c>
      <c r="K92" s="333"/>
      <c r="L92" s="196" t="s">
        <v>1100</v>
      </c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38"/>
      <c r="E93" s="329"/>
      <c r="F93" s="330"/>
      <c r="G93" s="331"/>
      <c r="H93" s="332"/>
      <c r="I93" s="331"/>
      <c r="J93" s="38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38"/>
      <c r="E94" s="329"/>
      <c r="F94" s="330"/>
      <c r="G94" s="331"/>
      <c r="H94" s="332"/>
      <c r="I94" s="331"/>
      <c r="J94" s="38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38"/>
      <c r="E95" s="382"/>
      <c r="F95" s="330"/>
      <c r="G95" s="331"/>
      <c r="H95" s="332"/>
      <c r="I95" s="331"/>
      <c r="J95" s="331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38"/>
      <c r="E96" s="382"/>
      <c r="F96" s="330"/>
      <c r="G96" s="331"/>
      <c r="H96" s="332"/>
      <c r="I96" s="331"/>
      <c r="J96" s="331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38"/>
      <c r="E97" s="382"/>
      <c r="F97" s="330"/>
      <c r="G97" s="331"/>
      <c r="H97" s="332"/>
      <c r="I97" s="331"/>
      <c r="J97" s="331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38"/>
      <c r="E98" s="382"/>
      <c r="F98" s="330"/>
      <c r="G98" s="331"/>
      <c r="H98" s="332"/>
      <c r="I98" s="331"/>
      <c r="J98" s="331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28"/>
      <c r="E99" s="329"/>
      <c r="F99" s="330"/>
      <c r="G99" s="331"/>
      <c r="H99" s="332"/>
      <c r="I99" s="332"/>
      <c r="J99" s="333"/>
      <c r="K99" s="333"/>
      <c r="L99" s="161"/>
      <c r="N99" s="15"/>
    </row>
    <row r="100" spans="1:20">
      <c r="A100" s="438" t="s">
        <v>846</v>
      </c>
      <c r="B100" s="439"/>
      <c r="C100" s="439"/>
      <c r="D100" s="439"/>
      <c r="E100" s="439"/>
      <c r="F100" s="439"/>
      <c r="G100" s="440"/>
      <c r="H100" s="348">
        <f>SUM(H88:H91)</f>
        <v>0</v>
      </c>
      <c r="I100" s="347"/>
      <c r="J100" s="348">
        <f>SUM(J88:J99)</f>
        <v>-2774.77</v>
      </c>
      <c r="K100" s="406"/>
      <c r="L100" s="402"/>
    </row>
    <row r="101" spans="1:20">
      <c r="A101" s="365"/>
      <c r="B101" s="366"/>
      <c r="C101" s="366"/>
      <c r="D101" s="366"/>
      <c r="E101" s="366"/>
      <c r="F101" s="367"/>
      <c r="G101" s="368"/>
      <c r="H101" s="368"/>
      <c r="I101" s="368"/>
      <c r="J101" s="349"/>
      <c r="K101" s="383"/>
      <c r="L101" s="364"/>
    </row>
    <row r="102" spans="1:20" ht="16">
      <c r="A102" s="435" t="s">
        <v>881</v>
      </c>
      <c r="B102" s="436"/>
      <c r="C102" s="436"/>
      <c r="D102" s="436"/>
      <c r="E102" s="436"/>
      <c r="F102" s="436"/>
      <c r="G102" s="437"/>
      <c r="H102" s="369"/>
      <c r="I102" s="369"/>
      <c r="J102" s="370">
        <f>SUM(J82,J100)</f>
        <v>81928.91</v>
      </c>
      <c r="K102" s="407"/>
      <c r="L102" s="350"/>
    </row>
    <row r="103" spans="1:20" ht="18">
      <c r="F103" s="3"/>
      <c r="G103" s="371" t="s">
        <v>1013</v>
      </c>
      <c r="H103" s="372">
        <v>45541</v>
      </c>
    </row>
    <row r="104" spans="1:20" ht="18">
      <c r="F104" s="3"/>
      <c r="G104" s="371" t="s">
        <v>1014</v>
      </c>
      <c r="H104" s="373" t="s">
        <v>990</v>
      </c>
      <c r="I104" s="373"/>
    </row>
    <row r="105" spans="1:20">
      <c r="F105" s="3"/>
      <c r="G105" s="216"/>
      <c r="H105" s="216"/>
      <c r="I105" s="216"/>
      <c r="J105" s="3"/>
      <c r="K105" s="3"/>
      <c r="L105" s="15"/>
      <c r="M105" s="216"/>
    </row>
    <row r="106" spans="1:20">
      <c r="F106" s="3"/>
      <c r="G106" s="216"/>
      <c r="H106" s="269"/>
      <c r="I106" s="216"/>
      <c r="J106" s="270"/>
      <c r="K106" s="270"/>
      <c r="L106" s="15"/>
      <c r="M106" s="216"/>
    </row>
    <row r="107" spans="1:20">
      <c r="F107" s="3"/>
      <c r="G107" s="216"/>
      <c r="H107" s="269"/>
      <c r="I107" s="216"/>
      <c r="J107" s="270"/>
      <c r="K107" s="270"/>
      <c r="L107" s="15"/>
      <c r="M107" s="216"/>
    </row>
    <row r="108" spans="1:20">
      <c r="F108" s="3"/>
      <c r="G108" s="216"/>
      <c r="H108" s="388">
        <f>SUM(H80,H100)</f>
        <v>2577.04</v>
      </c>
      <c r="I108" s="269">
        <f>J102-H108</f>
        <v>79351.87000000001</v>
      </c>
      <c r="J108" s="3"/>
      <c r="K108" s="3"/>
      <c r="L108" s="15"/>
      <c r="M108" s="216"/>
    </row>
    <row r="109" spans="1:20">
      <c r="F109" s="3"/>
      <c r="G109" s="216"/>
      <c r="H109" s="216"/>
      <c r="I109" s="216"/>
      <c r="J109" s="3"/>
      <c r="K109" s="3"/>
      <c r="L109" s="15"/>
      <c r="M109" s="216"/>
      <c r="Q109" s="3"/>
      <c r="R109" s="3"/>
      <c r="S109" s="3"/>
      <c r="T109" s="3"/>
    </row>
  </sheetData>
  <mergeCells count="7">
    <mergeCell ref="A102:G102"/>
    <mergeCell ref="A82:G82"/>
    <mergeCell ref="A83:C83"/>
    <mergeCell ref="A85:C85"/>
    <mergeCell ref="A86:C86"/>
    <mergeCell ref="A87:G87"/>
    <mergeCell ref="A100:G100"/>
  </mergeCells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EED2-95CA-6046-B500-BF4F3F7F46C5}">
  <dimension ref="A1:T110"/>
  <sheetViews>
    <sheetView topLeftCell="A83" zoomScale="170" zoomScaleNormal="170" workbookViewId="0">
      <selection activeCell="A83" sqref="A1:XFD1048576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45566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70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/>
      <c r="B11" s="354">
        <v>2331</v>
      </c>
      <c r="C11" s="328" t="s">
        <v>1073</v>
      </c>
      <c r="D11" s="328" t="s">
        <v>1074</v>
      </c>
      <c r="E11" s="329" t="s">
        <v>854</v>
      </c>
      <c r="F11" s="330">
        <v>1</v>
      </c>
      <c r="G11" s="331">
        <v>1077.42</v>
      </c>
      <c r="H11" s="332">
        <v>0</v>
      </c>
      <c r="I11" s="331">
        <v>1077.42</v>
      </c>
      <c r="J11" s="389">
        <v>1077.42</v>
      </c>
      <c r="K11" s="333">
        <f t="shared" si="0"/>
        <v>0</v>
      </c>
      <c r="L11" s="329"/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1469.89</v>
      </c>
      <c r="H12" s="332" t="s">
        <v>1006</v>
      </c>
      <c r="I12" s="331">
        <v>1469.89</v>
      </c>
      <c r="J12" s="389">
        <v>1469.89</v>
      </c>
      <c r="K12" s="333">
        <f t="shared" si="0"/>
        <v>0</v>
      </c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648.83000000000004</v>
      </c>
      <c r="H13" s="332" t="s">
        <v>1006</v>
      </c>
      <c r="I13" s="331">
        <v>648.83000000000004</v>
      </c>
      <c r="J13" s="389">
        <v>648.83000000000004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885.51</v>
      </c>
      <c r="H14" s="332" t="s">
        <v>1006</v>
      </c>
      <c r="I14" s="331">
        <v>885.51</v>
      </c>
      <c r="J14" s="389">
        <v>885.51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683.49</v>
      </c>
      <c r="H15" s="332" t="s">
        <v>1006</v>
      </c>
      <c r="I15" s="331">
        <v>683.49</v>
      </c>
      <c r="J15" s="389">
        <v>683.49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666.16</v>
      </c>
      <c r="H16" s="332" t="s">
        <v>1006</v>
      </c>
      <c r="I16" s="331">
        <v>666.16</v>
      </c>
      <c r="J16" s="389">
        <v>666.16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1262.08</v>
      </c>
      <c r="H17" s="332">
        <v>542.16</v>
      </c>
      <c r="I17" s="332">
        <v>1804.24</v>
      </c>
      <c r="J17" s="333">
        <v>1804.24</v>
      </c>
      <c r="K17" s="333">
        <f t="shared" si="0"/>
        <v>0</v>
      </c>
      <c r="L17" s="329"/>
    </row>
    <row r="18" spans="1:20">
      <c r="A18" s="334"/>
      <c r="B18" s="354">
        <v>2318</v>
      </c>
      <c r="C18" s="328" t="s">
        <v>1018</v>
      </c>
      <c r="D18" s="328" t="s">
        <v>1019</v>
      </c>
      <c r="E18" s="382" t="s">
        <v>851</v>
      </c>
      <c r="F18" s="330"/>
      <c r="G18" s="331">
        <v>790.72</v>
      </c>
      <c r="H18" s="332">
        <v>507.5</v>
      </c>
      <c r="I18" s="332">
        <f>SUM(G18:H18)</f>
        <v>1298.22</v>
      </c>
      <c r="J18" s="333">
        <v>1298.21</v>
      </c>
      <c r="K18" s="333">
        <f t="shared" si="0"/>
        <v>9.9999999999909051E-3</v>
      </c>
      <c r="L18" s="161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2065.64</v>
      </c>
      <c r="H19" s="332" t="s">
        <v>1006</v>
      </c>
      <c r="I19" s="331">
        <v>2065.64</v>
      </c>
      <c r="J19" s="389">
        <v>1521.88</v>
      </c>
      <c r="K19" s="333">
        <f t="shared" si="0"/>
        <v>543.75999999999976</v>
      </c>
      <c r="L19" s="161" t="s">
        <v>1085</v>
      </c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692.16</v>
      </c>
      <c r="H20" s="332" t="s">
        <v>1006</v>
      </c>
      <c r="I20" s="331">
        <v>692.16</v>
      </c>
      <c r="J20" s="389">
        <v>692.16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1090.42</v>
      </c>
      <c r="H21" s="332" t="s">
        <v>1006</v>
      </c>
      <c r="I21" s="331">
        <v>1090.42</v>
      </c>
      <c r="J21" s="389">
        <v>1090.42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756.04</v>
      </c>
      <c r="H22" s="332">
        <v>417.6</v>
      </c>
      <c r="I22" s="332">
        <f>SUM(G22:H22)</f>
        <v>1173.6399999999999</v>
      </c>
      <c r="J22" s="333">
        <v>1173.6300000000001</v>
      </c>
      <c r="K22" s="333">
        <f t="shared" si="0"/>
        <v>9.9999999997635314E-3</v>
      </c>
      <c r="L22" s="188"/>
      <c r="M22" s="403" t="s">
        <v>1042</v>
      </c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1551.66</v>
      </c>
      <c r="H23" s="332" t="s">
        <v>1006</v>
      </c>
      <c r="I23" s="331">
        <v>1551.66</v>
      </c>
      <c r="J23" s="389">
        <v>1551.66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1263.54</v>
      </c>
      <c r="H24" s="332" t="s">
        <v>1006</v>
      </c>
      <c r="I24" s="331">
        <v>1263.54</v>
      </c>
      <c r="J24" s="389">
        <v>1263.54</v>
      </c>
      <c r="K24" s="333">
        <f t="shared" si="0"/>
        <v>0</v>
      </c>
      <c r="L24" s="161"/>
    </row>
    <row r="25" spans="1:20">
      <c r="A25" s="334">
        <v>17</v>
      </c>
      <c r="B25" s="354">
        <v>2194</v>
      </c>
      <c r="C25" s="328" t="s">
        <v>749</v>
      </c>
      <c r="D25" s="338" t="s">
        <v>789</v>
      </c>
      <c r="E25" s="329" t="s">
        <v>852</v>
      </c>
      <c r="F25" s="330"/>
      <c r="G25" s="331">
        <v>606.04</v>
      </c>
      <c r="H25" s="332" t="s">
        <v>1006</v>
      </c>
      <c r="I25" s="331">
        <v>606.04</v>
      </c>
      <c r="J25" s="389">
        <v>606.04</v>
      </c>
      <c r="K25" s="333">
        <f t="shared" si="0"/>
        <v>0</v>
      </c>
      <c r="L25" s="161"/>
    </row>
    <row r="26" spans="1:20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331">
        <v>1379.98</v>
      </c>
      <c r="H26" s="332" t="s">
        <v>1006</v>
      </c>
      <c r="I26" s="331">
        <v>1379.98</v>
      </c>
      <c r="J26" s="389">
        <v>1379.98</v>
      </c>
      <c r="K26" s="333">
        <f t="shared" si="0"/>
        <v>0</v>
      </c>
      <c r="L26" s="161"/>
    </row>
    <row r="27" spans="1:20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683.49</v>
      </c>
      <c r="H27" s="332" t="s">
        <v>1006</v>
      </c>
      <c r="I27" s="331">
        <v>683.49</v>
      </c>
      <c r="J27" s="389">
        <v>683.49</v>
      </c>
      <c r="K27" s="333">
        <f t="shared" si="0"/>
        <v>0</v>
      </c>
      <c r="L27" s="161"/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541.59</v>
      </c>
      <c r="H28" s="332">
        <v>0</v>
      </c>
      <c r="I28" s="332">
        <v>541.59</v>
      </c>
      <c r="J28" s="335">
        <v>541.59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1549.34</v>
      </c>
      <c r="H29" s="332" t="s">
        <v>1006</v>
      </c>
      <c r="I29" s="331">
        <v>1549.34</v>
      </c>
      <c r="J29" s="389">
        <v>1549.34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661.83</v>
      </c>
      <c r="H30" s="332" t="s">
        <v>1006</v>
      </c>
      <c r="I30" s="331">
        <v>661.83</v>
      </c>
      <c r="J30" s="389">
        <v>661.83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567.59</v>
      </c>
      <c r="H31" s="332"/>
      <c r="I31" s="331">
        <v>567.59</v>
      </c>
      <c r="J31" s="389">
        <v>567.59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1379.98</v>
      </c>
      <c r="H32" s="332" t="s">
        <v>1006</v>
      </c>
      <c r="I32" s="391">
        <v>1379.98</v>
      </c>
      <c r="J32" s="389">
        <v>1379.98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1624.77</v>
      </c>
      <c r="H33" s="332" t="s">
        <v>1006</v>
      </c>
      <c r="I33" s="331">
        <v>1624.77</v>
      </c>
      <c r="J33" s="389">
        <v>1624.77</v>
      </c>
      <c r="K33" s="333">
        <f t="shared" si="0"/>
        <v>0</v>
      </c>
      <c r="L33" s="329"/>
    </row>
    <row r="34" spans="1:20">
      <c r="A34" s="334"/>
      <c r="B34" s="354">
        <v>2320</v>
      </c>
      <c r="C34" s="328" t="s">
        <v>1043</v>
      </c>
      <c r="D34" s="328" t="s">
        <v>1044</v>
      </c>
      <c r="E34" s="329" t="s">
        <v>852</v>
      </c>
      <c r="F34" s="330"/>
      <c r="G34" s="331">
        <v>567.59</v>
      </c>
      <c r="H34" s="332"/>
      <c r="I34" s="331">
        <v>567.59</v>
      </c>
      <c r="J34" s="389">
        <v>567.59</v>
      </c>
      <c r="K34" s="333">
        <f t="shared" si="0"/>
        <v>0</v>
      </c>
      <c r="L34" s="329"/>
    </row>
    <row r="35" spans="1:20">
      <c r="A35" s="334">
        <v>24</v>
      </c>
      <c r="B35" s="376" t="s">
        <v>675</v>
      </c>
      <c r="C35" s="328" t="s">
        <v>755</v>
      </c>
      <c r="D35" s="328" t="s">
        <v>796</v>
      </c>
      <c r="E35" s="329" t="s">
        <v>852</v>
      </c>
      <c r="F35" s="330"/>
      <c r="G35" s="331">
        <v>717.61</v>
      </c>
      <c r="H35" s="332" t="s">
        <v>1006</v>
      </c>
      <c r="I35" s="332">
        <v>717.61</v>
      </c>
      <c r="J35" s="333">
        <v>717.61</v>
      </c>
      <c r="K35" s="333">
        <f t="shared" si="0"/>
        <v>0</v>
      </c>
      <c r="L35" s="329"/>
    </row>
    <row r="36" spans="1:20">
      <c r="A36" s="334">
        <v>26</v>
      </c>
      <c r="B36" s="354">
        <v>1741</v>
      </c>
      <c r="C36" s="328" t="s">
        <v>755</v>
      </c>
      <c r="D36" s="328" t="s">
        <v>797</v>
      </c>
      <c r="E36" s="329" t="s">
        <v>852</v>
      </c>
      <c r="F36" s="330"/>
      <c r="G36" s="331">
        <v>1156.3</v>
      </c>
      <c r="H36" s="332" t="s">
        <v>1006</v>
      </c>
      <c r="I36" s="331">
        <v>1156.3</v>
      </c>
      <c r="J36" s="389">
        <v>1156.3</v>
      </c>
      <c r="K36" s="333">
        <f t="shared" si="0"/>
        <v>0</v>
      </c>
      <c r="L36" s="329"/>
    </row>
    <row r="37" spans="1:20">
      <c r="A37" s="334">
        <v>25</v>
      </c>
      <c r="B37" s="354">
        <v>1757</v>
      </c>
      <c r="C37" s="328" t="s">
        <v>755</v>
      </c>
      <c r="D37" s="338" t="s">
        <v>798</v>
      </c>
      <c r="E37" s="329" t="s">
        <v>853</v>
      </c>
      <c r="F37" s="330">
        <v>2</v>
      </c>
      <c r="G37" s="331">
        <v>1956.43</v>
      </c>
      <c r="H37" s="332" t="s">
        <v>1006</v>
      </c>
      <c r="I37" s="331">
        <v>1956.43</v>
      </c>
      <c r="J37" s="389">
        <v>1956.43</v>
      </c>
      <c r="K37" s="333">
        <f t="shared" si="0"/>
        <v>0</v>
      </c>
      <c r="L37" s="329"/>
      <c r="N37" s="12"/>
      <c r="O37" s="12"/>
      <c r="P37" s="12"/>
      <c r="Q37" s="12"/>
      <c r="R37" s="12"/>
      <c r="S37" s="12"/>
      <c r="T37" s="12"/>
    </row>
    <row r="38" spans="1:20">
      <c r="A38" s="334">
        <v>27</v>
      </c>
      <c r="B38" s="354">
        <v>2057</v>
      </c>
      <c r="C38" s="328" t="s">
        <v>756</v>
      </c>
      <c r="D38" s="338" t="s">
        <v>799</v>
      </c>
      <c r="E38" s="329" t="s">
        <v>852</v>
      </c>
      <c r="F38" s="330"/>
      <c r="G38" s="331">
        <v>1624.77</v>
      </c>
      <c r="H38" s="332" t="s">
        <v>1006</v>
      </c>
      <c r="I38" s="331">
        <v>1624.77</v>
      </c>
      <c r="J38" s="389">
        <v>1624.77</v>
      </c>
      <c r="K38" s="333">
        <f t="shared" si="0"/>
        <v>0</v>
      </c>
      <c r="L38" s="329"/>
    </row>
    <row r="39" spans="1:20">
      <c r="A39" s="334">
        <v>28</v>
      </c>
      <c r="B39" s="354">
        <v>1210</v>
      </c>
      <c r="C39" s="328" t="s">
        <v>756</v>
      </c>
      <c r="D39" s="338" t="s">
        <v>800</v>
      </c>
      <c r="E39" s="329" t="s">
        <v>852</v>
      </c>
      <c r="F39" s="330"/>
      <c r="G39" s="331">
        <v>1598.79</v>
      </c>
      <c r="H39" s="332" t="s">
        <v>1006</v>
      </c>
      <c r="I39" s="331">
        <v>1598.79</v>
      </c>
      <c r="J39" s="389">
        <v>1598.79</v>
      </c>
      <c r="K39" s="333">
        <f t="shared" si="0"/>
        <v>0</v>
      </c>
      <c r="L39" s="329"/>
    </row>
    <row r="40" spans="1:20">
      <c r="A40" s="334"/>
      <c r="B40" s="354">
        <v>2310</v>
      </c>
      <c r="C40" s="328" t="s">
        <v>756</v>
      </c>
      <c r="D40" s="338" t="s">
        <v>977</v>
      </c>
      <c r="E40" s="329" t="s">
        <v>852</v>
      </c>
      <c r="F40" s="330"/>
      <c r="G40" s="331">
        <v>923.96</v>
      </c>
      <c r="H40" s="332" t="s">
        <v>1006</v>
      </c>
      <c r="I40" s="331">
        <v>923.96</v>
      </c>
      <c r="J40" s="389">
        <v>923.96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853</v>
      </c>
      <c r="F43" s="330">
        <v>2</v>
      </c>
      <c r="G43" s="331">
        <v>1514.68</v>
      </c>
      <c r="H43" s="332">
        <v>0</v>
      </c>
      <c r="I43" s="331">
        <v>1514.68</v>
      </c>
      <c r="J43" s="389">
        <v>1514.68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>
        <v>1</v>
      </c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/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854</v>
      </c>
      <c r="F45" s="330">
        <v>1</v>
      </c>
      <c r="G45" s="331">
        <v>1514.68</v>
      </c>
      <c r="H45" s="332" t="s">
        <v>1006</v>
      </c>
      <c r="I45" s="331">
        <v>1514.68</v>
      </c>
      <c r="J45" s="389">
        <v>1094.75</v>
      </c>
      <c r="K45" s="333">
        <f t="shared" si="0"/>
        <v>419.93000000000006</v>
      </c>
      <c r="L45" s="329" t="s">
        <v>1092</v>
      </c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>
        <v>661.83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1350.93</v>
      </c>
      <c r="H55" s="332" t="s">
        <v>1006</v>
      </c>
      <c r="I55" s="331">
        <v>1350.93</v>
      </c>
      <c r="J55" s="389">
        <v>1350.93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1584.89</v>
      </c>
      <c r="H56" s="332" t="s">
        <v>1006</v>
      </c>
      <c r="I56" s="331">
        <v>1584.89</v>
      </c>
      <c r="J56" s="389">
        <v>1584.89</v>
      </c>
      <c r="K56" s="333">
        <f t="shared" si="0"/>
        <v>0</v>
      </c>
      <c r="L56" s="329"/>
    </row>
    <row r="57" spans="1:12">
      <c r="A57" s="334">
        <v>44</v>
      </c>
      <c r="B57" s="354">
        <v>2001</v>
      </c>
      <c r="C57" s="328" t="s">
        <v>766</v>
      </c>
      <c r="D57" s="338" t="s">
        <v>814</v>
      </c>
      <c r="E57" s="329" t="s">
        <v>852</v>
      </c>
      <c r="F57" s="330"/>
      <c r="G57" s="331">
        <v>1319.87</v>
      </c>
      <c r="H57" s="332" t="s">
        <v>1006</v>
      </c>
      <c r="I57" s="331">
        <v>1319.87</v>
      </c>
      <c r="J57" s="389">
        <v>1319.87</v>
      </c>
      <c r="K57" s="333">
        <f t="shared" si="0"/>
        <v>0</v>
      </c>
      <c r="L57" s="329"/>
    </row>
    <row r="58" spans="1:12">
      <c r="A58" s="334">
        <v>45</v>
      </c>
      <c r="B58" s="354">
        <v>2160</v>
      </c>
      <c r="C58" s="328" t="s">
        <v>767</v>
      </c>
      <c r="D58" s="338" t="s">
        <v>815</v>
      </c>
      <c r="E58" s="329" t="s">
        <v>854</v>
      </c>
      <c r="F58" s="330">
        <v>1</v>
      </c>
      <c r="G58" s="331">
        <v>1921.57</v>
      </c>
      <c r="H58" s="332" t="s">
        <v>1006</v>
      </c>
      <c r="I58" s="331">
        <v>1921.57</v>
      </c>
      <c r="J58" s="389">
        <v>1921.57</v>
      </c>
      <c r="K58" s="333">
        <f t="shared" si="0"/>
        <v>0</v>
      </c>
      <c r="L58" s="329"/>
    </row>
    <row r="59" spans="1:12">
      <c r="A59" s="334">
        <v>47</v>
      </c>
      <c r="B59" s="354">
        <v>2279</v>
      </c>
      <c r="C59" s="328" t="s">
        <v>769</v>
      </c>
      <c r="D59" s="328" t="s">
        <v>843</v>
      </c>
      <c r="E59" s="329" t="s">
        <v>852</v>
      </c>
      <c r="F59" s="330"/>
      <c r="G59" s="331">
        <v>554.59</v>
      </c>
      <c r="H59" s="332" t="s">
        <v>1006</v>
      </c>
      <c r="I59" s="331">
        <v>554.59</v>
      </c>
      <c r="J59" s="389">
        <v>554.59</v>
      </c>
      <c r="K59" s="333">
        <f t="shared" si="0"/>
        <v>0</v>
      </c>
      <c r="L59" s="161"/>
    </row>
    <row r="60" spans="1:12">
      <c r="A60" s="334">
        <v>48</v>
      </c>
      <c r="B60" s="354">
        <v>2246</v>
      </c>
      <c r="C60" s="328" t="s">
        <v>769</v>
      </c>
      <c r="D60" s="338" t="s">
        <v>817</v>
      </c>
      <c r="E60" s="329" t="s">
        <v>852</v>
      </c>
      <c r="F60" s="330"/>
      <c r="G60" s="331">
        <v>648.83000000000004</v>
      </c>
      <c r="H60" s="332" t="s">
        <v>1006</v>
      </c>
      <c r="I60" s="331">
        <v>648.83000000000004</v>
      </c>
      <c r="J60" s="389">
        <v>648.83000000000004</v>
      </c>
      <c r="K60" s="333">
        <f t="shared" si="0"/>
        <v>0</v>
      </c>
      <c r="L60" s="188"/>
    </row>
    <row r="61" spans="1:12">
      <c r="A61" s="334">
        <v>49</v>
      </c>
      <c r="B61" s="354">
        <v>2018</v>
      </c>
      <c r="C61" s="328" t="s">
        <v>770</v>
      </c>
      <c r="D61" s="328" t="s">
        <v>818</v>
      </c>
      <c r="E61" s="329" t="s">
        <v>852</v>
      </c>
      <c r="F61" s="330"/>
      <c r="G61" s="331">
        <v>1624.77</v>
      </c>
      <c r="H61" s="332" t="s">
        <v>1006</v>
      </c>
      <c r="I61" s="331">
        <v>1624.77</v>
      </c>
      <c r="J61" s="389">
        <v>1624.77</v>
      </c>
      <c r="K61" s="333">
        <f t="shared" si="0"/>
        <v>0</v>
      </c>
      <c r="L61" s="161"/>
    </row>
    <row r="62" spans="1:12">
      <c r="A62" s="334"/>
      <c r="B62" s="354">
        <v>2329</v>
      </c>
      <c r="C62" s="328" t="s">
        <v>1070</v>
      </c>
      <c r="D62" s="328" t="s">
        <v>1071</v>
      </c>
      <c r="E62" s="329" t="s">
        <v>852</v>
      </c>
      <c r="F62" s="330"/>
      <c r="G62" s="331">
        <v>541.59</v>
      </c>
      <c r="H62" s="332">
        <v>0</v>
      </c>
      <c r="I62" s="331">
        <v>541.59</v>
      </c>
      <c r="J62" s="331">
        <v>541.59</v>
      </c>
      <c r="K62" s="333"/>
      <c r="L62" s="329"/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1379.98</v>
      </c>
      <c r="H63" s="332" t="s">
        <v>1006</v>
      </c>
      <c r="I63" s="331">
        <v>1379.98</v>
      </c>
      <c r="J63" s="333">
        <v>1379.98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661.83</v>
      </c>
      <c r="H64" s="332" t="s">
        <v>1006</v>
      </c>
      <c r="I64" s="331">
        <v>661.83</v>
      </c>
      <c r="J64" s="389">
        <v>661.83</v>
      </c>
      <c r="K64" s="333">
        <f t="shared" si="0"/>
        <v>0</v>
      </c>
      <c r="L64" s="329"/>
    </row>
    <row r="65" spans="1:12">
      <c r="A65" s="334"/>
      <c r="B65" s="354">
        <v>2288</v>
      </c>
      <c r="C65" s="328" t="s">
        <v>772</v>
      </c>
      <c r="D65" s="338" t="s">
        <v>820</v>
      </c>
      <c r="E65" s="329" t="s">
        <v>852</v>
      </c>
      <c r="F65" s="330"/>
      <c r="G65" s="331">
        <v>588.71</v>
      </c>
      <c r="H65" s="332"/>
      <c r="I65" s="331">
        <v>588.71</v>
      </c>
      <c r="J65" s="389">
        <v>588.71</v>
      </c>
      <c r="K65" s="333">
        <f t="shared" si="0"/>
        <v>0</v>
      </c>
      <c r="L65" s="329"/>
    </row>
    <row r="66" spans="1:12">
      <c r="A66" s="334">
        <v>52</v>
      </c>
      <c r="B66" s="354">
        <v>2060</v>
      </c>
      <c r="C66" s="328" t="s">
        <v>487</v>
      </c>
      <c r="D66" s="328" t="s">
        <v>516</v>
      </c>
      <c r="E66" s="329" t="s">
        <v>852</v>
      </c>
      <c r="F66" s="330"/>
      <c r="G66" s="331">
        <v>1057.19</v>
      </c>
      <c r="H66" s="332" t="s">
        <v>1006</v>
      </c>
      <c r="I66" s="331">
        <v>1057.19</v>
      </c>
      <c r="J66" s="389">
        <v>1057.19</v>
      </c>
      <c r="K66" s="333">
        <f t="shared" si="0"/>
        <v>0</v>
      </c>
      <c r="L66" s="329"/>
    </row>
    <row r="67" spans="1:12">
      <c r="A67" s="334"/>
      <c r="B67" s="354">
        <v>2333</v>
      </c>
      <c r="C67" s="328" t="s">
        <v>1078</v>
      </c>
      <c r="D67" s="328" t="s">
        <v>1079</v>
      </c>
      <c r="E67" s="329" t="s">
        <v>854</v>
      </c>
      <c r="F67" s="330">
        <v>1</v>
      </c>
      <c r="G67" s="331">
        <v>1086.0899999999999</v>
      </c>
      <c r="H67" s="332">
        <v>0</v>
      </c>
      <c r="I67" s="331">
        <v>1086.0899999999999</v>
      </c>
      <c r="J67" s="389">
        <v>1086.0899999999999</v>
      </c>
      <c r="K67" s="333">
        <f t="shared" si="0"/>
        <v>0</v>
      </c>
      <c r="L67" s="329"/>
    </row>
    <row r="68" spans="1:12">
      <c r="A68" s="334">
        <v>54</v>
      </c>
      <c r="B68" s="354">
        <v>1050</v>
      </c>
      <c r="C68" s="328" t="s">
        <v>773</v>
      </c>
      <c r="D68" s="328" t="s">
        <v>821</v>
      </c>
      <c r="E68" s="329" t="s">
        <v>852</v>
      </c>
      <c r="F68" s="330"/>
      <c r="G68" s="331">
        <v>1624.77</v>
      </c>
      <c r="H68" s="332" t="s">
        <v>1006</v>
      </c>
      <c r="I68" s="331">
        <v>1624.77</v>
      </c>
      <c r="J68" s="389">
        <v>1624.77</v>
      </c>
      <c r="K68" s="333">
        <f t="shared" si="0"/>
        <v>0</v>
      </c>
      <c r="L68" s="329"/>
    </row>
    <row r="69" spans="1:12">
      <c r="A69" s="334">
        <v>55</v>
      </c>
      <c r="B69" s="354">
        <v>1964</v>
      </c>
      <c r="C69" s="328" t="s">
        <v>491</v>
      </c>
      <c r="D69" s="328" t="s">
        <v>456</v>
      </c>
      <c r="E69" s="329" t="s">
        <v>852</v>
      </c>
      <c r="F69" s="330"/>
      <c r="G69" s="331">
        <v>846.51</v>
      </c>
      <c r="H69" s="332" t="s">
        <v>1006</v>
      </c>
      <c r="I69" s="331">
        <v>846.51</v>
      </c>
      <c r="J69" s="389">
        <v>846.51</v>
      </c>
      <c r="K69" s="333">
        <f t="shared" si="0"/>
        <v>0</v>
      </c>
      <c r="L69" s="329"/>
    </row>
    <row r="70" spans="1:12">
      <c r="A70" s="334">
        <v>57</v>
      </c>
      <c r="B70" s="354">
        <v>1981</v>
      </c>
      <c r="C70" s="328" t="s">
        <v>774</v>
      </c>
      <c r="D70" s="338" t="s">
        <v>822</v>
      </c>
      <c r="E70" s="329" t="s">
        <v>852</v>
      </c>
      <c r="F70" s="330"/>
      <c r="G70" s="331">
        <v>683.49</v>
      </c>
      <c r="H70" s="332" t="s">
        <v>1006</v>
      </c>
      <c r="I70" s="331">
        <v>683.49</v>
      </c>
      <c r="J70" s="389">
        <v>683.49</v>
      </c>
      <c r="K70" s="333">
        <f t="shared" si="0"/>
        <v>0</v>
      </c>
      <c r="L70" s="329"/>
    </row>
    <row r="71" spans="1:12">
      <c r="A71" s="334">
        <v>56</v>
      </c>
      <c r="B71" s="354">
        <v>1662</v>
      </c>
      <c r="C71" s="328" t="s">
        <v>774</v>
      </c>
      <c r="D71" s="328" t="s">
        <v>823</v>
      </c>
      <c r="E71" s="329" t="s">
        <v>852</v>
      </c>
      <c r="F71" s="330"/>
      <c r="G71" s="331">
        <v>885.51</v>
      </c>
      <c r="H71" s="332" t="s">
        <v>1006</v>
      </c>
      <c r="I71" s="331">
        <v>885.51</v>
      </c>
      <c r="J71" s="389">
        <v>885.51</v>
      </c>
      <c r="K71" s="333">
        <f t="shared" ref="K71:K80" si="1">I71-J71</f>
        <v>0</v>
      </c>
      <c r="L71" s="329"/>
    </row>
    <row r="72" spans="1:12">
      <c r="A72" s="334">
        <v>58</v>
      </c>
      <c r="B72" s="354">
        <v>1630</v>
      </c>
      <c r="C72" s="328" t="s">
        <v>775</v>
      </c>
      <c r="D72" s="338" t="s">
        <v>824</v>
      </c>
      <c r="E72" s="329" t="s">
        <v>852</v>
      </c>
      <c r="F72" s="330"/>
      <c r="G72" s="331">
        <v>1207.76</v>
      </c>
      <c r="H72" s="332" t="s">
        <v>1006</v>
      </c>
      <c r="I72" s="331">
        <v>1207.76</v>
      </c>
      <c r="J72" s="389">
        <v>1207.76</v>
      </c>
      <c r="K72" s="333">
        <f t="shared" si="1"/>
        <v>0</v>
      </c>
      <c r="L72" s="329"/>
    </row>
    <row r="73" spans="1:12">
      <c r="A73" s="334"/>
      <c r="B73" s="354">
        <v>2337</v>
      </c>
      <c r="C73" s="328" t="s">
        <v>777</v>
      </c>
      <c r="D73" s="338" t="s">
        <v>1080</v>
      </c>
      <c r="E73" s="329" t="s">
        <v>852</v>
      </c>
      <c r="F73" s="330"/>
      <c r="G73" s="331">
        <v>627.71</v>
      </c>
      <c r="H73" s="332">
        <v>0</v>
      </c>
      <c r="I73" s="331">
        <v>627.71</v>
      </c>
      <c r="J73" s="389">
        <v>627.71</v>
      </c>
      <c r="K73" s="333">
        <f t="shared" si="1"/>
        <v>0</v>
      </c>
      <c r="L73" s="329"/>
    </row>
    <row r="74" spans="1:12">
      <c r="A74" s="334">
        <v>61</v>
      </c>
      <c r="B74" s="354">
        <v>2010</v>
      </c>
      <c r="C74" s="328" t="s">
        <v>777</v>
      </c>
      <c r="D74" s="328" t="s">
        <v>826</v>
      </c>
      <c r="E74" s="329" t="s">
        <v>852</v>
      </c>
      <c r="F74" s="330"/>
      <c r="G74" s="331">
        <v>1010.07</v>
      </c>
      <c r="H74" s="332" t="s">
        <v>1006</v>
      </c>
      <c r="I74" s="331">
        <v>1010.07</v>
      </c>
      <c r="J74" s="389">
        <v>1010.07</v>
      </c>
      <c r="K74" s="333">
        <f t="shared" si="1"/>
        <v>0</v>
      </c>
      <c r="L74" s="329"/>
    </row>
    <row r="75" spans="1:12">
      <c r="A75" s="334">
        <v>60</v>
      </c>
      <c r="B75" s="354">
        <v>2187</v>
      </c>
      <c r="C75" s="328" t="s">
        <v>777</v>
      </c>
      <c r="D75" s="328" t="s">
        <v>827</v>
      </c>
      <c r="E75" s="329" t="s">
        <v>853</v>
      </c>
      <c r="F75" s="330">
        <v>2</v>
      </c>
      <c r="G75" s="331">
        <v>1889.46</v>
      </c>
      <c r="H75" s="332" t="s">
        <v>1006</v>
      </c>
      <c r="I75" s="391">
        <v>1889.46</v>
      </c>
      <c r="J75" s="389">
        <v>1889.46</v>
      </c>
      <c r="K75" s="333">
        <f t="shared" si="1"/>
        <v>0</v>
      </c>
      <c r="L75" s="329"/>
    </row>
    <row r="76" spans="1:12">
      <c r="A76" s="334">
        <v>62</v>
      </c>
      <c r="B76" s="354">
        <v>2095</v>
      </c>
      <c r="C76" s="328" t="s">
        <v>778</v>
      </c>
      <c r="D76" s="338" t="s">
        <v>828</v>
      </c>
      <c r="E76" s="329" t="s">
        <v>852</v>
      </c>
      <c r="F76" s="330"/>
      <c r="G76" s="331">
        <v>648.83000000000004</v>
      </c>
      <c r="H76" s="332" t="s">
        <v>1006</v>
      </c>
      <c r="I76" s="331">
        <v>648.83000000000004</v>
      </c>
      <c r="J76" s="389">
        <v>648.83000000000004</v>
      </c>
      <c r="K76" s="333">
        <f t="shared" si="1"/>
        <v>0</v>
      </c>
      <c r="L76" s="329"/>
    </row>
    <row r="77" spans="1:12">
      <c r="A77" s="334">
        <v>63</v>
      </c>
      <c r="B77" s="354">
        <v>2064</v>
      </c>
      <c r="C77" s="328" t="s">
        <v>778</v>
      </c>
      <c r="D77" s="338" t="s">
        <v>829</v>
      </c>
      <c r="E77" s="341" t="s">
        <v>856</v>
      </c>
      <c r="F77" s="330">
        <v>2</v>
      </c>
      <c r="G77" s="331">
        <v>1682.01</v>
      </c>
      <c r="H77" s="332">
        <v>584.94000000000005</v>
      </c>
      <c r="I77" s="332">
        <f>SUM(G77:H77)</f>
        <v>2266.9499999999998</v>
      </c>
      <c r="J77" s="333">
        <v>2266.9499999999998</v>
      </c>
      <c r="K77" s="333">
        <f t="shared" si="1"/>
        <v>0</v>
      </c>
      <c r="L77" s="329"/>
    </row>
    <row r="78" spans="1:12">
      <c r="A78" s="334"/>
      <c r="B78" s="354">
        <v>2336</v>
      </c>
      <c r="C78" s="328" t="s">
        <v>778</v>
      </c>
      <c r="D78" s="338" t="s">
        <v>1087</v>
      </c>
      <c r="E78" s="382" t="s">
        <v>853</v>
      </c>
      <c r="F78" s="330">
        <v>2</v>
      </c>
      <c r="G78" s="331">
        <v>2030.37</v>
      </c>
      <c r="H78" s="332">
        <v>0</v>
      </c>
      <c r="I78" s="331">
        <v>2030.37</v>
      </c>
      <c r="J78" s="331">
        <v>2030.27</v>
      </c>
      <c r="K78" s="333">
        <v>0</v>
      </c>
      <c r="L78" s="329"/>
    </row>
    <row r="79" spans="1:12">
      <c r="A79" s="334"/>
      <c r="B79" s="354">
        <v>2335</v>
      </c>
      <c r="C79" s="328" t="s">
        <v>870</v>
      </c>
      <c r="D79" s="338" t="s">
        <v>1081</v>
      </c>
      <c r="E79" s="382" t="s">
        <v>852</v>
      </c>
      <c r="F79" s="330"/>
      <c r="G79" s="331">
        <v>554.59</v>
      </c>
      <c r="H79" s="332">
        <v>0</v>
      </c>
      <c r="I79" s="331">
        <v>554.59</v>
      </c>
      <c r="J79" s="331">
        <v>554.59</v>
      </c>
      <c r="K79" s="333">
        <v>0</v>
      </c>
      <c r="L79" s="329"/>
    </row>
    <row r="80" spans="1:12">
      <c r="A80" s="334"/>
      <c r="B80" s="354">
        <v>2089</v>
      </c>
      <c r="C80" s="328" t="s">
        <v>870</v>
      </c>
      <c r="D80" s="338" t="s">
        <v>1007</v>
      </c>
      <c r="E80" s="329" t="s">
        <v>852</v>
      </c>
      <c r="F80" s="330"/>
      <c r="G80" s="331">
        <v>648.83000000000004</v>
      </c>
      <c r="H80" s="332" t="s">
        <v>1006</v>
      </c>
      <c r="I80" s="331">
        <v>648.83000000000004</v>
      </c>
      <c r="J80" s="389">
        <v>648.83000000000004</v>
      </c>
      <c r="K80" s="333">
        <f t="shared" si="1"/>
        <v>0</v>
      </c>
      <c r="L80" s="329"/>
    </row>
    <row r="81" spans="1:20">
      <c r="A81" s="296"/>
      <c r="B81" s="66"/>
      <c r="C81" s="29"/>
      <c r="D81" s="29"/>
      <c r="E81" s="342"/>
      <c r="F81" s="343"/>
      <c r="G81" s="344"/>
      <c r="H81" s="345">
        <f>SUM(H5:H80)</f>
        <v>2577.04</v>
      </c>
      <c r="I81" s="344"/>
      <c r="J81" s="346"/>
      <c r="K81" s="346"/>
      <c r="L81" s="385"/>
      <c r="M81" s="216"/>
      <c r="O81" s="15"/>
      <c r="P81" s="15"/>
    </row>
    <row r="82" spans="1:20">
      <c r="A82" s="296"/>
      <c r="E82" s="342"/>
      <c r="F82" s="343"/>
      <c r="G82" s="344"/>
      <c r="H82" s="344"/>
      <c r="I82" s="344"/>
      <c r="J82" s="346"/>
      <c r="K82" s="346"/>
      <c r="L82" s="385"/>
      <c r="M82" s="216"/>
      <c r="O82" s="15"/>
      <c r="P82" s="15"/>
    </row>
    <row r="83" spans="1:20">
      <c r="A83" s="438" t="s">
        <v>652</v>
      </c>
      <c r="B83" s="439"/>
      <c r="C83" s="439"/>
      <c r="D83" s="439"/>
      <c r="E83" s="439"/>
      <c r="F83" s="439"/>
      <c r="G83" s="440"/>
      <c r="H83" s="347"/>
      <c r="I83" s="348">
        <f>SUM(I5:I80)</f>
        <v>87269.169999999984</v>
      </c>
      <c r="J83" s="383">
        <f>SUM(J5:J80)</f>
        <v>86305.360000000015</v>
      </c>
      <c r="K83" s="383"/>
      <c r="L83" s="386"/>
    </row>
    <row r="84" spans="1:20">
      <c r="A84" s="441" t="s">
        <v>1028</v>
      </c>
      <c r="B84" s="442"/>
      <c r="C84" s="443"/>
      <c r="D84" s="351"/>
      <c r="E84" s="352" t="s">
        <v>258</v>
      </c>
      <c r="F84" s="334">
        <v>73</v>
      </c>
      <c r="G84" s="329" t="s">
        <v>1029</v>
      </c>
      <c r="H84" s="351"/>
      <c r="I84" s="352" t="s">
        <v>258</v>
      </c>
      <c r="J84" s="343">
        <v>74</v>
      </c>
      <c r="K84" s="343"/>
      <c r="L84" s="161"/>
    </row>
    <row r="85" spans="1:20">
      <c r="A85" s="353"/>
      <c r="B85" s="352"/>
      <c r="C85" s="351"/>
      <c r="D85" s="351"/>
      <c r="E85" s="351" t="s">
        <v>930</v>
      </c>
      <c r="F85" s="330">
        <v>4</v>
      </c>
      <c r="G85" s="329"/>
      <c r="H85" s="351"/>
      <c r="I85" s="351" t="s">
        <v>930</v>
      </c>
      <c r="J85" s="343">
        <v>4</v>
      </c>
      <c r="K85" s="343"/>
      <c r="L85" s="161"/>
    </row>
    <row r="86" spans="1:20">
      <c r="A86" s="441"/>
      <c r="B86" s="442"/>
      <c r="C86" s="443"/>
      <c r="D86" s="351"/>
      <c r="E86" s="352" t="s">
        <v>931</v>
      </c>
      <c r="F86" s="355">
        <v>26</v>
      </c>
      <c r="G86" s="329"/>
      <c r="H86" s="351"/>
      <c r="I86" s="352" t="s">
        <v>931</v>
      </c>
      <c r="J86" s="343">
        <v>26</v>
      </c>
      <c r="K86" s="343"/>
      <c r="L86" s="161"/>
    </row>
    <row r="87" spans="1:20">
      <c r="A87" s="444"/>
      <c r="B87" s="445"/>
      <c r="C87" s="446"/>
      <c r="D87" s="356"/>
      <c r="E87" s="357" t="s">
        <v>246</v>
      </c>
      <c r="F87" s="358">
        <v>103</v>
      </c>
      <c r="G87" s="329"/>
      <c r="H87" s="393"/>
      <c r="I87" s="394" t="s">
        <v>246</v>
      </c>
      <c r="J87" s="395">
        <v>104</v>
      </c>
      <c r="K87" s="395"/>
      <c r="L87" s="161"/>
    </row>
    <row r="88" spans="1:20">
      <c r="A88" s="447" t="s">
        <v>830</v>
      </c>
      <c r="B88" s="448"/>
      <c r="C88" s="448"/>
      <c r="D88" s="448"/>
      <c r="E88" s="448"/>
      <c r="F88" s="448"/>
      <c r="G88" s="448"/>
      <c r="H88" s="381"/>
      <c r="I88" s="381"/>
      <c r="J88" s="396"/>
      <c r="K88" s="396"/>
      <c r="L88" s="392"/>
      <c r="N88" s="15"/>
    </row>
    <row r="89" spans="1:20">
      <c r="A89" s="334"/>
      <c r="B89" s="354"/>
      <c r="C89" s="328"/>
      <c r="D89" s="328"/>
      <c r="E89" s="382"/>
      <c r="F89" s="330"/>
      <c r="G89" s="331"/>
      <c r="H89" s="332"/>
      <c r="I89" s="331"/>
      <c r="J89" s="389"/>
      <c r="K89" s="333"/>
      <c r="L89" s="196"/>
      <c r="N89" s="15"/>
    </row>
    <row r="90" spans="1:20">
      <c r="A90" s="334"/>
      <c r="B90" s="354"/>
      <c r="C90" s="328"/>
      <c r="D90" s="328"/>
      <c r="E90" s="382"/>
      <c r="F90" s="330"/>
      <c r="G90" s="331"/>
      <c r="H90" s="332"/>
      <c r="I90" s="331"/>
      <c r="J90" s="389"/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28"/>
      <c r="E91" s="329"/>
      <c r="F91" s="330"/>
      <c r="G91" s="331"/>
      <c r="H91" s="332"/>
      <c r="I91" s="331"/>
      <c r="J91" s="389"/>
      <c r="K91" s="333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28"/>
      <c r="E92" s="329"/>
      <c r="F92" s="330"/>
      <c r="G92" s="331"/>
      <c r="H92" s="332"/>
      <c r="I92" s="331"/>
      <c r="J92" s="389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28"/>
      <c r="E93" s="329"/>
      <c r="F93" s="330"/>
      <c r="G93" s="331"/>
      <c r="H93" s="332"/>
      <c r="I93" s="331"/>
      <c r="J93" s="38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38"/>
      <c r="E94" s="329"/>
      <c r="F94" s="330"/>
      <c r="G94" s="331"/>
      <c r="H94" s="332"/>
      <c r="I94" s="331"/>
      <c r="J94" s="38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38"/>
      <c r="E95" s="329"/>
      <c r="F95" s="330"/>
      <c r="G95" s="331"/>
      <c r="H95" s="332"/>
      <c r="I95" s="331"/>
      <c r="J95" s="38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38"/>
      <c r="E96" s="382"/>
      <c r="F96" s="330"/>
      <c r="G96" s="331"/>
      <c r="H96" s="332"/>
      <c r="I96" s="331"/>
      <c r="J96" s="331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38"/>
      <c r="E97" s="382"/>
      <c r="F97" s="330"/>
      <c r="G97" s="331"/>
      <c r="H97" s="332"/>
      <c r="I97" s="331"/>
      <c r="J97" s="331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38"/>
      <c r="E98" s="382"/>
      <c r="F98" s="330"/>
      <c r="G98" s="331"/>
      <c r="H98" s="332"/>
      <c r="I98" s="331"/>
      <c r="J98" s="331"/>
      <c r="K98" s="333"/>
      <c r="L98" s="196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38"/>
      <c r="E99" s="382"/>
      <c r="F99" s="330"/>
      <c r="G99" s="331"/>
      <c r="H99" s="332"/>
      <c r="I99" s="331"/>
      <c r="J99" s="331"/>
      <c r="K99" s="333"/>
      <c r="L99" s="196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28"/>
      <c r="E100" s="329"/>
      <c r="F100" s="330"/>
      <c r="G100" s="331"/>
      <c r="H100" s="332"/>
      <c r="I100" s="332"/>
      <c r="J100" s="333"/>
      <c r="K100" s="333"/>
      <c r="L100" s="161"/>
      <c r="N100" s="15"/>
    </row>
    <row r="101" spans="1:20">
      <c r="A101" s="438" t="s">
        <v>846</v>
      </c>
      <c r="B101" s="439"/>
      <c r="C101" s="439"/>
      <c r="D101" s="439"/>
      <c r="E101" s="439"/>
      <c r="F101" s="439"/>
      <c r="G101" s="440"/>
      <c r="H101" s="348">
        <f>SUM(H89:H92)</f>
        <v>0</v>
      </c>
      <c r="I101" s="347"/>
      <c r="J101" s="348">
        <f>SUM(J89:J100)</f>
        <v>0</v>
      </c>
      <c r="K101" s="406"/>
      <c r="L101" s="402"/>
    </row>
    <row r="102" spans="1:20">
      <c r="A102" s="365"/>
      <c r="B102" s="366"/>
      <c r="C102" s="366"/>
      <c r="D102" s="366"/>
      <c r="E102" s="366"/>
      <c r="F102" s="367"/>
      <c r="G102" s="368"/>
      <c r="H102" s="368"/>
      <c r="I102" s="368"/>
      <c r="J102" s="349"/>
      <c r="K102" s="383"/>
      <c r="L102" s="364"/>
    </row>
    <row r="103" spans="1:20" ht="16">
      <c r="A103" s="435" t="s">
        <v>881</v>
      </c>
      <c r="B103" s="436"/>
      <c r="C103" s="436"/>
      <c r="D103" s="436"/>
      <c r="E103" s="436"/>
      <c r="F103" s="436"/>
      <c r="G103" s="437"/>
      <c r="H103" s="369"/>
      <c r="I103" s="369"/>
      <c r="J103" s="370">
        <f>SUM(J83,J101)</f>
        <v>86305.360000000015</v>
      </c>
      <c r="K103" s="407"/>
      <c r="L103" s="350"/>
    </row>
    <row r="104" spans="1:20" ht="18">
      <c r="F104" s="3"/>
      <c r="G104" s="371" t="s">
        <v>1013</v>
      </c>
      <c r="H104" s="372">
        <v>45541</v>
      </c>
    </row>
    <row r="105" spans="1:20" ht="18">
      <c r="F105" s="3"/>
      <c r="G105" s="371" t="s">
        <v>1014</v>
      </c>
      <c r="H105" s="373" t="s">
        <v>990</v>
      </c>
      <c r="I105" s="373"/>
    </row>
    <row r="106" spans="1:20">
      <c r="F106" s="3"/>
      <c r="G106" s="216"/>
      <c r="H106" s="216"/>
      <c r="I106" s="216"/>
      <c r="J106" s="3"/>
      <c r="K106" s="3"/>
      <c r="L106" s="15"/>
      <c r="M106" s="216"/>
    </row>
    <row r="107" spans="1:20">
      <c r="F107" s="3"/>
      <c r="G107" s="216"/>
      <c r="H107" s="269"/>
      <c r="I107" s="216"/>
      <c r="J107" s="270"/>
      <c r="K107" s="270"/>
      <c r="L107" s="15"/>
      <c r="M107" s="216"/>
    </row>
    <row r="108" spans="1:20">
      <c r="F108" s="3"/>
      <c r="G108" s="216"/>
      <c r="H108" s="269"/>
      <c r="I108" s="216"/>
      <c r="J108" s="270"/>
      <c r="K108" s="270"/>
      <c r="L108" s="15"/>
      <c r="M108" s="216"/>
    </row>
    <row r="109" spans="1:20">
      <c r="F109" s="3"/>
      <c r="G109" s="216"/>
      <c r="H109" s="388">
        <f>SUM(H81,H101)</f>
        <v>2577.04</v>
      </c>
      <c r="I109" s="269">
        <f>J103-H109</f>
        <v>83728.320000000022</v>
      </c>
      <c r="J109" s="3"/>
      <c r="K109" s="3"/>
      <c r="L109" s="15"/>
      <c r="M109" s="216"/>
    </row>
    <row r="110" spans="1:20">
      <c r="F110" s="3"/>
      <c r="G110" s="216"/>
      <c r="H110" s="216"/>
      <c r="I110" s="216"/>
      <c r="J110" s="3"/>
      <c r="K110" s="3"/>
      <c r="L110" s="15"/>
      <c r="M110" s="216"/>
      <c r="Q110" s="3"/>
      <c r="R110" s="3"/>
      <c r="S110" s="3"/>
      <c r="T110" s="3"/>
    </row>
  </sheetData>
  <mergeCells count="7">
    <mergeCell ref="A103:G103"/>
    <mergeCell ref="A83:G83"/>
    <mergeCell ref="A84:C84"/>
    <mergeCell ref="A86:C86"/>
    <mergeCell ref="A87:C87"/>
    <mergeCell ref="A88:G88"/>
    <mergeCell ref="A101:G101"/>
  </mergeCells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2A08-C895-8B47-B39E-F1209349486E}">
  <dimension ref="A1:T110"/>
  <sheetViews>
    <sheetView topLeftCell="A72" zoomScale="150" zoomScaleNormal="150" workbookViewId="0">
      <selection activeCell="A87" sqref="A1:XFD1048576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45474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70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/>
      <c r="B11" s="354">
        <v>2331</v>
      </c>
      <c r="C11" s="328" t="s">
        <v>1073</v>
      </c>
      <c r="D11" s="328" t="s">
        <v>1074</v>
      </c>
      <c r="E11" s="329" t="s">
        <v>854</v>
      </c>
      <c r="F11" s="330">
        <v>1</v>
      </c>
      <c r="G11" s="331">
        <v>1077.42</v>
      </c>
      <c r="H11" s="332">
        <v>0</v>
      </c>
      <c r="I11" s="331">
        <v>1077.42</v>
      </c>
      <c r="J11" s="389">
        <v>1077.42</v>
      </c>
      <c r="K11" s="333">
        <f t="shared" si="0"/>
        <v>0</v>
      </c>
      <c r="L11" s="329" t="s">
        <v>1082</v>
      </c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1469.89</v>
      </c>
      <c r="H12" s="332" t="s">
        <v>1006</v>
      </c>
      <c r="I12" s="331">
        <v>1469.89</v>
      </c>
      <c r="J12" s="389">
        <v>1469.89</v>
      </c>
      <c r="K12" s="333">
        <f t="shared" si="0"/>
        <v>0</v>
      </c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648.83000000000004</v>
      </c>
      <c r="H13" s="332" t="s">
        <v>1006</v>
      </c>
      <c r="I13" s="331">
        <v>648.83000000000004</v>
      </c>
      <c r="J13" s="389">
        <v>648.83000000000004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885.51</v>
      </c>
      <c r="H14" s="332" t="s">
        <v>1006</v>
      </c>
      <c r="I14" s="331">
        <v>885.51</v>
      </c>
      <c r="J14" s="389">
        <v>885.51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683.49</v>
      </c>
      <c r="H15" s="332" t="s">
        <v>1006</v>
      </c>
      <c r="I15" s="331">
        <v>683.49</v>
      </c>
      <c r="J15" s="389">
        <v>683.49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666.16</v>
      </c>
      <c r="H16" s="332" t="s">
        <v>1006</v>
      </c>
      <c r="I16" s="331">
        <v>666.16</v>
      </c>
      <c r="J16" s="389">
        <v>666.16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1262.08</v>
      </c>
      <c r="H17" s="332">
        <v>542.16</v>
      </c>
      <c r="I17" s="332">
        <v>1804.24</v>
      </c>
      <c r="J17" s="333">
        <v>1804.24</v>
      </c>
      <c r="K17" s="333">
        <f t="shared" si="0"/>
        <v>0</v>
      </c>
      <c r="L17" s="329"/>
    </row>
    <row r="18" spans="1:20">
      <c r="A18" s="334"/>
      <c r="B18" s="354">
        <v>2318</v>
      </c>
      <c r="C18" s="328" t="s">
        <v>1018</v>
      </c>
      <c r="D18" s="328" t="s">
        <v>1019</v>
      </c>
      <c r="E18" s="382" t="s">
        <v>851</v>
      </c>
      <c r="F18" s="330"/>
      <c r="G18" s="331">
        <v>790.72</v>
      </c>
      <c r="H18" s="332">
        <v>507.5</v>
      </c>
      <c r="I18" s="332">
        <f>SUM(G18:H18)</f>
        <v>1298.22</v>
      </c>
      <c r="J18" s="333">
        <v>1298.21</v>
      </c>
      <c r="K18" s="333">
        <f t="shared" si="0"/>
        <v>9.9999999999909051E-3</v>
      </c>
      <c r="L18" s="161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2065.64</v>
      </c>
      <c r="H19" s="332" t="s">
        <v>1006</v>
      </c>
      <c r="I19" s="331">
        <v>2065.64</v>
      </c>
      <c r="J19" s="389">
        <v>1521.88</v>
      </c>
      <c r="K19" s="333">
        <f t="shared" si="0"/>
        <v>543.75999999999976</v>
      </c>
      <c r="L19" s="161" t="s">
        <v>1085</v>
      </c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692.16</v>
      </c>
      <c r="H20" s="332" t="s">
        <v>1006</v>
      </c>
      <c r="I20" s="331">
        <v>692.16</v>
      </c>
      <c r="J20" s="389">
        <v>692.16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1090.42</v>
      </c>
      <c r="H21" s="332" t="s">
        <v>1006</v>
      </c>
      <c r="I21" s="331">
        <v>1090.42</v>
      </c>
      <c r="J21" s="389">
        <v>1090.42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756.04</v>
      </c>
      <c r="H22" s="332">
        <v>417.6</v>
      </c>
      <c r="I22" s="332">
        <f>SUM(G22:H22)</f>
        <v>1173.6399999999999</v>
      </c>
      <c r="J22" s="333">
        <v>1173.6300000000001</v>
      </c>
      <c r="K22" s="333">
        <f t="shared" si="0"/>
        <v>9.9999999997635314E-3</v>
      </c>
      <c r="L22" s="188"/>
      <c r="M22" s="403" t="s">
        <v>1042</v>
      </c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1551.66</v>
      </c>
      <c r="H23" s="332" t="s">
        <v>1006</v>
      </c>
      <c r="I23" s="331">
        <v>1551.66</v>
      </c>
      <c r="J23" s="389">
        <v>1551.66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1263.54</v>
      </c>
      <c r="H24" s="332" t="s">
        <v>1006</v>
      </c>
      <c r="I24" s="331">
        <v>1263.54</v>
      </c>
      <c r="J24" s="389">
        <v>1263.54</v>
      </c>
      <c r="K24" s="333">
        <f t="shared" si="0"/>
        <v>0</v>
      </c>
      <c r="L24" s="161"/>
    </row>
    <row r="25" spans="1:20">
      <c r="A25" s="334">
        <v>17</v>
      </c>
      <c r="B25" s="354">
        <v>2194</v>
      </c>
      <c r="C25" s="328" t="s">
        <v>749</v>
      </c>
      <c r="D25" s="338" t="s">
        <v>789</v>
      </c>
      <c r="E25" s="329" t="s">
        <v>852</v>
      </c>
      <c r="F25" s="330"/>
      <c r="G25" s="331">
        <v>606.04</v>
      </c>
      <c r="H25" s="332" t="s">
        <v>1006</v>
      </c>
      <c r="I25" s="331">
        <v>606.04</v>
      </c>
      <c r="J25" s="389">
        <v>606.04</v>
      </c>
      <c r="K25" s="333">
        <f t="shared" si="0"/>
        <v>0</v>
      </c>
      <c r="L25" s="161"/>
    </row>
    <row r="26" spans="1:20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331">
        <v>1379.98</v>
      </c>
      <c r="H26" s="332" t="s">
        <v>1006</v>
      </c>
      <c r="I26" s="331">
        <v>1379.98</v>
      </c>
      <c r="J26" s="389">
        <v>1379.98</v>
      </c>
      <c r="K26" s="333">
        <f t="shared" si="0"/>
        <v>0</v>
      </c>
      <c r="L26" s="161"/>
    </row>
    <row r="27" spans="1:20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683.49</v>
      </c>
      <c r="H27" s="332" t="s">
        <v>1006</v>
      </c>
      <c r="I27" s="331">
        <v>683.49</v>
      </c>
      <c r="J27" s="389">
        <v>683.49</v>
      </c>
      <c r="K27" s="333">
        <f t="shared" si="0"/>
        <v>0</v>
      </c>
      <c r="L27" s="161"/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541.59</v>
      </c>
      <c r="H28" s="332">
        <v>0</v>
      </c>
      <c r="I28" s="332">
        <v>541.59</v>
      </c>
      <c r="J28" s="335">
        <v>541.59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1549.34</v>
      </c>
      <c r="H29" s="332" t="s">
        <v>1006</v>
      </c>
      <c r="I29" s="331">
        <v>1549.34</v>
      </c>
      <c r="J29" s="389">
        <v>1549.34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661.83</v>
      </c>
      <c r="H30" s="332" t="s">
        <v>1006</v>
      </c>
      <c r="I30" s="331">
        <v>661.83</v>
      </c>
      <c r="J30" s="389">
        <v>661.83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567.59</v>
      </c>
      <c r="H31" s="332"/>
      <c r="I31" s="331">
        <v>567.59</v>
      </c>
      <c r="J31" s="389">
        <v>567.59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1379.98</v>
      </c>
      <c r="H32" s="332" t="s">
        <v>1006</v>
      </c>
      <c r="I32" s="391">
        <v>1379.98</v>
      </c>
      <c r="J32" s="389">
        <v>1379.98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1624.77</v>
      </c>
      <c r="H33" s="332" t="s">
        <v>1006</v>
      </c>
      <c r="I33" s="331">
        <v>1624.77</v>
      </c>
      <c r="J33" s="389">
        <v>1624.77</v>
      </c>
      <c r="K33" s="333">
        <f t="shared" si="0"/>
        <v>0</v>
      </c>
      <c r="L33" s="329"/>
    </row>
    <row r="34" spans="1:20">
      <c r="A34" s="334"/>
      <c r="B34" s="354">
        <v>2320</v>
      </c>
      <c r="C34" s="328" t="s">
        <v>1043</v>
      </c>
      <c r="D34" s="328" t="s">
        <v>1044</v>
      </c>
      <c r="E34" s="329" t="s">
        <v>852</v>
      </c>
      <c r="F34" s="330"/>
      <c r="G34" s="331">
        <v>567.59</v>
      </c>
      <c r="H34" s="332"/>
      <c r="I34" s="331">
        <v>567.59</v>
      </c>
      <c r="J34" s="389">
        <v>567.59</v>
      </c>
      <c r="K34" s="333">
        <f t="shared" si="0"/>
        <v>0</v>
      </c>
      <c r="L34" s="329"/>
    </row>
    <row r="35" spans="1:20">
      <c r="A35" s="334">
        <v>24</v>
      </c>
      <c r="B35" s="376" t="s">
        <v>675</v>
      </c>
      <c r="C35" s="328" t="s">
        <v>755</v>
      </c>
      <c r="D35" s="328" t="s">
        <v>796</v>
      </c>
      <c r="E35" s="329" t="s">
        <v>852</v>
      </c>
      <c r="F35" s="330"/>
      <c r="G35" s="331">
        <v>717.61</v>
      </c>
      <c r="H35" s="332" t="s">
        <v>1006</v>
      </c>
      <c r="I35" s="332">
        <v>717.61</v>
      </c>
      <c r="J35" s="333">
        <v>717.61</v>
      </c>
      <c r="K35" s="333">
        <f t="shared" si="0"/>
        <v>0</v>
      </c>
      <c r="L35" s="329"/>
    </row>
    <row r="36" spans="1:20">
      <c r="A36" s="334">
        <v>26</v>
      </c>
      <c r="B36" s="354">
        <v>1741</v>
      </c>
      <c r="C36" s="328" t="s">
        <v>755</v>
      </c>
      <c r="D36" s="328" t="s">
        <v>797</v>
      </c>
      <c r="E36" s="329" t="s">
        <v>852</v>
      </c>
      <c r="F36" s="330"/>
      <c r="G36" s="331">
        <v>1156.3</v>
      </c>
      <c r="H36" s="332" t="s">
        <v>1006</v>
      </c>
      <c r="I36" s="331">
        <v>1156.3</v>
      </c>
      <c r="J36" s="389">
        <v>1156.3</v>
      </c>
      <c r="K36" s="333">
        <f t="shared" si="0"/>
        <v>0</v>
      </c>
      <c r="L36" s="329"/>
    </row>
    <row r="37" spans="1:20">
      <c r="A37" s="334">
        <v>25</v>
      </c>
      <c r="B37" s="354">
        <v>1757</v>
      </c>
      <c r="C37" s="328" t="s">
        <v>755</v>
      </c>
      <c r="D37" s="338" t="s">
        <v>798</v>
      </c>
      <c r="E37" s="329" t="s">
        <v>853</v>
      </c>
      <c r="F37" s="330">
        <v>2</v>
      </c>
      <c r="G37" s="331">
        <v>1956.43</v>
      </c>
      <c r="H37" s="332" t="s">
        <v>1006</v>
      </c>
      <c r="I37" s="331">
        <v>1956.43</v>
      </c>
      <c r="J37" s="389">
        <v>1956.43</v>
      </c>
      <c r="K37" s="333">
        <f t="shared" si="0"/>
        <v>0</v>
      </c>
      <c r="L37" s="329"/>
      <c r="N37" s="12"/>
      <c r="O37" s="12"/>
      <c r="P37" s="12"/>
      <c r="Q37" s="12"/>
      <c r="R37" s="12"/>
      <c r="S37" s="12"/>
      <c r="T37" s="12"/>
    </row>
    <row r="38" spans="1:20">
      <c r="A38" s="334">
        <v>27</v>
      </c>
      <c r="B38" s="354">
        <v>2057</v>
      </c>
      <c r="C38" s="328" t="s">
        <v>756</v>
      </c>
      <c r="D38" s="338" t="s">
        <v>799</v>
      </c>
      <c r="E38" s="329" t="s">
        <v>852</v>
      </c>
      <c r="F38" s="330"/>
      <c r="G38" s="331">
        <v>1624.77</v>
      </c>
      <c r="H38" s="332" t="s">
        <v>1006</v>
      </c>
      <c r="I38" s="331">
        <v>1624.77</v>
      </c>
      <c r="J38" s="389">
        <v>1624.77</v>
      </c>
      <c r="K38" s="333">
        <f t="shared" si="0"/>
        <v>0</v>
      </c>
      <c r="L38" s="329"/>
    </row>
    <row r="39" spans="1:20">
      <c r="A39" s="334">
        <v>28</v>
      </c>
      <c r="B39" s="354">
        <v>1210</v>
      </c>
      <c r="C39" s="328" t="s">
        <v>756</v>
      </c>
      <c r="D39" s="338" t="s">
        <v>800</v>
      </c>
      <c r="E39" s="329" t="s">
        <v>852</v>
      </c>
      <c r="F39" s="330"/>
      <c r="G39" s="331">
        <v>1598.79</v>
      </c>
      <c r="H39" s="332" t="s">
        <v>1006</v>
      </c>
      <c r="I39" s="331">
        <v>1598.79</v>
      </c>
      <c r="J39" s="389">
        <v>1598.79</v>
      </c>
      <c r="K39" s="333">
        <f t="shared" si="0"/>
        <v>0</v>
      </c>
      <c r="L39" s="329"/>
    </row>
    <row r="40" spans="1:20">
      <c r="A40" s="334"/>
      <c r="B40" s="354">
        <v>2310</v>
      </c>
      <c r="C40" s="328" t="s">
        <v>756</v>
      </c>
      <c r="D40" s="338" t="s">
        <v>977</v>
      </c>
      <c r="E40" s="329" t="s">
        <v>852</v>
      </c>
      <c r="F40" s="330"/>
      <c r="G40" s="331">
        <v>923.96</v>
      </c>
      <c r="H40" s="332" t="s">
        <v>1006</v>
      </c>
      <c r="I40" s="331">
        <v>923.96</v>
      </c>
      <c r="J40" s="389">
        <v>923.96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853</v>
      </c>
      <c r="F43" s="330">
        <v>2</v>
      </c>
      <c r="G43" s="331">
        <v>1514.68</v>
      </c>
      <c r="H43" s="332">
        <v>0</v>
      </c>
      <c r="I43" s="331">
        <v>1514.68</v>
      </c>
      <c r="J43" s="389">
        <v>1514.68</v>
      </c>
      <c r="K43" s="333">
        <f t="shared" si="0"/>
        <v>0</v>
      </c>
      <c r="L43" s="329" t="s">
        <v>1088</v>
      </c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>
        <v>1</v>
      </c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/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854</v>
      </c>
      <c r="F45" s="330">
        <v>1</v>
      </c>
      <c r="G45" s="331">
        <v>1094.75</v>
      </c>
      <c r="H45" s="332" t="s">
        <v>1006</v>
      </c>
      <c r="I45" s="331">
        <v>1094.75</v>
      </c>
      <c r="J45" s="389">
        <v>1094.75</v>
      </c>
      <c r="K45" s="333">
        <f t="shared" si="0"/>
        <v>0</v>
      </c>
      <c r="L45" s="329"/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>
        <v>661.83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1350.93</v>
      </c>
      <c r="H55" s="332" t="s">
        <v>1006</v>
      </c>
      <c r="I55" s="331">
        <v>1350.93</v>
      </c>
      <c r="J55" s="389">
        <v>1350.93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1584.89</v>
      </c>
      <c r="H56" s="332" t="s">
        <v>1006</v>
      </c>
      <c r="I56" s="331">
        <v>1584.89</v>
      </c>
      <c r="J56" s="389">
        <v>1584.89</v>
      </c>
      <c r="K56" s="333">
        <f t="shared" si="0"/>
        <v>0</v>
      </c>
      <c r="L56" s="329"/>
    </row>
    <row r="57" spans="1:12">
      <c r="A57" s="334">
        <v>44</v>
      </c>
      <c r="B57" s="354">
        <v>2001</v>
      </c>
      <c r="C57" s="328" t="s">
        <v>766</v>
      </c>
      <c r="D57" s="338" t="s">
        <v>814</v>
      </c>
      <c r="E57" s="329" t="s">
        <v>852</v>
      </c>
      <c r="F57" s="330"/>
      <c r="G57" s="331">
        <v>1319.87</v>
      </c>
      <c r="H57" s="332" t="s">
        <v>1006</v>
      </c>
      <c r="I57" s="331">
        <v>1319.87</v>
      </c>
      <c r="J57" s="389">
        <v>1319.87</v>
      </c>
      <c r="K57" s="333">
        <f t="shared" si="0"/>
        <v>0</v>
      </c>
      <c r="L57" s="329"/>
    </row>
    <row r="58" spans="1:12">
      <c r="A58" s="334">
        <v>45</v>
      </c>
      <c r="B58" s="354">
        <v>2160</v>
      </c>
      <c r="C58" s="328" t="s">
        <v>767</v>
      </c>
      <c r="D58" s="338" t="s">
        <v>815</v>
      </c>
      <c r="E58" s="329" t="s">
        <v>854</v>
      </c>
      <c r="F58" s="330">
        <v>1</v>
      </c>
      <c r="G58" s="331">
        <v>1921.57</v>
      </c>
      <c r="H58" s="332" t="s">
        <v>1006</v>
      </c>
      <c r="I58" s="331">
        <v>1921.57</v>
      </c>
      <c r="J58" s="389">
        <v>1921.57</v>
      </c>
      <c r="K58" s="333">
        <f t="shared" si="0"/>
        <v>0</v>
      </c>
      <c r="L58" s="329"/>
    </row>
    <row r="59" spans="1:12">
      <c r="A59" s="334">
        <v>47</v>
      </c>
      <c r="B59" s="354">
        <v>2279</v>
      </c>
      <c r="C59" s="328" t="s">
        <v>769</v>
      </c>
      <c r="D59" s="328" t="s">
        <v>843</v>
      </c>
      <c r="E59" s="329" t="s">
        <v>852</v>
      </c>
      <c r="F59" s="330"/>
      <c r="G59" s="331">
        <v>554.59</v>
      </c>
      <c r="H59" s="332" t="s">
        <v>1006</v>
      </c>
      <c r="I59" s="331">
        <v>554.59</v>
      </c>
      <c r="J59" s="389">
        <v>554.59</v>
      </c>
      <c r="K59" s="333">
        <f t="shared" si="0"/>
        <v>0</v>
      </c>
      <c r="L59" s="161"/>
    </row>
    <row r="60" spans="1:12">
      <c r="A60" s="334">
        <v>48</v>
      </c>
      <c r="B60" s="354">
        <v>2246</v>
      </c>
      <c r="C60" s="328" t="s">
        <v>769</v>
      </c>
      <c r="D60" s="338" t="s">
        <v>817</v>
      </c>
      <c r="E60" s="329" t="s">
        <v>852</v>
      </c>
      <c r="F60" s="330"/>
      <c r="G60" s="331">
        <v>648.83000000000004</v>
      </c>
      <c r="H60" s="332" t="s">
        <v>1006</v>
      </c>
      <c r="I60" s="331">
        <v>648.83000000000004</v>
      </c>
      <c r="J60" s="389">
        <v>648.83000000000004</v>
      </c>
      <c r="K60" s="333">
        <f t="shared" si="0"/>
        <v>0</v>
      </c>
      <c r="L60" s="188"/>
    </row>
    <row r="61" spans="1:12">
      <c r="A61" s="334">
        <v>49</v>
      </c>
      <c r="B61" s="354">
        <v>2018</v>
      </c>
      <c r="C61" s="328" t="s">
        <v>770</v>
      </c>
      <c r="D61" s="328" t="s">
        <v>818</v>
      </c>
      <c r="E61" s="329" t="s">
        <v>852</v>
      </c>
      <c r="F61" s="330"/>
      <c r="G61" s="331">
        <v>1624.77</v>
      </c>
      <c r="H61" s="332" t="s">
        <v>1006</v>
      </c>
      <c r="I61" s="331">
        <v>1624.77</v>
      </c>
      <c r="J61" s="389">
        <v>1624.77</v>
      </c>
      <c r="K61" s="333">
        <f t="shared" si="0"/>
        <v>0</v>
      </c>
      <c r="L61" s="161"/>
    </row>
    <row r="62" spans="1:12">
      <c r="A62" s="334"/>
      <c r="B62" s="354">
        <v>2329</v>
      </c>
      <c r="C62" s="328" t="s">
        <v>1070</v>
      </c>
      <c r="D62" s="328" t="s">
        <v>1071</v>
      </c>
      <c r="E62" s="329" t="s">
        <v>852</v>
      </c>
      <c r="F62" s="330"/>
      <c r="G62" s="331">
        <v>541.59</v>
      </c>
      <c r="H62" s="332">
        <v>0</v>
      </c>
      <c r="I62" s="331">
        <v>541.59</v>
      </c>
      <c r="J62" s="331">
        <v>541.59</v>
      </c>
      <c r="K62" s="333"/>
      <c r="L62" s="329"/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1379.98</v>
      </c>
      <c r="H63" s="332" t="s">
        <v>1006</v>
      </c>
      <c r="I63" s="331">
        <v>1379.98</v>
      </c>
      <c r="J63" s="333">
        <v>1379.98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661.83</v>
      </c>
      <c r="H64" s="332" t="s">
        <v>1006</v>
      </c>
      <c r="I64" s="331">
        <v>661.83</v>
      </c>
      <c r="J64" s="389">
        <v>661.83</v>
      </c>
      <c r="K64" s="333">
        <f t="shared" si="0"/>
        <v>0</v>
      </c>
      <c r="L64" s="329"/>
    </row>
    <row r="65" spans="1:12">
      <c r="A65" s="334"/>
      <c r="B65" s="354">
        <v>2288</v>
      </c>
      <c r="C65" s="328" t="s">
        <v>772</v>
      </c>
      <c r="D65" s="338" t="s">
        <v>820</v>
      </c>
      <c r="E65" s="329" t="s">
        <v>852</v>
      </c>
      <c r="F65" s="330"/>
      <c r="G65" s="331">
        <v>588.71</v>
      </c>
      <c r="H65" s="332"/>
      <c r="I65" s="331">
        <v>588.71</v>
      </c>
      <c r="J65" s="389">
        <v>588.71</v>
      </c>
      <c r="K65" s="333">
        <f t="shared" si="0"/>
        <v>0</v>
      </c>
      <c r="L65" s="329"/>
    </row>
    <row r="66" spans="1:12">
      <c r="A66" s="334">
        <v>52</v>
      </c>
      <c r="B66" s="354">
        <v>2060</v>
      </c>
      <c r="C66" s="328" t="s">
        <v>487</v>
      </c>
      <c r="D66" s="328" t="s">
        <v>516</v>
      </c>
      <c r="E66" s="329" t="s">
        <v>852</v>
      </c>
      <c r="F66" s="330"/>
      <c r="G66" s="331">
        <v>1057.19</v>
      </c>
      <c r="H66" s="332" t="s">
        <v>1006</v>
      </c>
      <c r="I66" s="331">
        <v>1057.19</v>
      </c>
      <c r="J66" s="389">
        <v>1057.19</v>
      </c>
      <c r="K66" s="333">
        <f t="shared" si="0"/>
        <v>0</v>
      </c>
      <c r="L66" s="329"/>
    </row>
    <row r="67" spans="1:12">
      <c r="A67" s="334"/>
      <c r="B67" s="354">
        <v>2333</v>
      </c>
      <c r="C67" s="328" t="s">
        <v>1078</v>
      </c>
      <c r="D67" s="328" t="s">
        <v>1079</v>
      </c>
      <c r="E67" s="329" t="s">
        <v>854</v>
      </c>
      <c r="F67" s="330">
        <v>1</v>
      </c>
      <c r="G67" s="331">
        <v>1086.0899999999999</v>
      </c>
      <c r="H67" s="332">
        <v>0</v>
      </c>
      <c r="I67" s="331">
        <v>1086.0899999999999</v>
      </c>
      <c r="J67" s="389">
        <v>1086.0899999999999</v>
      </c>
      <c r="K67" s="333">
        <f t="shared" si="0"/>
        <v>0</v>
      </c>
      <c r="L67" s="329" t="s">
        <v>1051</v>
      </c>
    </row>
    <row r="68" spans="1:12">
      <c r="A68" s="334">
        <v>54</v>
      </c>
      <c r="B68" s="354">
        <v>1050</v>
      </c>
      <c r="C68" s="328" t="s">
        <v>773</v>
      </c>
      <c r="D68" s="328" t="s">
        <v>821</v>
      </c>
      <c r="E68" s="329" t="s">
        <v>852</v>
      </c>
      <c r="F68" s="330"/>
      <c r="G68" s="331">
        <v>1624.77</v>
      </c>
      <c r="H68" s="332" t="s">
        <v>1006</v>
      </c>
      <c r="I68" s="331">
        <v>1624.77</v>
      </c>
      <c r="J68" s="389">
        <v>1624.77</v>
      </c>
      <c r="K68" s="333">
        <f t="shared" si="0"/>
        <v>0</v>
      </c>
      <c r="L68" s="329"/>
    </row>
    <row r="69" spans="1:12">
      <c r="A69" s="334">
        <v>55</v>
      </c>
      <c r="B69" s="354">
        <v>1964</v>
      </c>
      <c r="C69" s="328" t="s">
        <v>491</v>
      </c>
      <c r="D69" s="328" t="s">
        <v>456</v>
      </c>
      <c r="E69" s="329" t="s">
        <v>852</v>
      </c>
      <c r="F69" s="330"/>
      <c r="G69" s="331">
        <v>846.51</v>
      </c>
      <c r="H69" s="332" t="s">
        <v>1006</v>
      </c>
      <c r="I69" s="331">
        <v>846.51</v>
      </c>
      <c r="J69" s="389">
        <v>846.51</v>
      </c>
      <c r="K69" s="333">
        <f t="shared" si="0"/>
        <v>0</v>
      </c>
      <c r="L69" s="329"/>
    </row>
    <row r="70" spans="1:12">
      <c r="A70" s="334">
        <v>57</v>
      </c>
      <c r="B70" s="354">
        <v>1981</v>
      </c>
      <c r="C70" s="328" t="s">
        <v>774</v>
      </c>
      <c r="D70" s="338" t="s">
        <v>822</v>
      </c>
      <c r="E70" s="329" t="s">
        <v>852</v>
      </c>
      <c r="F70" s="330"/>
      <c r="G70" s="331">
        <v>683.49</v>
      </c>
      <c r="H70" s="332" t="s">
        <v>1006</v>
      </c>
      <c r="I70" s="331">
        <v>683.49</v>
      </c>
      <c r="J70" s="389">
        <v>683.49</v>
      </c>
      <c r="K70" s="333">
        <f t="shared" si="0"/>
        <v>0</v>
      </c>
      <c r="L70" s="329"/>
    </row>
    <row r="71" spans="1:12">
      <c r="A71" s="334">
        <v>56</v>
      </c>
      <c r="B71" s="354">
        <v>1662</v>
      </c>
      <c r="C71" s="328" t="s">
        <v>774</v>
      </c>
      <c r="D71" s="328" t="s">
        <v>823</v>
      </c>
      <c r="E71" s="329" t="s">
        <v>852</v>
      </c>
      <c r="F71" s="330"/>
      <c r="G71" s="331">
        <v>885.51</v>
      </c>
      <c r="H71" s="332" t="s">
        <v>1006</v>
      </c>
      <c r="I71" s="331">
        <v>885.51</v>
      </c>
      <c r="J71" s="389">
        <v>885.51</v>
      </c>
      <c r="K71" s="333">
        <f t="shared" ref="K71:K80" si="1">I71-J71</f>
        <v>0</v>
      </c>
      <c r="L71" s="329"/>
    </row>
    <row r="72" spans="1:12">
      <c r="A72" s="334">
        <v>58</v>
      </c>
      <c r="B72" s="354">
        <v>1630</v>
      </c>
      <c r="C72" s="328" t="s">
        <v>775</v>
      </c>
      <c r="D72" s="338" t="s">
        <v>824</v>
      </c>
      <c r="E72" s="329" t="s">
        <v>852</v>
      </c>
      <c r="F72" s="330"/>
      <c r="G72" s="331">
        <v>1207.76</v>
      </c>
      <c r="H72" s="332" t="s">
        <v>1006</v>
      </c>
      <c r="I72" s="331">
        <v>1207.76</v>
      </c>
      <c r="J72" s="389">
        <v>1207.76</v>
      </c>
      <c r="K72" s="333">
        <f t="shared" si="1"/>
        <v>0</v>
      </c>
      <c r="L72" s="329"/>
    </row>
    <row r="73" spans="1:12">
      <c r="A73" s="334"/>
      <c r="B73" s="354">
        <v>2337</v>
      </c>
      <c r="C73" s="328" t="s">
        <v>777</v>
      </c>
      <c r="D73" s="338" t="s">
        <v>1080</v>
      </c>
      <c r="E73" s="329" t="s">
        <v>852</v>
      </c>
      <c r="F73" s="330"/>
      <c r="G73" s="331">
        <v>627.71</v>
      </c>
      <c r="H73" s="332">
        <v>0</v>
      </c>
      <c r="I73" s="331">
        <v>627.71</v>
      </c>
      <c r="J73" s="389">
        <v>627.71</v>
      </c>
      <c r="K73" s="333">
        <f t="shared" si="1"/>
        <v>0</v>
      </c>
      <c r="L73" s="329"/>
    </row>
    <row r="74" spans="1:12">
      <c r="A74" s="334">
        <v>61</v>
      </c>
      <c r="B74" s="354">
        <v>2010</v>
      </c>
      <c r="C74" s="328" t="s">
        <v>777</v>
      </c>
      <c r="D74" s="328" t="s">
        <v>826</v>
      </c>
      <c r="E74" s="329" t="s">
        <v>852</v>
      </c>
      <c r="F74" s="330"/>
      <c r="G74" s="331">
        <v>1010.07</v>
      </c>
      <c r="H74" s="332" t="s">
        <v>1006</v>
      </c>
      <c r="I74" s="331">
        <v>1010.07</v>
      </c>
      <c r="J74" s="389">
        <v>1010.07</v>
      </c>
      <c r="K74" s="333">
        <f t="shared" si="1"/>
        <v>0</v>
      </c>
      <c r="L74" s="329"/>
    </row>
    <row r="75" spans="1:12">
      <c r="A75" s="334">
        <v>60</v>
      </c>
      <c r="B75" s="354">
        <v>2187</v>
      </c>
      <c r="C75" s="328" t="s">
        <v>777</v>
      </c>
      <c r="D75" s="328" t="s">
        <v>827</v>
      </c>
      <c r="E75" s="329" t="s">
        <v>853</v>
      </c>
      <c r="F75" s="330">
        <v>2</v>
      </c>
      <c r="G75" s="331">
        <v>1889.46</v>
      </c>
      <c r="H75" s="332" t="s">
        <v>1006</v>
      </c>
      <c r="I75" s="391">
        <v>1889.46</v>
      </c>
      <c r="J75" s="389">
        <v>1889.46</v>
      </c>
      <c r="K75" s="333">
        <f t="shared" si="1"/>
        <v>0</v>
      </c>
      <c r="L75" s="329"/>
    </row>
    <row r="76" spans="1:12">
      <c r="A76" s="334">
        <v>62</v>
      </c>
      <c r="B76" s="354">
        <v>2095</v>
      </c>
      <c r="C76" s="328" t="s">
        <v>778</v>
      </c>
      <c r="D76" s="338" t="s">
        <v>828</v>
      </c>
      <c r="E76" s="329" t="s">
        <v>852</v>
      </c>
      <c r="F76" s="330"/>
      <c r="G76" s="331">
        <v>648.83000000000004</v>
      </c>
      <c r="H76" s="332" t="s">
        <v>1006</v>
      </c>
      <c r="I76" s="331">
        <v>648.83000000000004</v>
      </c>
      <c r="J76" s="389">
        <v>648.83000000000004</v>
      </c>
      <c r="K76" s="333">
        <f t="shared" si="1"/>
        <v>0</v>
      </c>
      <c r="L76" s="329"/>
    </row>
    <row r="77" spans="1:12">
      <c r="A77" s="334">
        <v>63</v>
      </c>
      <c r="B77" s="354">
        <v>2064</v>
      </c>
      <c r="C77" s="328" t="s">
        <v>778</v>
      </c>
      <c r="D77" s="338" t="s">
        <v>829</v>
      </c>
      <c r="E77" s="341" t="s">
        <v>856</v>
      </c>
      <c r="F77" s="330">
        <v>2</v>
      </c>
      <c r="G77" s="331">
        <v>1682.01</v>
      </c>
      <c r="H77" s="332">
        <v>584.94000000000005</v>
      </c>
      <c r="I77" s="332">
        <f>SUM(G77:H77)</f>
        <v>2266.9499999999998</v>
      </c>
      <c r="J77" s="333">
        <v>2266.9499999999998</v>
      </c>
      <c r="K77" s="333">
        <f t="shared" si="1"/>
        <v>0</v>
      </c>
      <c r="L77" s="329"/>
    </row>
    <row r="78" spans="1:12">
      <c r="A78" s="334"/>
      <c r="B78" s="354">
        <v>2336</v>
      </c>
      <c r="C78" s="328" t="s">
        <v>778</v>
      </c>
      <c r="D78" s="338" t="s">
        <v>1087</v>
      </c>
      <c r="E78" s="382" t="s">
        <v>853</v>
      </c>
      <c r="F78" s="330">
        <v>2</v>
      </c>
      <c r="G78" s="331">
        <v>2030.37</v>
      </c>
      <c r="H78" s="332">
        <v>0</v>
      </c>
      <c r="I78" s="331">
        <v>2030.37</v>
      </c>
      <c r="J78" s="331">
        <v>2030.27</v>
      </c>
      <c r="K78" s="333">
        <v>0</v>
      </c>
      <c r="L78" s="329" t="s">
        <v>1051</v>
      </c>
    </row>
    <row r="79" spans="1:12">
      <c r="A79" s="334"/>
      <c r="B79" s="354">
        <v>2335</v>
      </c>
      <c r="C79" s="328" t="s">
        <v>870</v>
      </c>
      <c r="D79" s="338" t="s">
        <v>1081</v>
      </c>
      <c r="E79" s="382" t="s">
        <v>852</v>
      </c>
      <c r="F79" s="330"/>
      <c r="G79" s="331">
        <v>554.59</v>
      </c>
      <c r="H79" s="332">
        <v>0</v>
      </c>
      <c r="I79" s="331">
        <v>554.59</v>
      </c>
      <c r="J79" s="331">
        <v>554.59</v>
      </c>
      <c r="K79" s="333">
        <v>0</v>
      </c>
      <c r="L79" s="329" t="s">
        <v>1051</v>
      </c>
    </row>
    <row r="80" spans="1:12">
      <c r="A80" s="334"/>
      <c r="B80" s="354">
        <v>2089</v>
      </c>
      <c r="C80" s="328" t="s">
        <v>870</v>
      </c>
      <c r="D80" s="338" t="s">
        <v>1007</v>
      </c>
      <c r="E80" s="329" t="s">
        <v>852</v>
      </c>
      <c r="F80" s="330"/>
      <c r="G80" s="331">
        <v>648.83000000000004</v>
      </c>
      <c r="H80" s="332" t="s">
        <v>1006</v>
      </c>
      <c r="I80" s="331">
        <v>648.83000000000004</v>
      </c>
      <c r="J80" s="389">
        <v>648.83000000000004</v>
      </c>
      <c r="K80" s="333">
        <f t="shared" si="1"/>
        <v>0</v>
      </c>
      <c r="L80" s="329"/>
    </row>
    <row r="81" spans="1:20">
      <c r="A81" s="296"/>
      <c r="B81" s="66"/>
      <c r="C81" s="29"/>
      <c r="D81" s="29"/>
      <c r="E81" s="342"/>
      <c r="F81" s="343"/>
      <c r="G81" s="344"/>
      <c r="H81" s="345">
        <f>SUM(H5:H80)</f>
        <v>2577.04</v>
      </c>
      <c r="I81" s="344"/>
      <c r="J81" s="346"/>
      <c r="K81" s="346"/>
      <c r="L81" s="385"/>
      <c r="M81" s="216"/>
      <c r="O81" s="15"/>
      <c r="P81" s="15"/>
    </row>
    <row r="82" spans="1:20">
      <c r="A82" s="296"/>
      <c r="E82" s="342"/>
      <c r="F82" s="343"/>
      <c r="G82" s="344"/>
      <c r="H82" s="344"/>
      <c r="I82" s="344"/>
      <c r="J82" s="346"/>
      <c r="K82" s="346"/>
      <c r="L82" s="385"/>
      <c r="M82" s="216"/>
      <c r="O82" s="15"/>
      <c r="P82" s="15"/>
    </row>
    <row r="83" spans="1:20">
      <c r="A83" s="438" t="s">
        <v>652</v>
      </c>
      <c r="B83" s="439"/>
      <c r="C83" s="439"/>
      <c r="D83" s="439"/>
      <c r="E83" s="439"/>
      <c r="F83" s="439"/>
      <c r="G83" s="440"/>
      <c r="H83" s="347"/>
      <c r="I83" s="348">
        <f>SUM(I5:I80)</f>
        <v>86849.239999999991</v>
      </c>
      <c r="J83" s="383">
        <f>SUM(J5:J80)</f>
        <v>86305.360000000015</v>
      </c>
      <c r="K83" s="383"/>
      <c r="L83" s="386"/>
    </row>
    <row r="84" spans="1:20">
      <c r="A84" s="441" t="s">
        <v>1028</v>
      </c>
      <c r="B84" s="442"/>
      <c r="C84" s="443"/>
      <c r="D84" s="351"/>
      <c r="E84" s="352" t="s">
        <v>258</v>
      </c>
      <c r="F84" s="334">
        <v>73</v>
      </c>
      <c r="G84" s="329" t="s">
        <v>1029</v>
      </c>
      <c r="H84" s="351"/>
      <c r="I84" s="352" t="s">
        <v>258</v>
      </c>
      <c r="J84" s="343">
        <v>74</v>
      </c>
      <c r="K84" s="343"/>
      <c r="L84" s="161"/>
    </row>
    <row r="85" spans="1:20">
      <c r="A85" s="353"/>
      <c r="B85" s="352"/>
      <c r="C85" s="351"/>
      <c r="D85" s="351"/>
      <c r="E85" s="351" t="s">
        <v>930</v>
      </c>
      <c r="F85" s="330">
        <v>4</v>
      </c>
      <c r="G85" s="329"/>
      <c r="H85" s="351"/>
      <c r="I85" s="351" t="s">
        <v>930</v>
      </c>
      <c r="J85" s="343">
        <v>4</v>
      </c>
      <c r="K85" s="343"/>
      <c r="L85" s="161"/>
    </row>
    <row r="86" spans="1:20">
      <c r="A86" s="441"/>
      <c r="B86" s="442"/>
      <c r="C86" s="443"/>
      <c r="D86" s="351"/>
      <c r="E86" s="352" t="s">
        <v>931</v>
      </c>
      <c r="F86" s="355">
        <v>26</v>
      </c>
      <c r="G86" s="329"/>
      <c r="H86" s="351"/>
      <c r="I86" s="352" t="s">
        <v>931</v>
      </c>
      <c r="J86" s="343">
        <v>26</v>
      </c>
      <c r="K86" s="343"/>
      <c r="L86" s="161"/>
    </row>
    <row r="87" spans="1:20">
      <c r="A87" s="444"/>
      <c r="B87" s="445"/>
      <c r="C87" s="446"/>
      <c r="D87" s="356"/>
      <c r="E87" s="357" t="s">
        <v>246</v>
      </c>
      <c r="F87" s="358">
        <v>103</v>
      </c>
      <c r="G87" s="329"/>
      <c r="H87" s="393"/>
      <c r="I87" s="394" t="s">
        <v>246</v>
      </c>
      <c r="J87" s="395">
        <v>104</v>
      </c>
      <c r="K87" s="395"/>
      <c r="L87" s="161"/>
    </row>
    <row r="88" spans="1:20">
      <c r="A88" s="447" t="s">
        <v>830</v>
      </c>
      <c r="B88" s="448"/>
      <c r="C88" s="448"/>
      <c r="D88" s="448"/>
      <c r="E88" s="448"/>
      <c r="F88" s="448"/>
      <c r="G88" s="448"/>
      <c r="H88" s="381"/>
      <c r="I88" s="381"/>
      <c r="J88" s="396"/>
      <c r="K88" s="396"/>
      <c r="L88" s="392"/>
      <c r="N88" s="15"/>
    </row>
    <row r="89" spans="1:20">
      <c r="A89" s="334"/>
      <c r="B89" s="354">
        <v>2319</v>
      </c>
      <c r="C89" s="328" t="s">
        <v>757</v>
      </c>
      <c r="D89" s="328" t="s">
        <v>1026</v>
      </c>
      <c r="E89" s="382" t="s">
        <v>853</v>
      </c>
      <c r="F89" s="330">
        <v>2</v>
      </c>
      <c r="G89" s="331">
        <v>857.18</v>
      </c>
      <c r="H89" s="332">
        <v>0</v>
      </c>
      <c r="I89" s="331">
        <v>857.18</v>
      </c>
      <c r="J89" s="389">
        <v>857.18</v>
      </c>
      <c r="K89" s="333"/>
      <c r="L89" s="196" t="s">
        <v>1091</v>
      </c>
      <c r="N89" s="15"/>
    </row>
    <row r="90" spans="1:20">
      <c r="A90" s="334"/>
      <c r="B90" s="354">
        <v>2319</v>
      </c>
      <c r="C90" s="328" t="s">
        <v>757</v>
      </c>
      <c r="D90" s="328" t="s">
        <v>1026</v>
      </c>
      <c r="E90" s="382" t="s">
        <v>853</v>
      </c>
      <c r="F90" s="330">
        <v>2</v>
      </c>
      <c r="G90" s="331">
        <v>857.18</v>
      </c>
      <c r="H90" s="332">
        <v>0</v>
      </c>
      <c r="I90" s="331">
        <v>857.18</v>
      </c>
      <c r="J90" s="389">
        <v>857.18</v>
      </c>
      <c r="K90" s="333"/>
      <c r="L90" s="196" t="s">
        <v>1090</v>
      </c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>
        <v>2333</v>
      </c>
      <c r="C91" s="328" t="s">
        <v>1078</v>
      </c>
      <c r="D91" s="328" t="s">
        <v>1079</v>
      </c>
      <c r="E91" s="329" t="s">
        <v>854</v>
      </c>
      <c r="F91" s="330">
        <v>1</v>
      </c>
      <c r="G91" s="331">
        <v>1086.0899999999999</v>
      </c>
      <c r="H91" s="332">
        <v>0</v>
      </c>
      <c r="I91" s="331">
        <v>1086.0899999999999</v>
      </c>
      <c r="J91" s="389">
        <v>1086.0899999999999</v>
      </c>
      <c r="K91" s="333">
        <f t="shared" ref="K91:K93" si="2">I91-J91</f>
        <v>0</v>
      </c>
      <c r="L91" s="196" t="s">
        <v>1091</v>
      </c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>
        <v>2333</v>
      </c>
      <c r="C92" s="328" t="s">
        <v>1078</v>
      </c>
      <c r="D92" s="328" t="s">
        <v>1079</v>
      </c>
      <c r="E92" s="329" t="s">
        <v>854</v>
      </c>
      <c r="F92" s="330">
        <v>1</v>
      </c>
      <c r="G92" s="331">
        <v>1086.0899999999999</v>
      </c>
      <c r="H92" s="332">
        <v>0</v>
      </c>
      <c r="I92" s="331">
        <v>1086.0899999999999</v>
      </c>
      <c r="J92" s="389">
        <v>1086.0899999999999</v>
      </c>
      <c r="K92" s="333">
        <f t="shared" si="2"/>
        <v>0</v>
      </c>
      <c r="L92" s="196" t="s">
        <v>1090</v>
      </c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>
        <v>1708</v>
      </c>
      <c r="C93" s="328" t="s">
        <v>775</v>
      </c>
      <c r="D93" s="328" t="s">
        <v>791</v>
      </c>
      <c r="E93" s="329" t="s">
        <v>852</v>
      </c>
      <c r="F93" s="330"/>
      <c r="G93" s="331">
        <v>-1624.77</v>
      </c>
      <c r="H93" s="332" t="s">
        <v>1006</v>
      </c>
      <c r="I93" s="331">
        <v>-1624.77</v>
      </c>
      <c r="J93" s="389">
        <v>-1624.77</v>
      </c>
      <c r="K93" s="333">
        <f t="shared" si="2"/>
        <v>0</v>
      </c>
      <c r="L93" s="196" t="s">
        <v>1089</v>
      </c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>
        <v>2337</v>
      </c>
      <c r="C94" s="328" t="s">
        <v>777</v>
      </c>
      <c r="D94" s="338" t="s">
        <v>1080</v>
      </c>
      <c r="E94" s="329" t="s">
        <v>852</v>
      </c>
      <c r="F94" s="330"/>
      <c r="G94" s="331">
        <v>627.71</v>
      </c>
      <c r="H94" s="332">
        <v>0</v>
      </c>
      <c r="I94" s="331">
        <v>627.71</v>
      </c>
      <c r="J94" s="389">
        <v>627.71</v>
      </c>
      <c r="K94" s="333"/>
      <c r="L94" s="196" t="s">
        <v>1091</v>
      </c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>
        <v>2337</v>
      </c>
      <c r="C95" s="328" t="s">
        <v>777</v>
      </c>
      <c r="D95" s="338" t="s">
        <v>1080</v>
      </c>
      <c r="E95" s="329" t="s">
        <v>852</v>
      </c>
      <c r="F95" s="330"/>
      <c r="G95" s="331">
        <v>627.71</v>
      </c>
      <c r="H95" s="332">
        <v>0</v>
      </c>
      <c r="I95" s="331">
        <v>627.71</v>
      </c>
      <c r="J95" s="389">
        <v>627.71</v>
      </c>
      <c r="K95" s="333"/>
      <c r="L95" s="196" t="s">
        <v>1090</v>
      </c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>
        <v>2336</v>
      </c>
      <c r="C96" s="328" t="s">
        <v>778</v>
      </c>
      <c r="D96" s="338" t="s">
        <v>1087</v>
      </c>
      <c r="E96" s="382" t="s">
        <v>853</v>
      </c>
      <c r="F96" s="330">
        <v>2</v>
      </c>
      <c r="G96" s="331">
        <v>2030.27</v>
      </c>
      <c r="H96" s="332">
        <v>0</v>
      </c>
      <c r="I96" s="331">
        <v>2030.27</v>
      </c>
      <c r="J96" s="331">
        <v>2030.27</v>
      </c>
      <c r="K96" s="333"/>
      <c r="L96" s="196" t="s">
        <v>1091</v>
      </c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>
        <v>2336</v>
      </c>
      <c r="C97" s="328" t="s">
        <v>778</v>
      </c>
      <c r="D97" s="338" t="s">
        <v>1087</v>
      </c>
      <c r="E97" s="382" t="s">
        <v>853</v>
      </c>
      <c r="F97" s="330">
        <v>2</v>
      </c>
      <c r="G97" s="331">
        <v>2030.27</v>
      </c>
      <c r="H97" s="332">
        <v>0</v>
      </c>
      <c r="I97" s="331">
        <v>2030.27</v>
      </c>
      <c r="J97" s="331">
        <v>2030.27</v>
      </c>
      <c r="K97" s="333"/>
      <c r="L97" s="196" t="s">
        <v>1090</v>
      </c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>
        <v>2335</v>
      </c>
      <c r="C98" s="328" t="s">
        <v>870</v>
      </c>
      <c r="D98" s="338" t="s">
        <v>1081</v>
      </c>
      <c r="E98" s="382" t="s">
        <v>852</v>
      </c>
      <c r="F98" s="330"/>
      <c r="G98" s="331">
        <v>554.59</v>
      </c>
      <c r="H98" s="332">
        <v>0</v>
      </c>
      <c r="I98" s="331">
        <v>554.59</v>
      </c>
      <c r="J98" s="331">
        <v>554.59</v>
      </c>
      <c r="K98" s="333"/>
      <c r="L98" s="196" t="s">
        <v>1091</v>
      </c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>
        <v>2335</v>
      </c>
      <c r="C99" s="328" t="s">
        <v>870</v>
      </c>
      <c r="D99" s="338" t="s">
        <v>1081</v>
      </c>
      <c r="E99" s="382" t="s">
        <v>852</v>
      </c>
      <c r="F99" s="330"/>
      <c r="G99" s="331">
        <v>554.59</v>
      </c>
      <c r="H99" s="332">
        <v>0</v>
      </c>
      <c r="I99" s="331">
        <v>554.59</v>
      </c>
      <c r="J99" s="331">
        <v>554.59</v>
      </c>
      <c r="K99" s="333"/>
      <c r="L99" s="196" t="s">
        <v>1090</v>
      </c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28"/>
      <c r="E100" s="329"/>
      <c r="F100" s="330"/>
      <c r="G100" s="331"/>
      <c r="H100" s="332"/>
      <c r="I100" s="332"/>
      <c r="J100" s="333"/>
      <c r="K100" s="333"/>
      <c r="L100" s="161"/>
      <c r="N100" s="15"/>
    </row>
    <row r="101" spans="1:20">
      <c r="A101" s="438" t="s">
        <v>846</v>
      </c>
      <c r="B101" s="439"/>
      <c r="C101" s="439"/>
      <c r="D101" s="439"/>
      <c r="E101" s="439"/>
      <c r="F101" s="439"/>
      <c r="G101" s="440"/>
      <c r="H101" s="348">
        <f>SUM(H89:H92)</f>
        <v>0</v>
      </c>
      <c r="I101" s="347"/>
      <c r="J101" s="348">
        <f>SUM(J89:J100)</f>
        <v>8686.91</v>
      </c>
      <c r="K101" s="406"/>
      <c r="L101" s="402"/>
    </row>
    <row r="102" spans="1:20">
      <c r="A102" s="365"/>
      <c r="B102" s="366"/>
      <c r="C102" s="366"/>
      <c r="D102" s="366"/>
      <c r="E102" s="366"/>
      <c r="F102" s="367"/>
      <c r="G102" s="368"/>
      <c r="H102" s="368"/>
      <c r="I102" s="368"/>
      <c r="J102" s="349"/>
      <c r="K102" s="383"/>
      <c r="L102" s="364"/>
    </row>
    <row r="103" spans="1:20" ht="16">
      <c r="A103" s="435" t="s">
        <v>881</v>
      </c>
      <c r="B103" s="436"/>
      <c r="C103" s="436"/>
      <c r="D103" s="436"/>
      <c r="E103" s="436"/>
      <c r="F103" s="436"/>
      <c r="G103" s="437"/>
      <c r="H103" s="369"/>
      <c r="I103" s="369"/>
      <c r="J103" s="370">
        <f>SUM(J83,J101)</f>
        <v>94992.270000000019</v>
      </c>
      <c r="K103" s="407"/>
      <c r="L103" s="350"/>
    </row>
    <row r="104" spans="1:20" ht="18">
      <c r="F104" s="3"/>
      <c r="G104" s="371" t="s">
        <v>1013</v>
      </c>
      <c r="H104" s="372">
        <v>45455</v>
      </c>
    </row>
    <row r="105" spans="1:20" ht="18">
      <c r="F105" s="3"/>
      <c r="G105" s="371" t="s">
        <v>1014</v>
      </c>
      <c r="H105" s="373" t="s">
        <v>990</v>
      </c>
      <c r="I105" s="373"/>
    </row>
    <row r="106" spans="1:20">
      <c r="F106" s="3"/>
      <c r="G106" s="216"/>
      <c r="H106" s="216"/>
      <c r="I106" s="216"/>
      <c r="J106" s="3"/>
      <c r="K106" s="3"/>
      <c r="L106" s="15"/>
      <c r="M106" s="216"/>
    </row>
    <row r="107" spans="1:20">
      <c r="F107" s="3"/>
      <c r="G107" s="216"/>
      <c r="H107" s="269"/>
      <c r="I107" s="216"/>
      <c r="J107" s="270"/>
      <c r="K107" s="270"/>
      <c r="L107" s="15"/>
      <c r="M107" s="216"/>
    </row>
    <row r="108" spans="1:20">
      <c r="F108" s="3"/>
      <c r="G108" s="216"/>
      <c r="H108" s="269"/>
      <c r="I108" s="216"/>
      <c r="J108" s="270"/>
      <c r="K108" s="270"/>
      <c r="L108" s="15"/>
      <c r="M108" s="216"/>
    </row>
    <row r="109" spans="1:20">
      <c r="F109" s="3"/>
      <c r="G109" s="216"/>
      <c r="H109" s="388">
        <f>SUM(H81,H101)</f>
        <v>2577.04</v>
      </c>
      <c r="I109" s="269">
        <f>J103-H109</f>
        <v>92415.230000000025</v>
      </c>
      <c r="J109" s="3"/>
      <c r="K109" s="3"/>
      <c r="L109" s="15"/>
      <c r="M109" s="216"/>
    </row>
    <row r="110" spans="1:20">
      <c r="F110" s="3"/>
      <c r="G110" s="216"/>
      <c r="H110" s="216"/>
      <c r="I110" s="216"/>
      <c r="J110" s="3"/>
      <c r="K110" s="3"/>
      <c r="L110" s="15"/>
      <c r="M110" s="216"/>
      <c r="Q110" s="3"/>
      <c r="R110" s="3"/>
      <c r="S110" s="3"/>
      <c r="T110" s="3"/>
    </row>
  </sheetData>
  <mergeCells count="7">
    <mergeCell ref="A103:G103"/>
    <mergeCell ref="A83:G83"/>
    <mergeCell ref="A84:C84"/>
    <mergeCell ref="A86:C86"/>
    <mergeCell ref="A87:C87"/>
    <mergeCell ref="A88:G88"/>
    <mergeCell ref="A101:G101"/>
  </mergeCells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3EC4-F892-A84E-9FBF-BFD29BDE7E06}">
  <dimension ref="A1:T107"/>
  <sheetViews>
    <sheetView topLeftCell="C83" zoomScale="170" zoomScaleNormal="170" workbookViewId="0">
      <selection activeCell="C83" sqref="A1:XFD1048576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45474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70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/>
      <c r="B11" s="354">
        <v>2331</v>
      </c>
      <c r="C11" s="328" t="s">
        <v>1073</v>
      </c>
      <c r="D11" s="328" t="s">
        <v>1074</v>
      </c>
      <c r="E11" s="329" t="s">
        <v>854</v>
      </c>
      <c r="F11" s="330">
        <v>1</v>
      </c>
      <c r="G11" s="331">
        <v>1077.42</v>
      </c>
      <c r="H11" s="332">
        <v>0</v>
      </c>
      <c r="I11" s="331">
        <v>1077.42</v>
      </c>
      <c r="J11" s="389">
        <v>1077.42</v>
      </c>
      <c r="K11" s="333">
        <f t="shared" si="0"/>
        <v>0</v>
      </c>
      <c r="L11" s="329" t="s">
        <v>1082</v>
      </c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1469.89</v>
      </c>
      <c r="H12" s="332" t="s">
        <v>1006</v>
      </c>
      <c r="I12" s="331">
        <v>1469.89</v>
      </c>
      <c r="J12" s="389">
        <v>1469.89</v>
      </c>
      <c r="K12" s="333">
        <f t="shared" si="0"/>
        <v>0</v>
      </c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648.83000000000004</v>
      </c>
      <c r="H13" s="332" t="s">
        <v>1006</v>
      </c>
      <c r="I13" s="331">
        <v>648.83000000000004</v>
      </c>
      <c r="J13" s="389">
        <v>648.83000000000004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885.51</v>
      </c>
      <c r="H14" s="332" t="s">
        <v>1006</v>
      </c>
      <c r="I14" s="331">
        <v>885.51</v>
      </c>
      <c r="J14" s="389">
        <v>885.51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683.49</v>
      </c>
      <c r="H15" s="332" t="s">
        <v>1006</v>
      </c>
      <c r="I15" s="331">
        <v>683.49</v>
      </c>
      <c r="J15" s="389">
        <v>683.49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666.16</v>
      </c>
      <c r="H16" s="332" t="s">
        <v>1006</v>
      </c>
      <c r="I16" s="331">
        <v>666.16</v>
      </c>
      <c r="J16" s="389">
        <v>666.16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1262.08</v>
      </c>
      <c r="H17" s="332">
        <v>542.16</v>
      </c>
      <c r="I17" s="332">
        <v>1804.24</v>
      </c>
      <c r="J17" s="333">
        <v>1804.24</v>
      </c>
      <c r="K17" s="333">
        <f t="shared" si="0"/>
        <v>0</v>
      </c>
      <c r="L17" s="329"/>
    </row>
    <row r="18" spans="1:20">
      <c r="A18" s="334"/>
      <c r="B18" s="354">
        <v>2318</v>
      </c>
      <c r="C18" s="328" t="s">
        <v>1018</v>
      </c>
      <c r="D18" s="328" t="s">
        <v>1019</v>
      </c>
      <c r="E18" s="382" t="s">
        <v>851</v>
      </c>
      <c r="F18" s="330"/>
      <c r="G18" s="331">
        <v>790.72</v>
      </c>
      <c r="H18" s="332">
        <v>507.5</v>
      </c>
      <c r="I18" s="332">
        <f>SUM(G18:H18)</f>
        <v>1298.22</v>
      </c>
      <c r="J18" s="333">
        <v>1298.21</v>
      </c>
      <c r="K18" s="333">
        <f t="shared" si="0"/>
        <v>9.9999999999909051E-3</v>
      </c>
      <c r="L18" s="161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2065.64</v>
      </c>
      <c r="H19" s="332" t="s">
        <v>1006</v>
      </c>
      <c r="I19" s="331">
        <v>2065.64</v>
      </c>
      <c r="J19" s="389">
        <v>1521.88</v>
      </c>
      <c r="K19" s="333">
        <f t="shared" si="0"/>
        <v>543.75999999999976</v>
      </c>
      <c r="L19" s="161" t="s">
        <v>1085</v>
      </c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692.16</v>
      </c>
      <c r="H20" s="332" t="s">
        <v>1006</v>
      </c>
      <c r="I20" s="331">
        <v>692.16</v>
      </c>
      <c r="J20" s="389">
        <v>692.16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1090.42</v>
      </c>
      <c r="H21" s="332" t="s">
        <v>1006</v>
      </c>
      <c r="I21" s="331">
        <v>1090.42</v>
      </c>
      <c r="J21" s="389">
        <v>1090.42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756.04</v>
      </c>
      <c r="H22" s="332">
        <v>417.6</v>
      </c>
      <c r="I22" s="332">
        <f>SUM(G22:H22)</f>
        <v>1173.6399999999999</v>
      </c>
      <c r="J22" s="333">
        <v>1173.6300000000001</v>
      </c>
      <c r="K22" s="333">
        <f t="shared" si="0"/>
        <v>9.9999999997635314E-3</v>
      </c>
      <c r="L22" s="188"/>
      <c r="M22" s="403" t="s">
        <v>1042</v>
      </c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1551.66</v>
      </c>
      <c r="H23" s="332" t="s">
        <v>1006</v>
      </c>
      <c r="I23" s="331">
        <v>1551.66</v>
      </c>
      <c r="J23" s="389">
        <v>1551.66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1263.54</v>
      </c>
      <c r="H24" s="332" t="s">
        <v>1006</v>
      </c>
      <c r="I24" s="331">
        <v>1263.54</v>
      </c>
      <c r="J24" s="389">
        <v>1263.54</v>
      </c>
      <c r="K24" s="333">
        <f t="shared" si="0"/>
        <v>0</v>
      </c>
      <c r="L24" s="161"/>
    </row>
    <row r="25" spans="1:20">
      <c r="A25" s="334">
        <v>17</v>
      </c>
      <c r="B25" s="354">
        <v>2194</v>
      </c>
      <c r="C25" s="328" t="s">
        <v>749</v>
      </c>
      <c r="D25" s="338" t="s">
        <v>789</v>
      </c>
      <c r="E25" s="329" t="s">
        <v>852</v>
      </c>
      <c r="F25" s="330"/>
      <c r="G25" s="331">
        <v>606.04</v>
      </c>
      <c r="H25" s="332" t="s">
        <v>1006</v>
      </c>
      <c r="I25" s="331">
        <v>606.04</v>
      </c>
      <c r="J25" s="389">
        <v>606.04</v>
      </c>
      <c r="K25" s="333">
        <f t="shared" si="0"/>
        <v>0</v>
      </c>
      <c r="L25" s="161"/>
    </row>
    <row r="26" spans="1:20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331">
        <v>1379.98</v>
      </c>
      <c r="H26" s="332" t="s">
        <v>1006</v>
      </c>
      <c r="I26" s="331">
        <v>1379.98</v>
      </c>
      <c r="J26" s="389">
        <v>1379.98</v>
      </c>
      <c r="K26" s="333">
        <f t="shared" si="0"/>
        <v>0</v>
      </c>
      <c r="L26" s="161"/>
    </row>
    <row r="27" spans="1:20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683.49</v>
      </c>
      <c r="H27" s="332" t="s">
        <v>1006</v>
      </c>
      <c r="I27" s="331">
        <v>683.49</v>
      </c>
      <c r="J27" s="389">
        <v>683.49</v>
      </c>
      <c r="K27" s="333">
        <f t="shared" si="0"/>
        <v>0</v>
      </c>
      <c r="L27" s="161"/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541.59</v>
      </c>
      <c r="H28" s="332">
        <v>0</v>
      </c>
      <c r="I28" s="332">
        <v>541.59</v>
      </c>
      <c r="J28" s="335">
        <v>541.59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1549.34</v>
      </c>
      <c r="H29" s="332" t="s">
        <v>1006</v>
      </c>
      <c r="I29" s="331">
        <v>1549.34</v>
      </c>
      <c r="J29" s="389">
        <v>1549.34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661.83</v>
      </c>
      <c r="H30" s="332" t="s">
        <v>1006</v>
      </c>
      <c r="I30" s="331">
        <v>661.83</v>
      </c>
      <c r="J30" s="389">
        <v>661.83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567.59</v>
      </c>
      <c r="H31" s="332"/>
      <c r="I31" s="331">
        <v>567.59</v>
      </c>
      <c r="J31" s="389">
        <v>567.59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1379.98</v>
      </c>
      <c r="H32" s="332" t="s">
        <v>1006</v>
      </c>
      <c r="I32" s="391">
        <v>1379.98</v>
      </c>
      <c r="J32" s="389">
        <v>1379.98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1624.77</v>
      </c>
      <c r="H33" s="332" t="s">
        <v>1006</v>
      </c>
      <c r="I33" s="331">
        <v>1624.77</v>
      </c>
      <c r="J33" s="389">
        <v>1624.77</v>
      </c>
      <c r="K33" s="333">
        <f t="shared" si="0"/>
        <v>0</v>
      </c>
      <c r="L33" s="329"/>
    </row>
    <row r="34" spans="1:20">
      <c r="A34" s="334"/>
      <c r="B34" s="354">
        <v>2320</v>
      </c>
      <c r="C34" s="328" t="s">
        <v>1043</v>
      </c>
      <c r="D34" s="328" t="s">
        <v>1044</v>
      </c>
      <c r="E34" s="329" t="s">
        <v>852</v>
      </c>
      <c r="F34" s="330"/>
      <c r="G34" s="331">
        <v>567.59</v>
      </c>
      <c r="H34" s="332"/>
      <c r="I34" s="331">
        <v>567.59</v>
      </c>
      <c r="J34" s="389">
        <v>567.59</v>
      </c>
      <c r="K34" s="333">
        <f t="shared" si="0"/>
        <v>0</v>
      </c>
      <c r="L34" s="329"/>
    </row>
    <row r="35" spans="1:20">
      <c r="A35" s="334">
        <v>24</v>
      </c>
      <c r="B35" s="376" t="s">
        <v>675</v>
      </c>
      <c r="C35" s="328" t="s">
        <v>755</v>
      </c>
      <c r="D35" s="328" t="s">
        <v>796</v>
      </c>
      <c r="E35" s="329" t="s">
        <v>852</v>
      </c>
      <c r="F35" s="330"/>
      <c r="G35" s="331">
        <v>717.61</v>
      </c>
      <c r="H35" s="332" t="s">
        <v>1006</v>
      </c>
      <c r="I35" s="332">
        <v>717.61</v>
      </c>
      <c r="J35" s="333">
        <v>717.61</v>
      </c>
      <c r="K35" s="333">
        <f t="shared" si="0"/>
        <v>0</v>
      </c>
      <c r="L35" s="329"/>
    </row>
    <row r="36" spans="1:20">
      <c r="A36" s="334">
        <v>26</v>
      </c>
      <c r="B36" s="354">
        <v>1741</v>
      </c>
      <c r="C36" s="328" t="s">
        <v>755</v>
      </c>
      <c r="D36" s="328" t="s">
        <v>797</v>
      </c>
      <c r="E36" s="329" t="s">
        <v>852</v>
      </c>
      <c r="F36" s="330"/>
      <c r="G36" s="331">
        <v>1156.3</v>
      </c>
      <c r="H36" s="332" t="s">
        <v>1006</v>
      </c>
      <c r="I36" s="331">
        <v>1156.3</v>
      </c>
      <c r="J36" s="389">
        <v>1156.3</v>
      </c>
      <c r="K36" s="333">
        <f t="shared" si="0"/>
        <v>0</v>
      </c>
      <c r="L36" s="329"/>
    </row>
    <row r="37" spans="1:20">
      <c r="A37" s="334">
        <v>25</v>
      </c>
      <c r="B37" s="354">
        <v>1757</v>
      </c>
      <c r="C37" s="328" t="s">
        <v>755</v>
      </c>
      <c r="D37" s="338" t="s">
        <v>798</v>
      </c>
      <c r="E37" s="329" t="s">
        <v>853</v>
      </c>
      <c r="F37" s="330">
        <v>2</v>
      </c>
      <c r="G37" s="331">
        <v>1956.43</v>
      </c>
      <c r="H37" s="332" t="s">
        <v>1006</v>
      </c>
      <c r="I37" s="331">
        <v>1956.43</v>
      </c>
      <c r="J37" s="389">
        <v>1956.43</v>
      </c>
      <c r="K37" s="333">
        <f t="shared" si="0"/>
        <v>0</v>
      </c>
      <c r="L37" s="329"/>
      <c r="N37" s="12"/>
      <c r="O37" s="12"/>
      <c r="P37" s="12"/>
      <c r="Q37" s="12"/>
      <c r="R37" s="12"/>
      <c r="S37" s="12"/>
      <c r="T37" s="12"/>
    </row>
    <row r="38" spans="1:20">
      <c r="A38" s="334">
        <v>27</v>
      </c>
      <c r="B38" s="354">
        <v>2057</v>
      </c>
      <c r="C38" s="328" t="s">
        <v>756</v>
      </c>
      <c r="D38" s="338" t="s">
        <v>799</v>
      </c>
      <c r="E38" s="329" t="s">
        <v>852</v>
      </c>
      <c r="F38" s="330"/>
      <c r="G38" s="331">
        <v>1624.77</v>
      </c>
      <c r="H38" s="332" t="s">
        <v>1006</v>
      </c>
      <c r="I38" s="331">
        <v>1624.77</v>
      </c>
      <c r="J38" s="389">
        <v>1624.77</v>
      </c>
      <c r="K38" s="333">
        <f t="shared" si="0"/>
        <v>0</v>
      </c>
      <c r="L38" s="329"/>
    </row>
    <row r="39" spans="1:20">
      <c r="A39" s="334">
        <v>28</v>
      </c>
      <c r="B39" s="354">
        <v>1210</v>
      </c>
      <c r="C39" s="328" t="s">
        <v>756</v>
      </c>
      <c r="D39" s="338" t="s">
        <v>800</v>
      </c>
      <c r="E39" s="329" t="s">
        <v>852</v>
      </c>
      <c r="F39" s="330"/>
      <c r="G39" s="331">
        <v>1598.79</v>
      </c>
      <c r="H39" s="332" t="s">
        <v>1006</v>
      </c>
      <c r="I39" s="331">
        <v>1598.79</v>
      </c>
      <c r="J39" s="389">
        <v>1598.79</v>
      </c>
      <c r="K39" s="333">
        <f t="shared" si="0"/>
        <v>0</v>
      </c>
      <c r="L39" s="329"/>
    </row>
    <row r="40" spans="1:20">
      <c r="A40" s="334"/>
      <c r="B40" s="354">
        <v>2310</v>
      </c>
      <c r="C40" s="328" t="s">
        <v>756</v>
      </c>
      <c r="D40" s="338" t="s">
        <v>977</v>
      </c>
      <c r="E40" s="329" t="s">
        <v>852</v>
      </c>
      <c r="F40" s="330"/>
      <c r="G40" s="331">
        <v>923.96</v>
      </c>
      <c r="H40" s="332" t="s">
        <v>1006</v>
      </c>
      <c r="I40" s="331">
        <v>923.96</v>
      </c>
      <c r="J40" s="389">
        <v>923.96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852</v>
      </c>
      <c r="F43" s="330"/>
      <c r="G43" s="331">
        <v>1514.68</v>
      </c>
      <c r="H43" s="332">
        <v>0</v>
      </c>
      <c r="I43" s="331">
        <v>1514.68</v>
      </c>
      <c r="J43" s="389">
        <v>657.5</v>
      </c>
      <c r="K43" s="333">
        <f t="shared" si="0"/>
        <v>857.18000000000006</v>
      </c>
      <c r="L43" s="329" t="s">
        <v>1086</v>
      </c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/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/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854</v>
      </c>
      <c r="F45" s="330">
        <v>1</v>
      </c>
      <c r="G45" s="331">
        <v>1094.75</v>
      </c>
      <c r="H45" s="332" t="s">
        <v>1006</v>
      </c>
      <c r="I45" s="331">
        <v>1094.75</v>
      </c>
      <c r="J45" s="389">
        <v>1094.75</v>
      </c>
      <c r="K45" s="333">
        <f t="shared" si="0"/>
        <v>0</v>
      </c>
      <c r="L45" s="329"/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>
        <v>661.83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1350.93</v>
      </c>
      <c r="H55" s="332" t="s">
        <v>1006</v>
      </c>
      <c r="I55" s="331">
        <v>1350.93</v>
      </c>
      <c r="J55" s="389">
        <v>1350.93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1584.89</v>
      </c>
      <c r="H56" s="332" t="s">
        <v>1006</v>
      </c>
      <c r="I56" s="331">
        <v>1584.89</v>
      </c>
      <c r="J56" s="389">
        <v>1584.89</v>
      </c>
      <c r="K56" s="333">
        <f t="shared" si="0"/>
        <v>0</v>
      </c>
      <c r="L56" s="329"/>
    </row>
    <row r="57" spans="1:12">
      <c r="A57" s="334">
        <v>44</v>
      </c>
      <c r="B57" s="354">
        <v>2001</v>
      </c>
      <c r="C57" s="328" t="s">
        <v>766</v>
      </c>
      <c r="D57" s="338" t="s">
        <v>814</v>
      </c>
      <c r="E57" s="329" t="s">
        <v>852</v>
      </c>
      <c r="F57" s="330"/>
      <c r="G57" s="331">
        <v>1319.87</v>
      </c>
      <c r="H57" s="332" t="s">
        <v>1006</v>
      </c>
      <c r="I57" s="331">
        <v>1319.87</v>
      </c>
      <c r="J57" s="389">
        <v>1319.87</v>
      </c>
      <c r="K57" s="333">
        <f t="shared" si="0"/>
        <v>0</v>
      </c>
      <c r="L57" s="329"/>
    </row>
    <row r="58" spans="1:12">
      <c r="A58" s="334">
        <v>45</v>
      </c>
      <c r="B58" s="354">
        <v>2160</v>
      </c>
      <c r="C58" s="328" t="s">
        <v>767</v>
      </c>
      <c r="D58" s="338" t="s">
        <v>815</v>
      </c>
      <c r="E58" s="329" t="s">
        <v>854</v>
      </c>
      <c r="F58" s="330">
        <v>1</v>
      </c>
      <c r="G58" s="331">
        <v>1921.57</v>
      </c>
      <c r="H58" s="332" t="s">
        <v>1006</v>
      </c>
      <c r="I58" s="331">
        <v>1921.57</v>
      </c>
      <c r="J58" s="389">
        <v>1921.57</v>
      </c>
      <c r="K58" s="333">
        <f t="shared" si="0"/>
        <v>0</v>
      </c>
      <c r="L58" s="329"/>
    </row>
    <row r="59" spans="1:12">
      <c r="A59" s="334">
        <v>47</v>
      </c>
      <c r="B59" s="354">
        <v>2279</v>
      </c>
      <c r="C59" s="328" t="s">
        <v>769</v>
      </c>
      <c r="D59" s="328" t="s">
        <v>843</v>
      </c>
      <c r="E59" s="329" t="s">
        <v>852</v>
      </c>
      <c r="F59" s="330"/>
      <c r="G59" s="331">
        <v>554.59</v>
      </c>
      <c r="H59" s="332" t="s">
        <v>1006</v>
      </c>
      <c r="I59" s="331">
        <v>554.59</v>
      </c>
      <c r="J59" s="389">
        <v>554.59</v>
      </c>
      <c r="K59" s="333">
        <f t="shared" si="0"/>
        <v>0</v>
      </c>
      <c r="L59" s="161"/>
    </row>
    <row r="60" spans="1:12">
      <c r="A60" s="334">
        <v>48</v>
      </c>
      <c r="B60" s="354">
        <v>2246</v>
      </c>
      <c r="C60" s="328" t="s">
        <v>769</v>
      </c>
      <c r="D60" s="338" t="s">
        <v>817</v>
      </c>
      <c r="E60" s="329" t="s">
        <v>852</v>
      </c>
      <c r="F60" s="330"/>
      <c r="G60" s="331">
        <v>648.83000000000004</v>
      </c>
      <c r="H60" s="332" t="s">
        <v>1006</v>
      </c>
      <c r="I60" s="331">
        <v>648.83000000000004</v>
      </c>
      <c r="J60" s="389">
        <v>648.83000000000004</v>
      </c>
      <c r="K60" s="333">
        <f t="shared" si="0"/>
        <v>0</v>
      </c>
      <c r="L60" s="188"/>
    </row>
    <row r="61" spans="1:12">
      <c r="A61" s="334">
        <v>49</v>
      </c>
      <c r="B61" s="354">
        <v>2018</v>
      </c>
      <c r="C61" s="328" t="s">
        <v>770</v>
      </c>
      <c r="D61" s="328" t="s">
        <v>818</v>
      </c>
      <c r="E61" s="329" t="s">
        <v>852</v>
      </c>
      <c r="F61" s="330"/>
      <c r="G61" s="331">
        <v>1624.77</v>
      </c>
      <c r="H61" s="332" t="s">
        <v>1006</v>
      </c>
      <c r="I61" s="331">
        <v>1624.77</v>
      </c>
      <c r="J61" s="389">
        <v>1624.77</v>
      </c>
      <c r="K61" s="333">
        <f t="shared" si="0"/>
        <v>0</v>
      </c>
      <c r="L61" s="161"/>
    </row>
    <row r="62" spans="1:12">
      <c r="A62" s="334"/>
      <c r="B62" s="354">
        <v>2329</v>
      </c>
      <c r="C62" s="328" t="s">
        <v>1070</v>
      </c>
      <c r="D62" s="328" t="s">
        <v>1071</v>
      </c>
      <c r="E62" s="329" t="s">
        <v>852</v>
      </c>
      <c r="F62" s="330"/>
      <c r="G62" s="331">
        <v>541.59</v>
      </c>
      <c r="H62" s="332">
        <v>0</v>
      </c>
      <c r="I62" s="331">
        <v>541.59</v>
      </c>
      <c r="J62" s="331">
        <v>541.59</v>
      </c>
      <c r="K62" s="333"/>
      <c r="L62" s="329"/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1379.98</v>
      </c>
      <c r="H63" s="332" t="s">
        <v>1006</v>
      </c>
      <c r="I63" s="331">
        <v>1379.98</v>
      </c>
      <c r="J63" s="333">
        <v>1379.98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661.83</v>
      </c>
      <c r="H64" s="332" t="s">
        <v>1006</v>
      </c>
      <c r="I64" s="331">
        <v>661.83</v>
      </c>
      <c r="J64" s="389">
        <v>661.83</v>
      </c>
      <c r="K64" s="333">
        <f t="shared" si="0"/>
        <v>0</v>
      </c>
      <c r="L64" s="329"/>
    </row>
    <row r="65" spans="1:12">
      <c r="A65" s="334"/>
      <c r="B65" s="354">
        <v>2288</v>
      </c>
      <c r="C65" s="328" t="s">
        <v>772</v>
      </c>
      <c r="D65" s="338" t="s">
        <v>820</v>
      </c>
      <c r="E65" s="329" t="s">
        <v>852</v>
      </c>
      <c r="F65" s="330"/>
      <c r="G65" s="331">
        <v>588.71</v>
      </c>
      <c r="H65" s="332"/>
      <c r="I65" s="331">
        <v>588.71</v>
      </c>
      <c r="J65" s="389">
        <v>588.71</v>
      </c>
      <c r="K65" s="333">
        <f t="shared" si="0"/>
        <v>0</v>
      </c>
      <c r="L65" s="329"/>
    </row>
    <row r="66" spans="1:12">
      <c r="A66" s="334">
        <v>52</v>
      </c>
      <c r="B66" s="354">
        <v>2060</v>
      </c>
      <c r="C66" s="328" t="s">
        <v>487</v>
      </c>
      <c r="D66" s="328" t="s">
        <v>516</v>
      </c>
      <c r="E66" s="329" t="s">
        <v>852</v>
      </c>
      <c r="F66" s="330"/>
      <c r="G66" s="331">
        <v>1057.19</v>
      </c>
      <c r="H66" s="332" t="s">
        <v>1006</v>
      </c>
      <c r="I66" s="331">
        <v>1057.19</v>
      </c>
      <c r="J66" s="389">
        <v>1057.19</v>
      </c>
      <c r="K66" s="333">
        <f t="shared" si="0"/>
        <v>0</v>
      </c>
      <c r="L66" s="329"/>
    </row>
    <row r="67" spans="1:12">
      <c r="A67" s="334"/>
      <c r="B67" s="354">
        <v>2333</v>
      </c>
      <c r="C67" s="328" t="s">
        <v>1078</v>
      </c>
      <c r="D67" s="328" t="s">
        <v>1079</v>
      </c>
      <c r="E67" s="329"/>
      <c r="F67" s="330"/>
      <c r="G67" s="331"/>
      <c r="H67" s="332"/>
      <c r="I67" s="331"/>
      <c r="J67" s="389"/>
      <c r="K67" s="333"/>
      <c r="L67" s="329" t="s">
        <v>1075</v>
      </c>
    </row>
    <row r="68" spans="1:12">
      <c r="A68" s="334">
        <v>54</v>
      </c>
      <c r="B68" s="354">
        <v>1050</v>
      </c>
      <c r="C68" s="328" t="s">
        <v>773</v>
      </c>
      <c r="D68" s="328" t="s">
        <v>821</v>
      </c>
      <c r="E68" s="329" t="s">
        <v>852</v>
      </c>
      <c r="F68" s="330"/>
      <c r="G68" s="331">
        <v>1624.77</v>
      </c>
      <c r="H68" s="332" t="s">
        <v>1006</v>
      </c>
      <c r="I68" s="331">
        <v>1624.77</v>
      </c>
      <c r="J68" s="389">
        <v>1624.77</v>
      </c>
      <c r="K68" s="333">
        <f t="shared" si="0"/>
        <v>0</v>
      </c>
      <c r="L68" s="329"/>
    </row>
    <row r="69" spans="1:12">
      <c r="A69" s="334">
        <v>55</v>
      </c>
      <c r="B69" s="354">
        <v>1964</v>
      </c>
      <c r="C69" s="328" t="s">
        <v>491</v>
      </c>
      <c r="D69" s="328" t="s">
        <v>456</v>
      </c>
      <c r="E69" s="329" t="s">
        <v>852</v>
      </c>
      <c r="F69" s="330"/>
      <c r="G69" s="331">
        <v>846.51</v>
      </c>
      <c r="H69" s="332" t="s">
        <v>1006</v>
      </c>
      <c r="I69" s="331">
        <v>846.51</v>
      </c>
      <c r="J69" s="389">
        <v>846.51</v>
      </c>
      <c r="K69" s="333">
        <f t="shared" si="0"/>
        <v>0</v>
      </c>
      <c r="L69" s="329"/>
    </row>
    <row r="70" spans="1:12">
      <c r="A70" s="334">
        <v>57</v>
      </c>
      <c r="B70" s="354">
        <v>1981</v>
      </c>
      <c r="C70" s="328" t="s">
        <v>774</v>
      </c>
      <c r="D70" s="338" t="s">
        <v>822</v>
      </c>
      <c r="E70" s="329" t="s">
        <v>852</v>
      </c>
      <c r="F70" s="330"/>
      <c r="G70" s="331">
        <v>683.49</v>
      </c>
      <c r="H70" s="332" t="s">
        <v>1006</v>
      </c>
      <c r="I70" s="331">
        <v>683.49</v>
      </c>
      <c r="J70" s="389">
        <v>683.49</v>
      </c>
      <c r="K70" s="333">
        <f t="shared" si="0"/>
        <v>0</v>
      </c>
      <c r="L70" s="329"/>
    </row>
    <row r="71" spans="1:12">
      <c r="A71" s="334">
        <v>56</v>
      </c>
      <c r="B71" s="354">
        <v>1662</v>
      </c>
      <c r="C71" s="328" t="s">
        <v>774</v>
      </c>
      <c r="D71" s="328" t="s">
        <v>823</v>
      </c>
      <c r="E71" s="329" t="s">
        <v>852</v>
      </c>
      <c r="F71" s="330"/>
      <c r="G71" s="331">
        <v>885.51</v>
      </c>
      <c r="H71" s="332" t="s">
        <v>1006</v>
      </c>
      <c r="I71" s="331">
        <v>885.51</v>
      </c>
      <c r="J71" s="389">
        <v>885.51</v>
      </c>
      <c r="K71" s="333">
        <f t="shared" ref="K71:K81" si="1">I71-J71</f>
        <v>0</v>
      </c>
      <c r="L71" s="329"/>
    </row>
    <row r="72" spans="1:12">
      <c r="A72" s="334"/>
      <c r="B72" s="354">
        <v>1708</v>
      </c>
      <c r="C72" s="328" t="s">
        <v>775</v>
      </c>
      <c r="D72" s="328" t="s">
        <v>791</v>
      </c>
      <c r="E72" s="329" t="s">
        <v>852</v>
      </c>
      <c r="F72" s="330"/>
      <c r="G72" s="331">
        <v>1624.77</v>
      </c>
      <c r="H72" s="332" t="s">
        <v>1006</v>
      </c>
      <c r="I72" s="331">
        <v>1624.77</v>
      </c>
      <c r="J72" s="389">
        <v>1624.77</v>
      </c>
      <c r="K72" s="333">
        <f t="shared" si="1"/>
        <v>0</v>
      </c>
      <c r="L72" s="329"/>
    </row>
    <row r="73" spans="1:12">
      <c r="A73" s="334">
        <v>58</v>
      </c>
      <c r="B73" s="354">
        <v>1630</v>
      </c>
      <c r="C73" s="328" t="s">
        <v>775</v>
      </c>
      <c r="D73" s="338" t="s">
        <v>824</v>
      </c>
      <c r="E73" s="329" t="s">
        <v>852</v>
      </c>
      <c r="F73" s="330"/>
      <c r="G73" s="331">
        <v>1207.76</v>
      </c>
      <c r="H73" s="332" t="s">
        <v>1006</v>
      </c>
      <c r="I73" s="331">
        <v>1207.76</v>
      </c>
      <c r="J73" s="389">
        <v>1207.76</v>
      </c>
      <c r="K73" s="333">
        <f t="shared" si="1"/>
        <v>0</v>
      </c>
      <c r="L73" s="329"/>
    </row>
    <row r="74" spans="1:12">
      <c r="A74" s="334"/>
      <c r="B74" s="354">
        <v>2337</v>
      </c>
      <c r="C74" s="328" t="s">
        <v>777</v>
      </c>
      <c r="D74" s="338" t="s">
        <v>1080</v>
      </c>
      <c r="E74" s="329"/>
      <c r="F74" s="330"/>
      <c r="G74" s="331"/>
      <c r="H74" s="332"/>
      <c r="I74" s="331"/>
      <c r="J74" s="389"/>
      <c r="K74" s="333"/>
      <c r="L74" s="329" t="s">
        <v>1075</v>
      </c>
    </row>
    <row r="75" spans="1:12">
      <c r="A75" s="334">
        <v>61</v>
      </c>
      <c r="B75" s="354">
        <v>2010</v>
      </c>
      <c r="C75" s="328" t="s">
        <v>777</v>
      </c>
      <c r="D75" s="328" t="s">
        <v>826</v>
      </c>
      <c r="E75" s="329" t="s">
        <v>852</v>
      </c>
      <c r="F75" s="330"/>
      <c r="G75" s="331">
        <v>1010.07</v>
      </c>
      <c r="H75" s="332" t="s">
        <v>1006</v>
      </c>
      <c r="I75" s="331">
        <v>1010.07</v>
      </c>
      <c r="J75" s="389">
        <v>1010.07</v>
      </c>
      <c r="K75" s="333">
        <f t="shared" si="1"/>
        <v>0</v>
      </c>
      <c r="L75" s="329"/>
    </row>
    <row r="76" spans="1:12">
      <c r="A76" s="334">
        <v>60</v>
      </c>
      <c r="B76" s="354">
        <v>2187</v>
      </c>
      <c r="C76" s="328" t="s">
        <v>777</v>
      </c>
      <c r="D76" s="328" t="s">
        <v>827</v>
      </c>
      <c r="E76" s="329" t="s">
        <v>853</v>
      </c>
      <c r="F76" s="330">
        <v>2</v>
      </c>
      <c r="G76" s="331">
        <v>1889.46</v>
      </c>
      <c r="H76" s="332" t="s">
        <v>1006</v>
      </c>
      <c r="I76" s="391">
        <v>1889.46</v>
      </c>
      <c r="J76" s="389">
        <v>1889.46</v>
      </c>
      <c r="K76" s="333">
        <f t="shared" si="1"/>
        <v>0</v>
      </c>
      <c r="L76" s="329"/>
    </row>
    <row r="77" spans="1:12">
      <c r="A77" s="334">
        <v>62</v>
      </c>
      <c r="B77" s="354">
        <v>2095</v>
      </c>
      <c r="C77" s="328" t="s">
        <v>778</v>
      </c>
      <c r="D77" s="338" t="s">
        <v>828</v>
      </c>
      <c r="E77" s="329" t="s">
        <v>852</v>
      </c>
      <c r="F77" s="330"/>
      <c r="G77" s="331">
        <v>648.83000000000004</v>
      </c>
      <c r="H77" s="332" t="s">
        <v>1006</v>
      </c>
      <c r="I77" s="331">
        <v>648.83000000000004</v>
      </c>
      <c r="J77" s="389">
        <v>648.83000000000004</v>
      </c>
      <c r="K77" s="333">
        <f t="shared" si="1"/>
        <v>0</v>
      </c>
      <c r="L77" s="329"/>
    </row>
    <row r="78" spans="1:12">
      <c r="A78" s="334">
        <v>63</v>
      </c>
      <c r="B78" s="354">
        <v>2064</v>
      </c>
      <c r="C78" s="328" t="s">
        <v>778</v>
      </c>
      <c r="D78" s="338" t="s">
        <v>829</v>
      </c>
      <c r="E78" s="341" t="s">
        <v>856</v>
      </c>
      <c r="F78" s="330">
        <v>2</v>
      </c>
      <c r="G78" s="331">
        <v>1682.01</v>
      </c>
      <c r="H78" s="332">
        <v>584.94000000000005</v>
      </c>
      <c r="I78" s="332">
        <f>SUM(G78:H78)</f>
        <v>2266.9499999999998</v>
      </c>
      <c r="J78" s="333">
        <v>2266.9499999999998</v>
      </c>
      <c r="K78" s="333">
        <f t="shared" si="1"/>
        <v>0</v>
      </c>
      <c r="L78" s="329"/>
    </row>
    <row r="79" spans="1:12">
      <c r="A79" s="334"/>
      <c r="B79" s="354">
        <v>2336</v>
      </c>
      <c r="C79" s="328" t="s">
        <v>778</v>
      </c>
      <c r="D79" s="338" t="s">
        <v>1087</v>
      </c>
      <c r="E79" s="382" t="s">
        <v>853</v>
      </c>
      <c r="F79" s="330">
        <v>2</v>
      </c>
      <c r="G79" s="331"/>
      <c r="H79" s="332"/>
      <c r="I79" s="332"/>
      <c r="J79" s="333"/>
      <c r="K79" s="333"/>
      <c r="L79" s="329" t="s">
        <v>1075</v>
      </c>
    </row>
    <row r="80" spans="1:12">
      <c r="A80" s="334"/>
      <c r="B80" s="354">
        <v>2335</v>
      </c>
      <c r="C80" s="328" t="s">
        <v>870</v>
      </c>
      <c r="D80" s="338" t="s">
        <v>1081</v>
      </c>
      <c r="E80" s="382"/>
      <c r="F80" s="330"/>
      <c r="G80" s="331"/>
      <c r="H80" s="332"/>
      <c r="I80" s="332"/>
      <c r="J80" s="333"/>
      <c r="K80" s="333"/>
      <c r="L80" s="329" t="s">
        <v>1075</v>
      </c>
    </row>
    <row r="81" spans="1:20">
      <c r="A81" s="334"/>
      <c r="B81" s="354">
        <v>2089</v>
      </c>
      <c r="C81" s="328" t="s">
        <v>870</v>
      </c>
      <c r="D81" s="338" t="s">
        <v>1007</v>
      </c>
      <c r="E81" s="329" t="s">
        <v>852</v>
      </c>
      <c r="F81" s="330"/>
      <c r="G81" s="331">
        <v>648.83000000000004</v>
      </c>
      <c r="H81" s="332" t="s">
        <v>1006</v>
      </c>
      <c r="I81" s="331">
        <v>648.83000000000004</v>
      </c>
      <c r="J81" s="389">
        <v>648.83000000000004</v>
      </c>
      <c r="K81" s="333">
        <f t="shared" si="1"/>
        <v>0</v>
      </c>
      <c r="L81" s="329"/>
    </row>
    <row r="82" spans="1:20">
      <c r="A82" s="296"/>
      <c r="B82" s="66"/>
      <c r="C82" s="29"/>
      <c r="D82" s="29"/>
      <c r="E82" s="342"/>
      <c r="F82" s="343"/>
      <c r="G82" s="344"/>
      <c r="H82" s="345">
        <f>SUM(H5:H81)</f>
        <v>2577.04</v>
      </c>
      <c r="I82" s="344"/>
      <c r="J82" s="346"/>
      <c r="K82" s="346"/>
      <c r="L82" s="385"/>
      <c r="M82" s="216"/>
      <c r="O82" s="15"/>
      <c r="P82" s="15"/>
    </row>
    <row r="83" spans="1:20">
      <c r="A83" s="296"/>
      <c r="E83" s="342"/>
      <c r="F83" s="343"/>
      <c r="G83" s="344"/>
      <c r="H83" s="344"/>
      <c r="I83" s="344"/>
      <c r="J83" s="346"/>
      <c r="K83" s="346"/>
      <c r="L83" s="385"/>
      <c r="M83" s="216"/>
      <c r="O83" s="15"/>
      <c r="P83" s="15"/>
    </row>
    <row r="84" spans="1:20">
      <c r="A84" s="438" t="s">
        <v>652</v>
      </c>
      <c r="B84" s="439"/>
      <c r="C84" s="439"/>
      <c r="D84" s="439"/>
      <c r="E84" s="439"/>
      <c r="F84" s="439"/>
      <c r="G84" s="440"/>
      <c r="H84" s="347"/>
      <c r="I84" s="348">
        <f>SUM(I5:I81)</f>
        <v>84175.25</v>
      </c>
      <c r="J84" s="383">
        <f>SUM(J5:J81)</f>
        <v>82774.290000000008</v>
      </c>
      <c r="K84" s="383"/>
      <c r="L84" s="386"/>
    </row>
    <row r="85" spans="1:20">
      <c r="A85" s="441" t="s">
        <v>1028</v>
      </c>
      <c r="B85" s="442"/>
      <c r="C85" s="443"/>
      <c r="D85" s="351"/>
      <c r="E85" s="352" t="s">
        <v>258</v>
      </c>
      <c r="F85" s="334">
        <v>73</v>
      </c>
      <c r="G85" s="329" t="s">
        <v>1029</v>
      </c>
      <c r="H85" s="351"/>
      <c r="I85" s="352" t="s">
        <v>258</v>
      </c>
      <c r="J85" s="343">
        <v>74</v>
      </c>
      <c r="K85" s="343"/>
      <c r="L85" s="161"/>
    </row>
    <row r="86" spans="1:20">
      <c r="A86" s="353"/>
      <c r="B86" s="352"/>
      <c r="C86" s="351"/>
      <c r="D86" s="351"/>
      <c r="E86" s="351" t="s">
        <v>930</v>
      </c>
      <c r="F86" s="330">
        <v>4</v>
      </c>
      <c r="G86" s="329"/>
      <c r="H86" s="351"/>
      <c r="I86" s="351" t="s">
        <v>930</v>
      </c>
      <c r="J86" s="343">
        <v>4</v>
      </c>
      <c r="K86" s="343"/>
      <c r="L86" s="161"/>
    </row>
    <row r="87" spans="1:20">
      <c r="A87" s="441"/>
      <c r="B87" s="442"/>
      <c r="C87" s="443"/>
      <c r="D87" s="351"/>
      <c r="E87" s="352" t="s">
        <v>931</v>
      </c>
      <c r="F87" s="355">
        <v>26</v>
      </c>
      <c r="G87" s="329"/>
      <c r="H87" s="351"/>
      <c r="I87" s="352" t="s">
        <v>931</v>
      </c>
      <c r="J87" s="343">
        <v>26</v>
      </c>
      <c r="K87" s="343"/>
      <c r="L87" s="161"/>
    </row>
    <row r="88" spans="1:20">
      <c r="A88" s="444"/>
      <c r="B88" s="445"/>
      <c r="C88" s="446"/>
      <c r="D88" s="356"/>
      <c r="E88" s="357" t="s">
        <v>246</v>
      </c>
      <c r="F88" s="358">
        <v>103</v>
      </c>
      <c r="G88" s="329"/>
      <c r="H88" s="393"/>
      <c r="I88" s="394" t="s">
        <v>246</v>
      </c>
      <c r="J88" s="395">
        <v>104</v>
      </c>
      <c r="K88" s="395"/>
      <c r="L88" s="161"/>
    </row>
    <row r="89" spans="1:20">
      <c r="A89" s="447" t="s">
        <v>830</v>
      </c>
      <c r="B89" s="448"/>
      <c r="C89" s="448"/>
      <c r="D89" s="448"/>
      <c r="E89" s="448"/>
      <c r="F89" s="448"/>
      <c r="G89" s="448"/>
      <c r="H89" s="381"/>
      <c r="I89" s="381"/>
      <c r="J89" s="396"/>
      <c r="K89" s="396"/>
      <c r="L89" s="392"/>
      <c r="N89" s="15"/>
    </row>
    <row r="90" spans="1:20">
      <c r="A90" s="334"/>
      <c r="B90" s="354">
        <v>2331</v>
      </c>
      <c r="C90" s="328" t="s">
        <v>1073</v>
      </c>
      <c r="D90" s="328" t="s">
        <v>1074</v>
      </c>
      <c r="E90" s="329" t="s">
        <v>854</v>
      </c>
      <c r="F90" s="330">
        <v>1</v>
      </c>
      <c r="G90" s="331">
        <v>1077.42</v>
      </c>
      <c r="H90" s="332">
        <v>0</v>
      </c>
      <c r="I90" s="331">
        <v>1077.42</v>
      </c>
      <c r="J90" s="389">
        <v>1077.42</v>
      </c>
      <c r="K90" s="333"/>
      <c r="L90" s="380" t="s">
        <v>1083</v>
      </c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>
        <v>2331</v>
      </c>
      <c r="C91" s="328" t="s">
        <v>1073</v>
      </c>
      <c r="D91" s="328" t="s">
        <v>1074</v>
      </c>
      <c r="E91" s="329" t="s">
        <v>854</v>
      </c>
      <c r="F91" s="330">
        <v>1</v>
      </c>
      <c r="G91" s="331">
        <v>1077.42</v>
      </c>
      <c r="H91" s="332">
        <v>0</v>
      </c>
      <c r="I91" s="331">
        <v>1077.42</v>
      </c>
      <c r="J91" s="389">
        <v>1077.42</v>
      </c>
      <c r="K91" s="333"/>
      <c r="L91" s="380" t="s">
        <v>1084</v>
      </c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38"/>
      <c r="E92" s="329"/>
      <c r="F92" s="330"/>
      <c r="G92" s="331"/>
      <c r="H92" s="332"/>
      <c r="I92" s="331"/>
      <c r="J92" s="389"/>
      <c r="K92" s="333"/>
      <c r="L92" s="196"/>
      <c r="N92" s="15"/>
    </row>
    <row r="93" spans="1:20">
      <c r="A93" s="334"/>
      <c r="B93" s="354"/>
      <c r="C93" s="328"/>
      <c r="D93" s="338"/>
      <c r="E93" s="329"/>
      <c r="F93" s="330"/>
      <c r="G93" s="331"/>
      <c r="H93" s="332"/>
      <c r="I93" s="331"/>
      <c r="J93" s="389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38"/>
      <c r="E94" s="329"/>
      <c r="F94" s="330"/>
      <c r="G94" s="331"/>
      <c r="H94" s="332"/>
      <c r="I94" s="332"/>
      <c r="J94" s="333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38"/>
      <c r="E95" s="329"/>
      <c r="F95" s="330"/>
      <c r="G95" s="331"/>
      <c r="H95" s="332"/>
      <c r="I95" s="332"/>
      <c r="J95" s="333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38"/>
      <c r="E96" s="329"/>
      <c r="F96" s="330"/>
      <c r="G96" s="331"/>
      <c r="H96" s="332"/>
      <c r="I96" s="332"/>
      <c r="J96" s="333"/>
      <c r="K96" s="333"/>
      <c r="L96" s="161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28"/>
      <c r="E97" s="329"/>
      <c r="F97" s="330"/>
      <c r="G97" s="331"/>
      <c r="H97" s="332"/>
      <c r="I97" s="332"/>
      <c r="J97" s="333"/>
      <c r="K97" s="333"/>
      <c r="L97" s="161"/>
      <c r="N97" s="15"/>
    </row>
    <row r="98" spans="1:20">
      <c r="A98" s="438" t="s">
        <v>846</v>
      </c>
      <c r="B98" s="439"/>
      <c r="C98" s="439"/>
      <c r="D98" s="439"/>
      <c r="E98" s="439"/>
      <c r="F98" s="439"/>
      <c r="G98" s="440"/>
      <c r="H98" s="348">
        <f>SUM(H90:H95)</f>
        <v>0</v>
      </c>
      <c r="I98" s="347"/>
      <c r="J98" s="348">
        <f>SUM(J90:J97)</f>
        <v>2154.84</v>
      </c>
      <c r="K98" s="406"/>
      <c r="L98" s="402"/>
    </row>
    <row r="99" spans="1:20">
      <c r="A99" s="365"/>
      <c r="B99" s="366"/>
      <c r="C99" s="366"/>
      <c r="D99" s="366"/>
      <c r="E99" s="366"/>
      <c r="F99" s="367"/>
      <c r="G99" s="368"/>
      <c r="H99" s="368"/>
      <c r="I99" s="368"/>
      <c r="J99" s="349"/>
      <c r="K99" s="383"/>
      <c r="L99" s="364"/>
    </row>
    <row r="100" spans="1:20" ht="16">
      <c r="A100" s="435" t="s">
        <v>881</v>
      </c>
      <c r="B100" s="436"/>
      <c r="C100" s="436"/>
      <c r="D100" s="436"/>
      <c r="E100" s="436"/>
      <c r="F100" s="436"/>
      <c r="G100" s="437"/>
      <c r="H100" s="369"/>
      <c r="I100" s="369"/>
      <c r="J100" s="370">
        <f>SUM(J84,J98)</f>
        <v>84929.13</v>
      </c>
      <c r="K100" s="407"/>
      <c r="L100" s="350"/>
    </row>
    <row r="101" spans="1:20" ht="18">
      <c r="F101" s="3"/>
      <c r="G101" s="371" t="s">
        <v>1013</v>
      </c>
      <c r="H101" s="372">
        <v>45455</v>
      </c>
    </row>
    <row r="102" spans="1:20" ht="18">
      <c r="F102" s="3"/>
      <c r="G102" s="371" t="s">
        <v>1014</v>
      </c>
      <c r="H102" s="373" t="s">
        <v>990</v>
      </c>
      <c r="I102" s="373"/>
    </row>
    <row r="103" spans="1:20">
      <c r="F103" s="3"/>
      <c r="G103" s="216"/>
      <c r="H103" s="216"/>
      <c r="I103" s="216"/>
      <c r="J103" s="3"/>
      <c r="K103" s="3"/>
      <c r="L103" s="15"/>
      <c r="M103" s="216"/>
    </row>
    <row r="104" spans="1:20">
      <c r="F104" s="3"/>
      <c r="G104" s="216"/>
      <c r="H104" s="269"/>
      <c r="I104" s="216"/>
      <c r="J104" s="270"/>
      <c r="K104" s="270"/>
      <c r="L104" s="15"/>
      <c r="M104" s="216"/>
    </row>
    <row r="105" spans="1:20">
      <c r="F105" s="3"/>
      <c r="G105" s="216"/>
      <c r="H105" s="269"/>
      <c r="I105" s="216"/>
      <c r="J105" s="270"/>
      <c r="K105" s="270"/>
      <c r="L105" s="15"/>
      <c r="M105" s="216"/>
    </row>
    <row r="106" spans="1:20">
      <c r="F106" s="3"/>
      <c r="G106" s="216"/>
      <c r="H106" s="388">
        <f>SUM(H82,H98)</f>
        <v>2577.04</v>
      </c>
      <c r="I106" s="269">
        <f>J100-H106</f>
        <v>82352.090000000011</v>
      </c>
      <c r="J106" s="3"/>
      <c r="K106" s="3"/>
      <c r="L106" s="15"/>
      <c r="M106" s="216"/>
    </row>
    <row r="107" spans="1:20">
      <c r="F107" s="3"/>
      <c r="G107" s="216"/>
      <c r="H107" s="216"/>
      <c r="I107" s="216"/>
      <c r="J107" s="3"/>
      <c r="K107" s="3"/>
      <c r="L107" s="15"/>
      <c r="M107" s="216"/>
      <c r="Q107" s="3"/>
      <c r="R107" s="3"/>
      <c r="S107" s="3"/>
      <c r="T107" s="3"/>
    </row>
  </sheetData>
  <mergeCells count="7">
    <mergeCell ref="A100:G100"/>
    <mergeCell ref="A84:G84"/>
    <mergeCell ref="A85:C85"/>
    <mergeCell ref="A87:C87"/>
    <mergeCell ref="A88:C88"/>
    <mergeCell ref="A89:G89"/>
    <mergeCell ref="A98:G98"/>
  </mergeCells>
  <pageMargins left="0.7" right="0.7" top="0.75" bottom="0.75" header="0.3" footer="0.3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526A-3839-8F40-A19E-3271F423F5FF}">
  <dimension ref="A1:T108"/>
  <sheetViews>
    <sheetView topLeftCell="A78" zoomScale="170" zoomScaleNormal="170" workbookViewId="0">
      <selection sqref="A1:XFD1048576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45474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70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/>
      <c r="B11" s="354">
        <v>2331</v>
      </c>
      <c r="C11" s="328" t="s">
        <v>1073</v>
      </c>
      <c r="D11" s="328" t="s">
        <v>1074</v>
      </c>
      <c r="E11" s="329"/>
      <c r="F11" s="330"/>
      <c r="G11" s="331"/>
      <c r="H11" s="332"/>
      <c r="I11" s="331"/>
      <c r="J11" s="389"/>
      <c r="K11" s="333"/>
      <c r="L11" s="329" t="s">
        <v>1075</v>
      </c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1469.89</v>
      </c>
      <c r="H12" s="332" t="s">
        <v>1006</v>
      </c>
      <c r="I12" s="331">
        <v>1469.89</v>
      </c>
      <c r="J12" s="389">
        <v>1469.89</v>
      </c>
      <c r="K12" s="333">
        <f t="shared" si="0"/>
        <v>0</v>
      </c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648.83000000000004</v>
      </c>
      <c r="H13" s="332" t="s">
        <v>1006</v>
      </c>
      <c r="I13" s="331">
        <v>648.83000000000004</v>
      </c>
      <c r="J13" s="389">
        <v>648.83000000000004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885.51</v>
      </c>
      <c r="H14" s="332" t="s">
        <v>1006</v>
      </c>
      <c r="I14" s="331">
        <v>885.51</v>
      </c>
      <c r="J14" s="389">
        <v>885.51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683.49</v>
      </c>
      <c r="H15" s="332" t="s">
        <v>1006</v>
      </c>
      <c r="I15" s="331">
        <v>683.49</v>
      </c>
      <c r="J15" s="389">
        <v>683.49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666.16</v>
      </c>
      <c r="H16" s="332" t="s">
        <v>1006</v>
      </c>
      <c r="I16" s="331">
        <v>666.16</v>
      </c>
      <c r="J16" s="389">
        <v>666.16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1262.08</v>
      </c>
      <c r="H17" s="332">
        <v>542.16</v>
      </c>
      <c r="I17" s="332">
        <v>1804.24</v>
      </c>
      <c r="J17" s="333">
        <v>1804.24</v>
      </c>
      <c r="K17" s="333">
        <f t="shared" si="0"/>
        <v>0</v>
      </c>
      <c r="L17" s="329"/>
    </row>
    <row r="18" spans="1:20">
      <c r="A18" s="334"/>
      <c r="B18" s="354">
        <v>2318</v>
      </c>
      <c r="C18" s="328" t="s">
        <v>1018</v>
      </c>
      <c r="D18" s="328" t="s">
        <v>1019</v>
      </c>
      <c r="E18" s="382" t="s">
        <v>851</v>
      </c>
      <c r="F18" s="330"/>
      <c r="G18" s="331">
        <v>790.72</v>
      </c>
      <c r="H18" s="332">
        <v>507.5</v>
      </c>
      <c r="I18" s="332">
        <f>SUM(G18:H18)</f>
        <v>1298.22</v>
      </c>
      <c r="J18" s="333">
        <v>1298.21</v>
      </c>
      <c r="K18" s="333">
        <f t="shared" si="0"/>
        <v>9.9999999999909051E-3</v>
      </c>
      <c r="L18" s="161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2065.64</v>
      </c>
      <c r="H19" s="332" t="s">
        <v>1006</v>
      </c>
      <c r="I19" s="331">
        <v>2065.64</v>
      </c>
      <c r="J19" s="389">
        <v>2065.64</v>
      </c>
      <c r="K19" s="333">
        <f t="shared" si="0"/>
        <v>0</v>
      </c>
      <c r="L19" s="161"/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692.16</v>
      </c>
      <c r="H20" s="332" t="s">
        <v>1006</v>
      </c>
      <c r="I20" s="331">
        <v>692.16</v>
      </c>
      <c r="J20" s="389">
        <v>692.16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1090.42</v>
      </c>
      <c r="H21" s="332" t="s">
        <v>1006</v>
      </c>
      <c r="I21" s="331">
        <v>1090.42</v>
      </c>
      <c r="J21" s="389">
        <v>1090.42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756.04</v>
      </c>
      <c r="H22" s="332">
        <v>417.6</v>
      </c>
      <c r="I22" s="332">
        <f>SUM(G22:H22)</f>
        <v>1173.6399999999999</v>
      </c>
      <c r="J22" s="333">
        <v>1173.6300000000001</v>
      </c>
      <c r="K22" s="333">
        <f t="shared" si="0"/>
        <v>9.9999999997635314E-3</v>
      </c>
      <c r="L22" s="188"/>
      <c r="M22" s="403" t="s">
        <v>1042</v>
      </c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1551.66</v>
      </c>
      <c r="H23" s="332" t="s">
        <v>1006</v>
      </c>
      <c r="I23" s="331">
        <v>1551.66</v>
      </c>
      <c r="J23" s="389">
        <v>1551.66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1263.54</v>
      </c>
      <c r="H24" s="332" t="s">
        <v>1006</v>
      </c>
      <c r="I24" s="331">
        <v>1263.54</v>
      </c>
      <c r="J24" s="389">
        <v>1263.54</v>
      </c>
      <c r="K24" s="333">
        <f t="shared" si="0"/>
        <v>0</v>
      </c>
      <c r="L24" s="161"/>
    </row>
    <row r="25" spans="1:20">
      <c r="A25" s="334">
        <v>17</v>
      </c>
      <c r="B25" s="354">
        <v>2194</v>
      </c>
      <c r="C25" s="328" t="s">
        <v>749</v>
      </c>
      <c r="D25" s="338" t="s">
        <v>789</v>
      </c>
      <c r="E25" s="329" t="s">
        <v>852</v>
      </c>
      <c r="F25" s="330"/>
      <c r="G25" s="331">
        <v>606.04</v>
      </c>
      <c r="H25" s="332" t="s">
        <v>1006</v>
      </c>
      <c r="I25" s="331">
        <v>606.04</v>
      </c>
      <c r="J25" s="389">
        <v>606.04</v>
      </c>
      <c r="K25" s="333">
        <f t="shared" si="0"/>
        <v>0</v>
      </c>
      <c r="L25" s="161"/>
    </row>
    <row r="26" spans="1:20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331">
        <v>1379.98</v>
      </c>
      <c r="H26" s="332" t="s">
        <v>1006</v>
      </c>
      <c r="I26" s="331">
        <v>1379.98</v>
      </c>
      <c r="J26" s="389">
        <v>1379.98</v>
      </c>
      <c r="K26" s="333">
        <f t="shared" si="0"/>
        <v>0</v>
      </c>
      <c r="L26" s="161"/>
    </row>
    <row r="27" spans="1:20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683.49</v>
      </c>
      <c r="H27" s="332" t="s">
        <v>1006</v>
      </c>
      <c r="I27" s="331">
        <v>683.49</v>
      </c>
      <c r="J27" s="389">
        <v>683.49</v>
      </c>
      <c r="K27" s="333">
        <f t="shared" si="0"/>
        <v>0</v>
      </c>
      <c r="L27" s="161"/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541.59</v>
      </c>
      <c r="H28" s="332">
        <v>0</v>
      </c>
      <c r="I28" s="332">
        <v>541.59</v>
      </c>
      <c r="J28" s="335">
        <v>541.59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1549.34</v>
      </c>
      <c r="H29" s="332" t="s">
        <v>1006</v>
      </c>
      <c r="I29" s="331">
        <v>1549.34</v>
      </c>
      <c r="J29" s="389">
        <v>1549.34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661.83</v>
      </c>
      <c r="H30" s="332" t="s">
        <v>1006</v>
      </c>
      <c r="I30" s="331">
        <v>661.83</v>
      </c>
      <c r="J30" s="389">
        <v>661.83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567.59</v>
      </c>
      <c r="H31" s="332"/>
      <c r="I31" s="331">
        <v>567.59</v>
      </c>
      <c r="J31" s="389">
        <v>567.59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1379.98</v>
      </c>
      <c r="H32" s="332" t="s">
        <v>1006</v>
      </c>
      <c r="I32" s="391">
        <v>1379.98</v>
      </c>
      <c r="J32" s="389">
        <v>1379.98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1624.77</v>
      </c>
      <c r="H33" s="332" t="s">
        <v>1006</v>
      </c>
      <c r="I33" s="331">
        <v>1624.77</v>
      </c>
      <c r="J33" s="389">
        <v>1624.77</v>
      </c>
      <c r="K33" s="333">
        <f t="shared" si="0"/>
        <v>0</v>
      </c>
      <c r="L33" s="329"/>
    </row>
    <row r="34" spans="1:20">
      <c r="A34" s="334"/>
      <c r="B34" s="354">
        <v>2320</v>
      </c>
      <c r="C34" s="328" t="s">
        <v>1043</v>
      </c>
      <c r="D34" s="328" t="s">
        <v>1044</v>
      </c>
      <c r="E34" s="329" t="s">
        <v>852</v>
      </c>
      <c r="F34" s="330"/>
      <c r="G34" s="331">
        <v>567.59</v>
      </c>
      <c r="H34" s="332"/>
      <c r="I34" s="331">
        <v>567.59</v>
      </c>
      <c r="J34" s="389">
        <v>567.59</v>
      </c>
      <c r="K34" s="333">
        <f t="shared" si="0"/>
        <v>0</v>
      </c>
      <c r="L34" s="329"/>
    </row>
    <row r="35" spans="1:20">
      <c r="A35" s="334">
        <v>24</v>
      </c>
      <c r="B35" s="376" t="s">
        <v>675</v>
      </c>
      <c r="C35" s="328" t="s">
        <v>755</v>
      </c>
      <c r="D35" s="328" t="s">
        <v>796</v>
      </c>
      <c r="E35" s="329" t="s">
        <v>852</v>
      </c>
      <c r="F35" s="330"/>
      <c r="G35" s="331">
        <v>717.61</v>
      </c>
      <c r="H35" s="332" t="s">
        <v>1006</v>
      </c>
      <c r="I35" s="332">
        <v>717.61</v>
      </c>
      <c r="J35" s="333">
        <v>717.61</v>
      </c>
      <c r="K35" s="333">
        <f t="shared" si="0"/>
        <v>0</v>
      </c>
      <c r="L35" s="329"/>
    </row>
    <row r="36" spans="1:20">
      <c r="A36" s="334">
        <v>26</v>
      </c>
      <c r="B36" s="354">
        <v>1741</v>
      </c>
      <c r="C36" s="328" t="s">
        <v>755</v>
      </c>
      <c r="D36" s="328" t="s">
        <v>797</v>
      </c>
      <c r="E36" s="329" t="s">
        <v>852</v>
      </c>
      <c r="F36" s="330"/>
      <c r="G36" s="331">
        <v>1156.3</v>
      </c>
      <c r="H36" s="332" t="s">
        <v>1006</v>
      </c>
      <c r="I36" s="331">
        <v>1156.3</v>
      </c>
      <c r="J36" s="389">
        <v>1156.3</v>
      </c>
      <c r="K36" s="333">
        <f t="shared" si="0"/>
        <v>0</v>
      </c>
      <c r="L36" s="329"/>
    </row>
    <row r="37" spans="1:20">
      <c r="A37" s="334">
        <v>25</v>
      </c>
      <c r="B37" s="354">
        <v>1757</v>
      </c>
      <c r="C37" s="328" t="s">
        <v>755</v>
      </c>
      <c r="D37" s="338" t="s">
        <v>798</v>
      </c>
      <c r="E37" s="329" t="s">
        <v>853</v>
      </c>
      <c r="F37" s="330">
        <v>2</v>
      </c>
      <c r="G37" s="331">
        <v>1956.43</v>
      </c>
      <c r="H37" s="332" t="s">
        <v>1006</v>
      </c>
      <c r="I37" s="331">
        <v>1956.43</v>
      </c>
      <c r="J37" s="389">
        <v>1956.43</v>
      </c>
      <c r="K37" s="333">
        <f t="shared" si="0"/>
        <v>0</v>
      </c>
      <c r="L37" s="329"/>
      <c r="N37" s="12"/>
      <c r="O37" s="12"/>
      <c r="P37" s="12"/>
      <c r="Q37" s="12"/>
      <c r="R37" s="12"/>
      <c r="S37" s="12"/>
      <c r="T37" s="12"/>
    </row>
    <row r="38" spans="1:20">
      <c r="A38" s="334">
        <v>27</v>
      </c>
      <c r="B38" s="354">
        <v>2057</v>
      </c>
      <c r="C38" s="328" t="s">
        <v>756</v>
      </c>
      <c r="D38" s="338" t="s">
        <v>799</v>
      </c>
      <c r="E38" s="329" t="s">
        <v>852</v>
      </c>
      <c r="F38" s="330"/>
      <c r="G38" s="331">
        <v>1624.77</v>
      </c>
      <c r="H38" s="332" t="s">
        <v>1006</v>
      </c>
      <c r="I38" s="331">
        <v>1624.77</v>
      </c>
      <c r="J38" s="389">
        <v>1624.77</v>
      </c>
      <c r="K38" s="333">
        <f t="shared" si="0"/>
        <v>0</v>
      </c>
      <c r="L38" s="329"/>
    </row>
    <row r="39" spans="1:20">
      <c r="A39" s="334">
        <v>28</v>
      </c>
      <c r="B39" s="354">
        <v>1210</v>
      </c>
      <c r="C39" s="328" t="s">
        <v>756</v>
      </c>
      <c r="D39" s="338" t="s">
        <v>800</v>
      </c>
      <c r="E39" s="329" t="s">
        <v>852</v>
      </c>
      <c r="F39" s="330"/>
      <c r="G39" s="331">
        <v>1598.79</v>
      </c>
      <c r="H39" s="332" t="s">
        <v>1006</v>
      </c>
      <c r="I39" s="331">
        <v>1598.79</v>
      </c>
      <c r="J39" s="389">
        <v>1598.79</v>
      </c>
      <c r="K39" s="333">
        <f t="shared" si="0"/>
        <v>0</v>
      </c>
      <c r="L39" s="329"/>
    </row>
    <row r="40" spans="1:20">
      <c r="A40" s="334"/>
      <c r="B40" s="354">
        <v>2310</v>
      </c>
      <c r="C40" s="328" t="s">
        <v>756</v>
      </c>
      <c r="D40" s="338" t="s">
        <v>977</v>
      </c>
      <c r="E40" s="329" t="s">
        <v>852</v>
      </c>
      <c r="F40" s="330"/>
      <c r="G40" s="331">
        <v>923.96</v>
      </c>
      <c r="H40" s="332" t="s">
        <v>1006</v>
      </c>
      <c r="I40" s="331">
        <v>923.96</v>
      </c>
      <c r="J40" s="389">
        <v>923.96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852</v>
      </c>
      <c r="F43" s="330"/>
      <c r="G43" s="331">
        <v>657.5</v>
      </c>
      <c r="H43" s="332">
        <v>0</v>
      </c>
      <c r="I43" s="331">
        <v>657.5</v>
      </c>
      <c r="J43" s="389">
        <v>657.5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/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/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854</v>
      </c>
      <c r="F45" s="330">
        <v>1</v>
      </c>
      <c r="G45" s="331">
        <v>1094.75</v>
      </c>
      <c r="H45" s="332" t="s">
        <v>1006</v>
      </c>
      <c r="I45" s="331">
        <v>1094.75</v>
      </c>
      <c r="J45" s="389">
        <v>1094.75</v>
      </c>
      <c r="K45" s="333">
        <f t="shared" si="0"/>
        <v>0</v>
      </c>
      <c r="L45" s="329"/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>
        <v>661.83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1350.93</v>
      </c>
      <c r="H55" s="332" t="s">
        <v>1006</v>
      </c>
      <c r="I55" s="331">
        <v>1350.93</v>
      </c>
      <c r="J55" s="389">
        <v>1350.93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1584.89</v>
      </c>
      <c r="H56" s="332" t="s">
        <v>1006</v>
      </c>
      <c r="I56" s="331">
        <v>1584.89</v>
      </c>
      <c r="J56" s="389">
        <v>1584.89</v>
      </c>
      <c r="K56" s="333">
        <f t="shared" si="0"/>
        <v>0</v>
      </c>
      <c r="L56" s="329"/>
    </row>
    <row r="57" spans="1:12">
      <c r="A57" s="334">
        <v>44</v>
      </c>
      <c r="B57" s="354">
        <v>2001</v>
      </c>
      <c r="C57" s="328" t="s">
        <v>766</v>
      </c>
      <c r="D57" s="338" t="s">
        <v>814</v>
      </c>
      <c r="E57" s="329" t="s">
        <v>852</v>
      </c>
      <c r="F57" s="330"/>
      <c r="G57" s="331">
        <v>1319.87</v>
      </c>
      <c r="H57" s="332" t="s">
        <v>1006</v>
      </c>
      <c r="I57" s="331">
        <v>1319.87</v>
      </c>
      <c r="J57" s="389">
        <v>1319.87</v>
      </c>
      <c r="K57" s="333">
        <f t="shared" si="0"/>
        <v>0</v>
      </c>
      <c r="L57" s="329"/>
    </row>
    <row r="58" spans="1:12">
      <c r="A58" s="334">
        <v>45</v>
      </c>
      <c r="B58" s="354">
        <v>2160</v>
      </c>
      <c r="C58" s="328" t="s">
        <v>767</v>
      </c>
      <c r="D58" s="338" t="s">
        <v>815</v>
      </c>
      <c r="E58" s="329" t="s">
        <v>854</v>
      </c>
      <c r="F58" s="330">
        <v>1</v>
      </c>
      <c r="G58" s="331">
        <v>1921.57</v>
      </c>
      <c r="H58" s="332" t="s">
        <v>1006</v>
      </c>
      <c r="I58" s="331">
        <v>1921.57</v>
      </c>
      <c r="J58" s="389">
        <v>1921.57</v>
      </c>
      <c r="K58" s="333">
        <f t="shared" si="0"/>
        <v>0</v>
      </c>
      <c r="L58" s="329"/>
    </row>
    <row r="59" spans="1:12">
      <c r="A59" s="334">
        <v>47</v>
      </c>
      <c r="B59" s="354">
        <v>2279</v>
      </c>
      <c r="C59" s="328" t="s">
        <v>769</v>
      </c>
      <c r="D59" s="328" t="s">
        <v>843</v>
      </c>
      <c r="E59" s="329" t="s">
        <v>852</v>
      </c>
      <c r="F59" s="330"/>
      <c r="G59" s="331">
        <v>554.59</v>
      </c>
      <c r="H59" s="332" t="s">
        <v>1006</v>
      </c>
      <c r="I59" s="331">
        <v>554.59</v>
      </c>
      <c r="J59" s="389">
        <v>554.59</v>
      </c>
      <c r="K59" s="333">
        <f t="shared" si="0"/>
        <v>0</v>
      </c>
      <c r="L59" s="161"/>
    </row>
    <row r="60" spans="1:12">
      <c r="A60" s="334">
        <v>48</v>
      </c>
      <c r="B60" s="354">
        <v>2246</v>
      </c>
      <c r="C60" s="328" t="s">
        <v>769</v>
      </c>
      <c r="D60" s="338" t="s">
        <v>817</v>
      </c>
      <c r="E60" s="329" t="s">
        <v>852</v>
      </c>
      <c r="F60" s="330"/>
      <c r="G60" s="331">
        <v>648.83000000000004</v>
      </c>
      <c r="H60" s="332" t="s">
        <v>1006</v>
      </c>
      <c r="I60" s="331">
        <v>648.83000000000004</v>
      </c>
      <c r="J60" s="389">
        <v>648.83000000000004</v>
      </c>
      <c r="K60" s="333">
        <f t="shared" si="0"/>
        <v>0</v>
      </c>
      <c r="L60" s="188"/>
    </row>
    <row r="61" spans="1:12">
      <c r="A61" s="334">
        <v>49</v>
      </c>
      <c r="B61" s="354">
        <v>2018</v>
      </c>
      <c r="C61" s="328" t="s">
        <v>770</v>
      </c>
      <c r="D61" s="328" t="s">
        <v>818</v>
      </c>
      <c r="E61" s="329" t="s">
        <v>852</v>
      </c>
      <c r="F61" s="330"/>
      <c r="G61" s="331">
        <v>1624.77</v>
      </c>
      <c r="H61" s="332" t="s">
        <v>1006</v>
      </c>
      <c r="I61" s="331">
        <v>1624.77</v>
      </c>
      <c r="J61" s="389">
        <v>1624.77</v>
      </c>
      <c r="K61" s="333">
        <f t="shared" si="0"/>
        <v>0</v>
      </c>
      <c r="L61" s="161"/>
    </row>
    <row r="62" spans="1:12">
      <c r="A62" s="334"/>
      <c r="B62" s="354">
        <v>2329</v>
      </c>
      <c r="C62" s="328" t="s">
        <v>1070</v>
      </c>
      <c r="D62" s="328" t="s">
        <v>1071</v>
      </c>
      <c r="E62" s="329" t="s">
        <v>852</v>
      </c>
      <c r="F62" s="330"/>
      <c r="G62" s="331">
        <v>541.59</v>
      </c>
      <c r="H62" s="332">
        <v>0</v>
      </c>
      <c r="I62" s="331">
        <v>541.59</v>
      </c>
      <c r="J62" s="331">
        <v>541.59</v>
      </c>
      <c r="K62" s="333"/>
      <c r="L62" s="329" t="s">
        <v>1077</v>
      </c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1379.98</v>
      </c>
      <c r="H63" s="332" t="s">
        <v>1006</v>
      </c>
      <c r="I63" s="331">
        <v>1379.98</v>
      </c>
      <c r="J63" s="333">
        <v>1379.98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661.83</v>
      </c>
      <c r="H64" s="332" t="s">
        <v>1006</v>
      </c>
      <c r="I64" s="331">
        <v>661.83</v>
      </c>
      <c r="J64" s="389">
        <v>661.83</v>
      </c>
      <c r="K64" s="333">
        <f t="shared" si="0"/>
        <v>0</v>
      </c>
      <c r="L64" s="329"/>
    </row>
    <row r="65" spans="1:12">
      <c r="A65" s="334"/>
      <c r="B65" s="354">
        <v>2288</v>
      </c>
      <c r="C65" s="328" t="s">
        <v>772</v>
      </c>
      <c r="D65" s="338" t="s">
        <v>820</v>
      </c>
      <c r="E65" s="329" t="s">
        <v>852</v>
      </c>
      <c r="F65" s="330"/>
      <c r="G65" s="331">
        <v>588.71</v>
      </c>
      <c r="H65" s="332"/>
      <c r="I65" s="331">
        <v>588.71</v>
      </c>
      <c r="J65" s="389">
        <v>588.71</v>
      </c>
      <c r="K65" s="333">
        <f t="shared" si="0"/>
        <v>0</v>
      </c>
      <c r="L65" s="329"/>
    </row>
    <row r="66" spans="1:12">
      <c r="A66" s="334">
        <v>52</v>
      </c>
      <c r="B66" s="354">
        <v>2060</v>
      </c>
      <c r="C66" s="328" t="s">
        <v>487</v>
      </c>
      <c r="D66" s="328" t="s">
        <v>516</v>
      </c>
      <c r="E66" s="329" t="s">
        <v>852</v>
      </c>
      <c r="F66" s="330"/>
      <c r="G66" s="331">
        <v>1057.19</v>
      </c>
      <c r="H66" s="332" t="s">
        <v>1006</v>
      </c>
      <c r="I66" s="331">
        <v>1057.19</v>
      </c>
      <c r="J66" s="389">
        <v>1057.19</v>
      </c>
      <c r="K66" s="333">
        <f t="shared" si="0"/>
        <v>0</v>
      </c>
      <c r="L66" s="329"/>
    </row>
    <row r="67" spans="1:12">
      <c r="A67" s="334"/>
      <c r="B67" s="354">
        <v>2333</v>
      </c>
      <c r="C67" s="328" t="s">
        <v>1078</v>
      </c>
      <c r="D67" s="328" t="s">
        <v>1079</v>
      </c>
      <c r="E67" s="329"/>
      <c r="F67" s="330"/>
      <c r="G67" s="331"/>
      <c r="H67" s="332"/>
      <c r="I67" s="331"/>
      <c r="J67" s="389"/>
      <c r="K67" s="333"/>
      <c r="L67" s="329" t="s">
        <v>1075</v>
      </c>
    </row>
    <row r="68" spans="1:12">
      <c r="A68" s="334">
        <v>54</v>
      </c>
      <c r="B68" s="354">
        <v>1050</v>
      </c>
      <c r="C68" s="328" t="s">
        <v>773</v>
      </c>
      <c r="D68" s="328" t="s">
        <v>821</v>
      </c>
      <c r="E68" s="329" t="s">
        <v>852</v>
      </c>
      <c r="F68" s="330"/>
      <c r="G68" s="331">
        <v>1624.77</v>
      </c>
      <c r="H68" s="332" t="s">
        <v>1006</v>
      </c>
      <c r="I68" s="331">
        <v>1624.77</v>
      </c>
      <c r="J68" s="389">
        <v>1624.77</v>
      </c>
      <c r="K68" s="333">
        <f t="shared" si="0"/>
        <v>0</v>
      </c>
      <c r="L68" s="329"/>
    </row>
    <row r="69" spans="1:12">
      <c r="A69" s="334">
        <v>55</v>
      </c>
      <c r="B69" s="354">
        <v>1964</v>
      </c>
      <c r="C69" s="328" t="s">
        <v>491</v>
      </c>
      <c r="D69" s="328" t="s">
        <v>456</v>
      </c>
      <c r="E69" s="329" t="s">
        <v>852</v>
      </c>
      <c r="F69" s="330"/>
      <c r="G69" s="331">
        <v>846.51</v>
      </c>
      <c r="H69" s="332" t="s">
        <v>1006</v>
      </c>
      <c r="I69" s="331">
        <v>846.51</v>
      </c>
      <c r="J69" s="389">
        <v>846.51</v>
      </c>
      <c r="K69" s="333">
        <f t="shared" si="0"/>
        <v>0</v>
      </c>
      <c r="L69" s="329"/>
    </row>
    <row r="70" spans="1:12">
      <c r="A70" s="334">
        <v>57</v>
      </c>
      <c r="B70" s="354">
        <v>1981</v>
      </c>
      <c r="C70" s="328" t="s">
        <v>774</v>
      </c>
      <c r="D70" s="338" t="s">
        <v>822</v>
      </c>
      <c r="E70" s="329" t="s">
        <v>852</v>
      </c>
      <c r="F70" s="330"/>
      <c r="G70" s="331">
        <v>683.49</v>
      </c>
      <c r="H70" s="332" t="s">
        <v>1006</v>
      </c>
      <c r="I70" s="331">
        <v>683.49</v>
      </c>
      <c r="J70" s="389">
        <v>683.49</v>
      </c>
      <c r="K70" s="333">
        <f t="shared" si="0"/>
        <v>0</v>
      </c>
      <c r="L70" s="329"/>
    </row>
    <row r="71" spans="1:12">
      <c r="A71" s="334">
        <v>56</v>
      </c>
      <c r="B71" s="354">
        <v>1662</v>
      </c>
      <c r="C71" s="328" t="s">
        <v>774</v>
      </c>
      <c r="D71" s="328" t="s">
        <v>823</v>
      </c>
      <c r="E71" s="329" t="s">
        <v>852</v>
      </c>
      <c r="F71" s="330"/>
      <c r="G71" s="331">
        <v>885.51</v>
      </c>
      <c r="H71" s="332" t="s">
        <v>1006</v>
      </c>
      <c r="I71" s="331">
        <v>885.51</v>
      </c>
      <c r="J71" s="389">
        <v>885.51</v>
      </c>
      <c r="K71" s="333">
        <f t="shared" ref="K71:K80" si="1">I71-J71</f>
        <v>0</v>
      </c>
      <c r="L71" s="329"/>
    </row>
    <row r="72" spans="1:12">
      <c r="A72" s="334"/>
      <c r="B72" s="354">
        <v>1708</v>
      </c>
      <c r="C72" s="328" t="s">
        <v>775</v>
      </c>
      <c r="D72" s="328" t="s">
        <v>791</v>
      </c>
      <c r="E72" s="329" t="s">
        <v>852</v>
      </c>
      <c r="F72" s="330"/>
      <c r="G72" s="331">
        <v>1624.77</v>
      </c>
      <c r="H72" s="332" t="s">
        <v>1006</v>
      </c>
      <c r="I72" s="331">
        <v>1624.77</v>
      </c>
      <c r="J72" s="389">
        <v>1624.77</v>
      </c>
      <c r="K72" s="333">
        <f t="shared" si="1"/>
        <v>0</v>
      </c>
      <c r="L72" s="329"/>
    </row>
    <row r="73" spans="1:12">
      <c r="A73" s="334">
        <v>58</v>
      </c>
      <c r="B73" s="354">
        <v>1630</v>
      </c>
      <c r="C73" s="328" t="s">
        <v>775</v>
      </c>
      <c r="D73" s="338" t="s">
        <v>824</v>
      </c>
      <c r="E73" s="329" t="s">
        <v>852</v>
      </c>
      <c r="F73" s="330"/>
      <c r="G73" s="331">
        <v>1207.76</v>
      </c>
      <c r="H73" s="332" t="s">
        <v>1006</v>
      </c>
      <c r="I73" s="331">
        <v>1207.76</v>
      </c>
      <c r="J73" s="389">
        <v>1207.76</v>
      </c>
      <c r="K73" s="333">
        <f t="shared" si="1"/>
        <v>0</v>
      </c>
      <c r="L73" s="329"/>
    </row>
    <row r="74" spans="1:12">
      <c r="A74" s="334"/>
      <c r="B74" s="354">
        <v>2337</v>
      </c>
      <c r="C74" s="328" t="s">
        <v>777</v>
      </c>
      <c r="D74" s="338" t="s">
        <v>1080</v>
      </c>
      <c r="E74" s="329"/>
      <c r="F74" s="330"/>
      <c r="G74" s="331"/>
      <c r="H74" s="332"/>
      <c r="I74" s="331"/>
      <c r="J74" s="389"/>
      <c r="K74" s="333"/>
      <c r="L74" s="329" t="s">
        <v>1075</v>
      </c>
    </row>
    <row r="75" spans="1:12">
      <c r="A75" s="334">
        <v>61</v>
      </c>
      <c r="B75" s="354">
        <v>2010</v>
      </c>
      <c r="C75" s="328" t="s">
        <v>777</v>
      </c>
      <c r="D75" s="328" t="s">
        <v>826</v>
      </c>
      <c r="E75" s="329" t="s">
        <v>852</v>
      </c>
      <c r="F75" s="330"/>
      <c r="G75" s="331">
        <v>1010.07</v>
      </c>
      <c r="H75" s="332" t="s">
        <v>1006</v>
      </c>
      <c r="I75" s="331">
        <v>1010.07</v>
      </c>
      <c r="J75" s="389">
        <v>1010.07</v>
      </c>
      <c r="K75" s="333">
        <f t="shared" si="1"/>
        <v>0</v>
      </c>
      <c r="L75" s="329"/>
    </row>
    <row r="76" spans="1:12">
      <c r="A76" s="334">
        <v>60</v>
      </c>
      <c r="B76" s="354">
        <v>2187</v>
      </c>
      <c r="C76" s="328" t="s">
        <v>777</v>
      </c>
      <c r="D76" s="328" t="s">
        <v>827</v>
      </c>
      <c r="E76" s="329" t="s">
        <v>853</v>
      </c>
      <c r="F76" s="330">
        <v>2</v>
      </c>
      <c r="G76" s="331">
        <v>1889.46</v>
      </c>
      <c r="H76" s="332" t="s">
        <v>1006</v>
      </c>
      <c r="I76" s="391">
        <v>1889.46</v>
      </c>
      <c r="J76" s="389">
        <v>1889.46</v>
      </c>
      <c r="K76" s="333">
        <f t="shared" si="1"/>
        <v>0</v>
      </c>
      <c r="L76" s="329"/>
    </row>
    <row r="77" spans="1:12">
      <c r="A77" s="334">
        <v>62</v>
      </c>
      <c r="B77" s="354">
        <v>2095</v>
      </c>
      <c r="C77" s="328" t="s">
        <v>778</v>
      </c>
      <c r="D77" s="338" t="s">
        <v>828</v>
      </c>
      <c r="E77" s="329" t="s">
        <v>852</v>
      </c>
      <c r="F77" s="330"/>
      <c r="G77" s="331">
        <v>648.83000000000004</v>
      </c>
      <c r="H77" s="332" t="s">
        <v>1006</v>
      </c>
      <c r="I77" s="331">
        <v>648.83000000000004</v>
      </c>
      <c r="J77" s="389">
        <v>648.83000000000004</v>
      </c>
      <c r="K77" s="333">
        <f t="shared" si="1"/>
        <v>0</v>
      </c>
      <c r="L77" s="329"/>
    </row>
    <row r="78" spans="1:12">
      <c r="A78" s="334">
        <v>63</v>
      </c>
      <c r="B78" s="354">
        <v>2064</v>
      </c>
      <c r="C78" s="328" t="s">
        <v>778</v>
      </c>
      <c r="D78" s="338" t="s">
        <v>829</v>
      </c>
      <c r="E78" s="341" t="s">
        <v>856</v>
      </c>
      <c r="F78" s="330">
        <v>2</v>
      </c>
      <c r="G78" s="331">
        <v>1682.01</v>
      </c>
      <c r="H78" s="332">
        <v>584.94000000000005</v>
      </c>
      <c r="I78" s="332">
        <f>SUM(G78:H78)</f>
        <v>2266.9499999999998</v>
      </c>
      <c r="J78" s="333">
        <v>2266.9499999999998</v>
      </c>
      <c r="K78" s="333">
        <f t="shared" si="1"/>
        <v>0</v>
      </c>
      <c r="L78" s="329"/>
    </row>
    <row r="79" spans="1:12">
      <c r="A79" s="334"/>
      <c r="B79" s="354">
        <v>2335</v>
      </c>
      <c r="C79" s="328" t="s">
        <v>870</v>
      </c>
      <c r="D79" s="338" t="s">
        <v>1081</v>
      </c>
      <c r="E79" s="382"/>
      <c r="F79" s="330"/>
      <c r="G79" s="331"/>
      <c r="H79" s="332"/>
      <c r="I79" s="332"/>
      <c r="J79" s="333"/>
      <c r="K79" s="333"/>
      <c r="L79" s="329" t="s">
        <v>1075</v>
      </c>
    </row>
    <row r="80" spans="1:12">
      <c r="A80" s="334"/>
      <c r="B80" s="354">
        <v>2089</v>
      </c>
      <c r="C80" s="328" t="s">
        <v>870</v>
      </c>
      <c r="D80" s="338" t="s">
        <v>1007</v>
      </c>
      <c r="E80" s="329" t="s">
        <v>852</v>
      </c>
      <c r="F80" s="330"/>
      <c r="G80" s="331">
        <v>648.83000000000004</v>
      </c>
      <c r="H80" s="332" t="s">
        <v>1006</v>
      </c>
      <c r="I80" s="331">
        <v>648.83000000000004</v>
      </c>
      <c r="J80" s="389">
        <v>648.83000000000004</v>
      </c>
      <c r="K80" s="333">
        <f t="shared" si="1"/>
        <v>0</v>
      </c>
      <c r="L80" s="329"/>
    </row>
    <row r="81" spans="1:20">
      <c r="A81" s="296"/>
      <c r="B81" s="66"/>
      <c r="C81" s="29"/>
      <c r="D81" s="29"/>
      <c r="E81" s="342"/>
      <c r="F81" s="343"/>
      <c r="G81" s="344"/>
      <c r="H81" s="345">
        <f>SUM(H5:H80)</f>
        <v>2577.04</v>
      </c>
      <c r="I81" s="344"/>
      <c r="J81" s="346"/>
      <c r="K81" s="346"/>
      <c r="L81" s="385"/>
      <c r="M81" s="216"/>
      <c r="O81" s="15"/>
      <c r="P81" s="15"/>
    </row>
    <row r="82" spans="1:20">
      <c r="A82" s="296"/>
      <c r="E82" s="342"/>
      <c r="F82" s="343"/>
      <c r="G82" s="344"/>
      <c r="H82" s="344"/>
      <c r="I82" s="344"/>
      <c r="J82" s="346"/>
      <c r="K82" s="346"/>
      <c r="L82" s="385"/>
      <c r="M82" s="216"/>
      <c r="O82" s="15"/>
      <c r="P82" s="15"/>
    </row>
    <row r="83" spans="1:20">
      <c r="A83" s="438" t="s">
        <v>652</v>
      </c>
      <c r="B83" s="439"/>
      <c r="C83" s="439"/>
      <c r="D83" s="439"/>
      <c r="E83" s="439"/>
      <c r="F83" s="439"/>
      <c r="G83" s="440"/>
      <c r="H83" s="347"/>
      <c r="I83" s="348">
        <f>SUM(I5:I80)</f>
        <v>82240.649999999994</v>
      </c>
      <c r="J83" s="383">
        <f>SUM(J5:J80)</f>
        <v>82240.63</v>
      </c>
      <c r="K83" s="383"/>
      <c r="L83" s="386"/>
    </row>
    <row r="84" spans="1:20">
      <c r="A84" s="441" t="s">
        <v>1028</v>
      </c>
      <c r="B84" s="442"/>
      <c r="C84" s="443"/>
      <c r="D84" s="351"/>
      <c r="E84" s="352" t="s">
        <v>258</v>
      </c>
      <c r="F84" s="334">
        <v>73</v>
      </c>
      <c r="G84" s="329" t="s">
        <v>1029</v>
      </c>
      <c r="H84" s="351"/>
      <c r="I84" s="352" t="s">
        <v>258</v>
      </c>
      <c r="J84" s="343">
        <v>74</v>
      </c>
      <c r="K84" s="343"/>
      <c r="L84" s="161"/>
    </row>
    <row r="85" spans="1:20">
      <c r="A85" s="353"/>
      <c r="B85" s="352"/>
      <c r="C85" s="351"/>
      <c r="D85" s="351"/>
      <c r="E85" s="351" t="s">
        <v>930</v>
      </c>
      <c r="F85" s="330">
        <v>4</v>
      </c>
      <c r="G85" s="329"/>
      <c r="H85" s="351"/>
      <c r="I85" s="351" t="s">
        <v>930</v>
      </c>
      <c r="J85" s="343">
        <v>4</v>
      </c>
      <c r="K85" s="343"/>
      <c r="L85" s="161"/>
    </row>
    <row r="86" spans="1:20">
      <c r="A86" s="441"/>
      <c r="B86" s="442"/>
      <c r="C86" s="443"/>
      <c r="D86" s="351"/>
      <c r="E86" s="352" t="s">
        <v>931</v>
      </c>
      <c r="F86" s="355">
        <v>26</v>
      </c>
      <c r="G86" s="329"/>
      <c r="H86" s="351"/>
      <c r="I86" s="352" t="s">
        <v>931</v>
      </c>
      <c r="J86" s="343">
        <v>26</v>
      </c>
      <c r="K86" s="343"/>
      <c r="L86" s="161"/>
    </row>
    <row r="87" spans="1:20">
      <c r="A87" s="444"/>
      <c r="B87" s="445"/>
      <c r="C87" s="446"/>
      <c r="D87" s="356"/>
      <c r="E87" s="357" t="s">
        <v>246</v>
      </c>
      <c r="F87" s="358">
        <v>103</v>
      </c>
      <c r="G87" s="329"/>
      <c r="H87" s="393"/>
      <c r="I87" s="394" t="s">
        <v>246</v>
      </c>
      <c r="J87" s="395">
        <v>104</v>
      </c>
      <c r="K87" s="395"/>
      <c r="L87" s="161"/>
    </row>
    <row r="88" spans="1:20">
      <c r="A88" s="447" t="s">
        <v>830</v>
      </c>
      <c r="B88" s="448"/>
      <c r="C88" s="448"/>
      <c r="D88" s="448"/>
      <c r="E88" s="448"/>
      <c r="F88" s="448"/>
      <c r="G88" s="448"/>
      <c r="H88" s="381"/>
      <c r="I88" s="381"/>
      <c r="J88" s="396"/>
      <c r="K88" s="396"/>
      <c r="L88" s="392"/>
      <c r="N88" s="15"/>
    </row>
    <row r="89" spans="1:20">
      <c r="A89" s="334"/>
      <c r="B89" s="354">
        <v>2325</v>
      </c>
      <c r="C89" s="328" t="s">
        <v>444</v>
      </c>
      <c r="D89" s="328" t="s">
        <v>1035</v>
      </c>
      <c r="E89" s="329" t="s">
        <v>852</v>
      </c>
      <c r="F89" s="330"/>
      <c r="G89" s="331">
        <v>-1598.79</v>
      </c>
      <c r="H89" s="332">
        <v>0</v>
      </c>
      <c r="I89" s="331">
        <v>-1598.79</v>
      </c>
      <c r="J89" s="331">
        <v>-1598.79</v>
      </c>
      <c r="K89" s="333"/>
      <c r="L89" s="196" t="s">
        <v>1076</v>
      </c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>
        <v>2329</v>
      </c>
      <c r="C90" s="328" t="s">
        <v>1070</v>
      </c>
      <c r="D90" s="328" t="s">
        <v>1071</v>
      </c>
      <c r="E90" s="329" t="s">
        <v>852</v>
      </c>
      <c r="F90" s="330"/>
      <c r="G90" s="331">
        <v>541.59</v>
      </c>
      <c r="H90" s="332">
        <v>0</v>
      </c>
      <c r="I90" s="331">
        <v>541.59</v>
      </c>
      <c r="J90" s="331">
        <v>541.59</v>
      </c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38"/>
      <c r="E91" s="329"/>
      <c r="F91" s="330"/>
      <c r="G91" s="331"/>
      <c r="H91" s="332"/>
      <c r="I91" s="332"/>
      <c r="J91" s="333"/>
      <c r="K91" s="333"/>
      <c r="L91" s="380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38"/>
      <c r="E92" s="329"/>
      <c r="F92" s="330"/>
      <c r="G92" s="331"/>
      <c r="H92" s="332"/>
      <c r="I92" s="332"/>
      <c r="J92" s="333"/>
      <c r="K92" s="333"/>
      <c r="L92" s="380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38"/>
      <c r="E93" s="329"/>
      <c r="F93" s="330"/>
      <c r="G93" s="331"/>
      <c r="H93" s="332"/>
      <c r="I93" s="331"/>
      <c r="J93" s="389"/>
      <c r="K93" s="333"/>
      <c r="L93" s="196"/>
      <c r="N93" s="15"/>
    </row>
    <row r="94" spans="1:20">
      <c r="A94" s="334"/>
      <c r="B94" s="354"/>
      <c r="C94" s="328"/>
      <c r="D94" s="338"/>
      <c r="E94" s="329"/>
      <c r="F94" s="330"/>
      <c r="G94" s="331"/>
      <c r="H94" s="332"/>
      <c r="I94" s="331"/>
      <c r="J94" s="389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38"/>
      <c r="E95" s="329"/>
      <c r="F95" s="330"/>
      <c r="G95" s="331"/>
      <c r="H95" s="332"/>
      <c r="I95" s="332"/>
      <c r="J95" s="333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38"/>
      <c r="E96" s="329"/>
      <c r="F96" s="330"/>
      <c r="G96" s="331"/>
      <c r="H96" s="332"/>
      <c r="I96" s="332"/>
      <c r="J96" s="333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38"/>
      <c r="E97" s="329"/>
      <c r="F97" s="330"/>
      <c r="G97" s="331"/>
      <c r="H97" s="332"/>
      <c r="I97" s="332"/>
      <c r="J97" s="333"/>
      <c r="K97" s="333"/>
      <c r="L97" s="161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28"/>
      <c r="E98" s="329"/>
      <c r="F98" s="330"/>
      <c r="G98" s="331"/>
      <c r="H98" s="332"/>
      <c r="I98" s="332"/>
      <c r="J98" s="333"/>
      <c r="K98" s="333"/>
      <c r="L98" s="161"/>
      <c r="N98" s="15"/>
    </row>
    <row r="99" spans="1:20">
      <c r="A99" s="438" t="s">
        <v>846</v>
      </c>
      <c r="B99" s="439"/>
      <c r="C99" s="439"/>
      <c r="D99" s="439"/>
      <c r="E99" s="439"/>
      <c r="F99" s="439"/>
      <c r="G99" s="440"/>
      <c r="H99" s="348">
        <f>SUM(H89:H96)</f>
        <v>0</v>
      </c>
      <c r="I99" s="347"/>
      <c r="J99" s="348">
        <f>SUM(J89:J98)</f>
        <v>-1057.1999999999998</v>
      </c>
      <c r="K99" s="406"/>
      <c r="L99" s="402"/>
    </row>
    <row r="100" spans="1:20">
      <c r="A100" s="365"/>
      <c r="B100" s="366"/>
      <c r="C100" s="366"/>
      <c r="D100" s="366"/>
      <c r="E100" s="366"/>
      <c r="F100" s="367"/>
      <c r="G100" s="368"/>
      <c r="H100" s="368"/>
      <c r="I100" s="368"/>
      <c r="J100" s="349"/>
      <c r="K100" s="383"/>
      <c r="L100" s="364"/>
    </row>
    <row r="101" spans="1:20" ht="16">
      <c r="A101" s="435" t="s">
        <v>881</v>
      </c>
      <c r="B101" s="436"/>
      <c r="C101" s="436"/>
      <c r="D101" s="436"/>
      <c r="E101" s="436"/>
      <c r="F101" s="436"/>
      <c r="G101" s="437"/>
      <c r="H101" s="369"/>
      <c r="I101" s="369"/>
      <c r="J101" s="370">
        <f>SUM(J83,J99)</f>
        <v>81183.430000000008</v>
      </c>
      <c r="K101" s="407"/>
      <c r="L101" s="350"/>
    </row>
    <row r="102" spans="1:20" ht="18">
      <c r="F102" s="3"/>
      <c r="G102" s="371" t="s">
        <v>1013</v>
      </c>
      <c r="H102" s="372">
        <v>45455</v>
      </c>
    </row>
    <row r="103" spans="1:20" ht="18">
      <c r="F103" s="3"/>
      <c r="G103" s="371" t="s">
        <v>1014</v>
      </c>
      <c r="H103" s="373" t="s">
        <v>990</v>
      </c>
      <c r="I103" s="373"/>
    </row>
    <row r="104" spans="1:20">
      <c r="F104" s="3"/>
      <c r="G104" s="216"/>
      <c r="H104" s="216"/>
      <c r="I104" s="216"/>
      <c r="J104" s="3"/>
      <c r="K104" s="3"/>
      <c r="L104" s="15"/>
      <c r="M104" s="216"/>
    </row>
    <row r="105" spans="1:20">
      <c r="F105" s="3"/>
      <c r="G105" s="216"/>
      <c r="H105" s="269"/>
      <c r="I105" s="216"/>
      <c r="J105" s="270"/>
      <c r="K105" s="270"/>
      <c r="L105" s="15"/>
      <c r="M105" s="216"/>
    </row>
    <row r="106" spans="1:20">
      <c r="F106" s="3"/>
      <c r="G106" s="216"/>
      <c r="H106" s="269"/>
      <c r="I106" s="216"/>
      <c r="J106" s="270"/>
      <c r="K106" s="270"/>
      <c r="L106" s="15"/>
      <c r="M106" s="216"/>
    </row>
    <row r="107" spans="1:20">
      <c r="F107" s="3"/>
      <c r="G107" s="216"/>
      <c r="H107" s="388">
        <f>SUM(H81,H99)</f>
        <v>2577.04</v>
      </c>
      <c r="I107" s="269">
        <f>J101-H107</f>
        <v>78606.390000000014</v>
      </c>
      <c r="J107" s="3"/>
      <c r="K107" s="3"/>
      <c r="L107" s="15"/>
      <c r="M107" s="216"/>
    </row>
    <row r="108" spans="1:20">
      <c r="F108" s="3"/>
      <c r="G108" s="216"/>
      <c r="H108" s="216"/>
      <c r="I108" s="216"/>
      <c r="J108" s="3"/>
      <c r="K108" s="3"/>
      <c r="L108" s="15"/>
      <c r="M108" s="216"/>
      <c r="Q108" s="3"/>
      <c r="R108" s="3"/>
      <c r="S108" s="3"/>
      <c r="T108" s="3"/>
    </row>
  </sheetData>
  <mergeCells count="7">
    <mergeCell ref="A101:G101"/>
    <mergeCell ref="A83:G83"/>
    <mergeCell ref="A84:C84"/>
    <mergeCell ref="A86:C86"/>
    <mergeCell ref="A87:C87"/>
    <mergeCell ref="A88:G88"/>
    <mergeCell ref="A99:G99"/>
  </mergeCells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3E89-7045-D246-B10D-9829FD886638}">
  <dimension ref="A1:T106"/>
  <sheetViews>
    <sheetView topLeftCell="A64" zoomScale="180" zoomScaleNormal="180" workbookViewId="0">
      <selection activeCell="E20" sqref="E20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45413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69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>
        <v>6</v>
      </c>
      <c r="B11" s="354">
        <v>1593</v>
      </c>
      <c r="C11" s="328" t="s">
        <v>460</v>
      </c>
      <c r="D11" s="328" t="s">
        <v>426</v>
      </c>
      <c r="E11" s="329" t="s">
        <v>852</v>
      </c>
      <c r="F11" s="330"/>
      <c r="G11" s="331">
        <v>1469.89</v>
      </c>
      <c r="H11" s="332" t="s">
        <v>1006</v>
      </c>
      <c r="I11" s="331">
        <v>1469.89</v>
      </c>
      <c r="J11" s="389">
        <v>1469.89</v>
      </c>
      <c r="K11" s="333">
        <f t="shared" si="0"/>
        <v>0</v>
      </c>
      <c r="L11" s="329"/>
    </row>
    <row r="12" spans="1:20">
      <c r="A12" s="334">
        <v>8</v>
      </c>
      <c r="B12" s="354">
        <v>2131</v>
      </c>
      <c r="C12" s="328" t="s">
        <v>745</v>
      </c>
      <c r="D12" s="338" t="s">
        <v>784</v>
      </c>
      <c r="E12" s="329" t="s">
        <v>852</v>
      </c>
      <c r="F12" s="330"/>
      <c r="G12" s="331">
        <v>648.83000000000004</v>
      </c>
      <c r="H12" s="332" t="s">
        <v>1006</v>
      </c>
      <c r="I12" s="331">
        <v>648.83000000000004</v>
      </c>
      <c r="J12" s="389">
        <v>648.83000000000004</v>
      </c>
      <c r="K12" s="333">
        <f t="shared" si="0"/>
        <v>0</v>
      </c>
      <c r="L12" s="329"/>
      <c r="P12" s="1"/>
      <c r="Q12" s="1"/>
      <c r="R12" s="1"/>
      <c r="S12" s="1"/>
      <c r="T12" s="1"/>
    </row>
    <row r="13" spans="1:20">
      <c r="A13" s="334">
        <v>7</v>
      </c>
      <c r="B13" s="354">
        <v>1751</v>
      </c>
      <c r="C13" s="328" t="s">
        <v>745</v>
      </c>
      <c r="D13" s="339" t="s">
        <v>838</v>
      </c>
      <c r="E13" s="329" t="s">
        <v>852</v>
      </c>
      <c r="F13" s="330"/>
      <c r="G13" s="331">
        <v>885.51</v>
      </c>
      <c r="H13" s="332" t="s">
        <v>1006</v>
      </c>
      <c r="I13" s="331">
        <v>885.51</v>
      </c>
      <c r="J13" s="389">
        <v>885.51</v>
      </c>
      <c r="K13" s="333">
        <f t="shared" si="0"/>
        <v>0</v>
      </c>
      <c r="L13" s="329"/>
    </row>
    <row r="14" spans="1:20">
      <c r="A14" s="334">
        <v>9</v>
      </c>
      <c r="B14" s="354">
        <v>2023</v>
      </c>
      <c r="C14" s="328" t="s">
        <v>745</v>
      </c>
      <c r="D14" s="339" t="s">
        <v>783</v>
      </c>
      <c r="E14" s="329" t="s">
        <v>852</v>
      </c>
      <c r="F14" s="330"/>
      <c r="G14" s="331">
        <v>683.49</v>
      </c>
      <c r="H14" s="332" t="s">
        <v>1006</v>
      </c>
      <c r="I14" s="331">
        <v>683.49</v>
      </c>
      <c r="J14" s="389">
        <v>683.49</v>
      </c>
      <c r="K14" s="333">
        <f t="shared" si="0"/>
        <v>0</v>
      </c>
      <c r="L14" s="328"/>
      <c r="P14" s="1"/>
      <c r="Q14" s="1"/>
      <c r="R14" s="1"/>
      <c r="S14" s="1"/>
      <c r="T14" s="1"/>
    </row>
    <row r="15" spans="1:20">
      <c r="A15" s="334"/>
      <c r="B15" s="374">
        <v>2302</v>
      </c>
      <c r="C15" s="336" t="s">
        <v>806</v>
      </c>
      <c r="D15" s="339" t="s">
        <v>952</v>
      </c>
      <c r="E15" s="329" t="s">
        <v>852</v>
      </c>
      <c r="F15" s="330"/>
      <c r="G15" s="331">
        <v>666.16</v>
      </c>
      <c r="H15" s="332" t="s">
        <v>1006</v>
      </c>
      <c r="I15" s="331">
        <v>666.16</v>
      </c>
      <c r="J15" s="389">
        <v>666.16</v>
      </c>
      <c r="K15" s="333">
        <f t="shared" si="0"/>
        <v>0</v>
      </c>
      <c r="L15" s="340"/>
      <c r="P15" s="1"/>
      <c r="Q15" s="1"/>
      <c r="R15" s="1"/>
      <c r="S15" s="1"/>
      <c r="T15" s="1"/>
    </row>
    <row r="16" spans="1:20">
      <c r="A16" s="334">
        <v>10</v>
      </c>
      <c r="B16" s="375">
        <v>2254</v>
      </c>
      <c r="C16" s="328" t="s">
        <v>840</v>
      </c>
      <c r="D16" s="328" t="s">
        <v>841</v>
      </c>
      <c r="E16" s="341" t="s">
        <v>855</v>
      </c>
      <c r="F16" s="330">
        <v>1</v>
      </c>
      <c r="G16" s="331">
        <v>1262.08</v>
      </c>
      <c r="H16" s="332">
        <v>542.16</v>
      </c>
      <c r="I16" s="332">
        <v>1804.24</v>
      </c>
      <c r="J16" s="333">
        <v>1804.24</v>
      </c>
      <c r="K16" s="333">
        <f t="shared" si="0"/>
        <v>0</v>
      </c>
      <c r="L16" s="329"/>
    </row>
    <row r="17" spans="1:20">
      <c r="A17" s="334"/>
      <c r="B17" s="354">
        <v>2318</v>
      </c>
      <c r="C17" s="328" t="s">
        <v>1018</v>
      </c>
      <c r="D17" s="328" t="s">
        <v>1019</v>
      </c>
      <c r="E17" s="382" t="s">
        <v>851</v>
      </c>
      <c r="F17" s="330"/>
      <c r="G17" s="331">
        <v>790.72</v>
      </c>
      <c r="H17" s="332">
        <v>507.5</v>
      </c>
      <c r="I17" s="332">
        <f>SUM(G17:H17)</f>
        <v>1298.22</v>
      </c>
      <c r="J17" s="333">
        <v>1298.21</v>
      </c>
      <c r="K17" s="333">
        <f t="shared" si="0"/>
        <v>9.9999999999909051E-3</v>
      </c>
      <c r="L17" s="161"/>
    </row>
    <row r="18" spans="1:20">
      <c r="A18" s="334">
        <v>11</v>
      </c>
      <c r="B18" s="354">
        <v>1721</v>
      </c>
      <c r="C18" s="328" t="s">
        <v>746</v>
      </c>
      <c r="D18" s="328" t="s">
        <v>785</v>
      </c>
      <c r="E18" s="329" t="s">
        <v>854</v>
      </c>
      <c r="F18" s="330">
        <v>1</v>
      </c>
      <c r="G18" s="331">
        <v>2065.64</v>
      </c>
      <c r="H18" s="332" t="s">
        <v>1006</v>
      </c>
      <c r="I18" s="331">
        <v>2065.64</v>
      </c>
      <c r="J18" s="389">
        <v>2065.64</v>
      </c>
      <c r="K18" s="333">
        <f t="shared" si="0"/>
        <v>0</v>
      </c>
      <c r="L18" s="161"/>
    </row>
    <row r="19" spans="1:20">
      <c r="A19" s="334">
        <v>12</v>
      </c>
      <c r="B19" s="354">
        <v>2123</v>
      </c>
      <c r="C19" s="328" t="s">
        <v>746</v>
      </c>
      <c r="D19" s="328" t="s">
        <v>786</v>
      </c>
      <c r="E19" s="329" t="s">
        <v>852</v>
      </c>
      <c r="F19" s="330"/>
      <c r="G19" s="331">
        <v>692.16</v>
      </c>
      <c r="H19" s="332" t="s">
        <v>1006</v>
      </c>
      <c r="I19" s="331">
        <v>692.16</v>
      </c>
      <c r="J19" s="389">
        <v>692.16</v>
      </c>
      <c r="K19" s="333">
        <f t="shared" si="0"/>
        <v>0</v>
      </c>
      <c r="L19" s="161"/>
    </row>
    <row r="20" spans="1:20">
      <c r="A20" s="334">
        <v>13</v>
      </c>
      <c r="B20" s="354">
        <v>1970</v>
      </c>
      <c r="C20" s="328" t="s">
        <v>747</v>
      </c>
      <c r="D20" s="338" t="s">
        <v>787</v>
      </c>
      <c r="E20" s="329" t="s">
        <v>854</v>
      </c>
      <c r="F20" s="330">
        <v>1</v>
      </c>
      <c r="G20" s="331">
        <v>1090.42</v>
      </c>
      <c r="H20" s="332" t="s">
        <v>1006</v>
      </c>
      <c r="I20" s="331">
        <v>1090.42</v>
      </c>
      <c r="J20" s="389">
        <v>1090.42</v>
      </c>
      <c r="K20" s="333">
        <f t="shared" si="0"/>
        <v>0</v>
      </c>
      <c r="L20" s="161"/>
    </row>
    <row r="21" spans="1:20">
      <c r="A21" s="334">
        <v>14</v>
      </c>
      <c r="B21" s="376" t="s">
        <v>934</v>
      </c>
      <c r="C21" s="328" t="s">
        <v>932</v>
      </c>
      <c r="D21" s="338" t="s">
        <v>933</v>
      </c>
      <c r="E21" s="329" t="s">
        <v>851</v>
      </c>
      <c r="F21" s="330"/>
      <c r="G21" s="331">
        <v>756.04</v>
      </c>
      <c r="H21" s="332">
        <v>417.6</v>
      </c>
      <c r="I21" s="332">
        <f>SUM(G21:H21)</f>
        <v>1173.6399999999999</v>
      </c>
      <c r="J21" s="333">
        <v>1173.6300000000001</v>
      </c>
      <c r="K21" s="333">
        <f t="shared" si="0"/>
        <v>9.9999999997635314E-3</v>
      </c>
      <c r="L21" s="188"/>
      <c r="M21" s="403" t="s">
        <v>1042</v>
      </c>
    </row>
    <row r="22" spans="1:20">
      <c r="A22" s="334">
        <v>15</v>
      </c>
      <c r="B22" s="354">
        <v>1794</v>
      </c>
      <c r="C22" s="328" t="s">
        <v>466</v>
      </c>
      <c r="D22" s="328" t="s">
        <v>431</v>
      </c>
      <c r="E22" s="329" t="s">
        <v>854</v>
      </c>
      <c r="F22" s="330">
        <v>1</v>
      </c>
      <c r="G22" s="331">
        <v>1551.66</v>
      </c>
      <c r="H22" s="332" t="s">
        <v>1006</v>
      </c>
      <c r="I22" s="331">
        <v>1551.66</v>
      </c>
      <c r="J22" s="389">
        <v>1551.66</v>
      </c>
      <c r="K22" s="333">
        <f t="shared" si="0"/>
        <v>0</v>
      </c>
      <c r="L22" s="161"/>
      <c r="P22" s="1"/>
      <c r="Q22" s="1"/>
      <c r="R22" s="1"/>
      <c r="S22" s="1"/>
      <c r="T22" s="1"/>
    </row>
    <row r="23" spans="1:20">
      <c r="A23" s="334">
        <v>16</v>
      </c>
      <c r="B23" s="354">
        <v>2201</v>
      </c>
      <c r="C23" s="328" t="s">
        <v>748</v>
      </c>
      <c r="D23" s="338" t="s">
        <v>788</v>
      </c>
      <c r="E23" s="329" t="s">
        <v>852</v>
      </c>
      <c r="F23" s="330"/>
      <c r="G23" s="331">
        <v>1263.54</v>
      </c>
      <c r="H23" s="332" t="s">
        <v>1006</v>
      </c>
      <c r="I23" s="331">
        <v>1263.54</v>
      </c>
      <c r="J23" s="389">
        <v>1263.54</v>
      </c>
      <c r="K23" s="333">
        <f t="shared" si="0"/>
        <v>0</v>
      </c>
      <c r="L23" s="161"/>
    </row>
    <row r="24" spans="1:20">
      <c r="A24" s="334">
        <v>17</v>
      </c>
      <c r="B24" s="354">
        <v>2194</v>
      </c>
      <c r="C24" s="328" t="s">
        <v>749</v>
      </c>
      <c r="D24" s="338" t="s">
        <v>789</v>
      </c>
      <c r="E24" s="329" t="s">
        <v>852</v>
      </c>
      <c r="F24" s="330"/>
      <c r="G24" s="331">
        <v>606.04</v>
      </c>
      <c r="H24" s="332" t="s">
        <v>1006</v>
      </c>
      <c r="I24" s="331">
        <v>606.04</v>
      </c>
      <c r="J24" s="389">
        <v>606.04</v>
      </c>
      <c r="K24" s="333">
        <f t="shared" si="0"/>
        <v>0</v>
      </c>
      <c r="L24" s="161"/>
    </row>
    <row r="25" spans="1:20">
      <c r="A25" s="334"/>
      <c r="B25" s="354">
        <v>1961</v>
      </c>
      <c r="C25" s="328" t="s">
        <v>967</v>
      </c>
      <c r="D25" s="338" t="s">
        <v>968</v>
      </c>
      <c r="E25" s="329" t="s">
        <v>852</v>
      </c>
      <c r="F25" s="330"/>
      <c r="G25" s="331">
        <v>1379.98</v>
      </c>
      <c r="H25" s="332" t="s">
        <v>1006</v>
      </c>
      <c r="I25" s="331">
        <v>1379.98</v>
      </c>
      <c r="J25" s="389">
        <v>1379.98</v>
      </c>
      <c r="K25" s="333">
        <f t="shared" si="0"/>
        <v>0</v>
      </c>
      <c r="L25" s="161"/>
    </row>
    <row r="26" spans="1:20">
      <c r="A26" s="334">
        <v>18</v>
      </c>
      <c r="B26" s="354">
        <v>2289</v>
      </c>
      <c r="C26" s="328" t="s">
        <v>750</v>
      </c>
      <c r="D26" s="338" t="s">
        <v>790</v>
      </c>
      <c r="E26" s="329" t="s">
        <v>852</v>
      </c>
      <c r="F26" s="330"/>
      <c r="G26" s="331">
        <v>683.49</v>
      </c>
      <c r="H26" s="332" t="s">
        <v>1006</v>
      </c>
      <c r="I26" s="331">
        <v>683.49</v>
      </c>
      <c r="J26" s="389">
        <v>683.49</v>
      </c>
      <c r="K26" s="333">
        <f t="shared" si="0"/>
        <v>0</v>
      </c>
      <c r="L26" s="161"/>
    </row>
    <row r="27" spans="1:20">
      <c r="A27" s="334"/>
      <c r="B27" s="354">
        <v>2322</v>
      </c>
      <c r="C27" s="328" t="s">
        <v>1023</v>
      </c>
      <c r="D27" s="338" t="s">
        <v>1024</v>
      </c>
      <c r="E27" s="329" t="s">
        <v>852</v>
      </c>
      <c r="F27" s="330"/>
      <c r="G27" s="331">
        <v>541.59</v>
      </c>
      <c r="H27" s="332">
        <v>0</v>
      </c>
      <c r="I27" s="332">
        <v>541.59</v>
      </c>
      <c r="J27" s="335">
        <v>541.59</v>
      </c>
      <c r="K27" s="333">
        <f t="shared" si="0"/>
        <v>0</v>
      </c>
      <c r="L27" s="161"/>
    </row>
    <row r="28" spans="1:20">
      <c r="A28" s="334">
        <v>20</v>
      </c>
      <c r="B28" s="354">
        <v>2250</v>
      </c>
      <c r="C28" s="328" t="s">
        <v>752</v>
      </c>
      <c r="D28" s="328" t="s">
        <v>792</v>
      </c>
      <c r="E28" s="329" t="s">
        <v>853</v>
      </c>
      <c r="F28" s="330">
        <v>2</v>
      </c>
      <c r="G28" s="331">
        <v>1549.34</v>
      </c>
      <c r="H28" s="332" t="s">
        <v>1006</v>
      </c>
      <c r="I28" s="331">
        <v>1549.34</v>
      </c>
      <c r="J28" s="389">
        <v>1549.34</v>
      </c>
      <c r="K28" s="333">
        <f t="shared" si="0"/>
        <v>0</v>
      </c>
      <c r="L28" s="161"/>
    </row>
    <row r="29" spans="1:20">
      <c r="A29" s="334">
        <v>21</v>
      </c>
      <c r="B29" s="354">
        <v>2193</v>
      </c>
      <c r="C29" s="328" t="s">
        <v>753</v>
      </c>
      <c r="D29" s="328" t="s">
        <v>794</v>
      </c>
      <c r="E29" s="329" t="s">
        <v>852</v>
      </c>
      <c r="F29" s="330"/>
      <c r="G29" s="331">
        <v>661.83</v>
      </c>
      <c r="H29" s="332" t="s">
        <v>1006</v>
      </c>
      <c r="I29" s="331">
        <v>661.83</v>
      </c>
      <c r="J29" s="389">
        <v>661.83</v>
      </c>
      <c r="K29" s="333">
        <f t="shared" si="0"/>
        <v>0</v>
      </c>
      <c r="L29" s="161"/>
    </row>
    <row r="30" spans="1:20">
      <c r="A30" s="334"/>
      <c r="B30" s="354">
        <v>2223</v>
      </c>
      <c r="C30" s="328" t="s">
        <v>972</v>
      </c>
      <c r="D30" s="328" t="s">
        <v>973</v>
      </c>
      <c r="E30" s="329" t="s">
        <v>852</v>
      </c>
      <c r="F30" s="330"/>
      <c r="G30" s="331">
        <v>567.59</v>
      </c>
      <c r="H30" s="332"/>
      <c r="I30" s="331">
        <v>567.59</v>
      </c>
      <c r="J30" s="389">
        <v>567.59</v>
      </c>
      <c r="K30" s="333">
        <f t="shared" si="0"/>
        <v>0</v>
      </c>
      <c r="L30" s="161"/>
    </row>
    <row r="31" spans="1:20">
      <c r="A31" s="334">
        <v>22</v>
      </c>
      <c r="B31" s="354">
        <v>640</v>
      </c>
      <c r="C31" s="328" t="s">
        <v>754</v>
      </c>
      <c r="D31" s="339" t="s">
        <v>795</v>
      </c>
      <c r="E31" s="329" t="s">
        <v>852</v>
      </c>
      <c r="F31" s="330"/>
      <c r="G31" s="331">
        <v>1379.98</v>
      </c>
      <c r="H31" s="332" t="s">
        <v>1006</v>
      </c>
      <c r="I31" s="391">
        <v>1379.98</v>
      </c>
      <c r="J31" s="389">
        <v>1379.98</v>
      </c>
      <c r="K31" s="333">
        <f t="shared" si="0"/>
        <v>0</v>
      </c>
      <c r="L31" s="329"/>
    </row>
    <row r="32" spans="1:20">
      <c r="A32" s="334">
        <v>23</v>
      </c>
      <c r="B32" s="354">
        <v>901</v>
      </c>
      <c r="C32" s="328" t="s">
        <v>439</v>
      </c>
      <c r="D32" s="328" t="s">
        <v>505</v>
      </c>
      <c r="E32" s="329" t="s">
        <v>852</v>
      </c>
      <c r="F32" s="330"/>
      <c r="G32" s="331">
        <v>1624.77</v>
      </c>
      <c r="H32" s="332" t="s">
        <v>1006</v>
      </c>
      <c r="I32" s="331">
        <v>1624.77</v>
      </c>
      <c r="J32" s="389">
        <v>1624.77</v>
      </c>
      <c r="K32" s="333">
        <f t="shared" si="0"/>
        <v>0</v>
      </c>
      <c r="L32" s="329"/>
    </row>
    <row r="33" spans="1:20">
      <c r="A33" s="334"/>
      <c r="B33" s="354">
        <v>2320</v>
      </c>
      <c r="C33" s="328" t="s">
        <v>1043</v>
      </c>
      <c r="D33" s="328" t="s">
        <v>1044</v>
      </c>
      <c r="E33" s="329" t="s">
        <v>852</v>
      </c>
      <c r="F33" s="330"/>
      <c r="G33" s="331">
        <v>567.59</v>
      </c>
      <c r="H33" s="332"/>
      <c r="I33" s="331">
        <v>567.59</v>
      </c>
      <c r="J33" s="389">
        <v>567.59</v>
      </c>
      <c r="K33" s="333">
        <f t="shared" si="0"/>
        <v>0</v>
      </c>
      <c r="L33" s="329"/>
    </row>
    <row r="34" spans="1:20">
      <c r="A34" s="334">
        <v>24</v>
      </c>
      <c r="B34" s="376" t="s">
        <v>675</v>
      </c>
      <c r="C34" s="328" t="s">
        <v>755</v>
      </c>
      <c r="D34" s="328" t="s">
        <v>796</v>
      </c>
      <c r="E34" s="329" t="s">
        <v>852</v>
      </c>
      <c r="F34" s="330"/>
      <c r="G34" s="331">
        <v>717.61</v>
      </c>
      <c r="H34" s="332" t="s">
        <v>1006</v>
      </c>
      <c r="I34" s="332">
        <v>717.61</v>
      </c>
      <c r="J34" s="333">
        <v>717.61</v>
      </c>
      <c r="K34" s="333">
        <f t="shared" si="0"/>
        <v>0</v>
      </c>
      <c r="L34" s="329"/>
    </row>
    <row r="35" spans="1:20">
      <c r="A35" s="334">
        <v>26</v>
      </c>
      <c r="B35" s="354">
        <v>1741</v>
      </c>
      <c r="C35" s="328" t="s">
        <v>755</v>
      </c>
      <c r="D35" s="328" t="s">
        <v>797</v>
      </c>
      <c r="E35" s="329" t="s">
        <v>852</v>
      </c>
      <c r="F35" s="330"/>
      <c r="G35" s="331">
        <v>1156.3</v>
      </c>
      <c r="H35" s="332" t="s">
        <v>1006</v>
      </c>
      <c r="I35" s="331">
        <v>1156.3</v>
      </c>
      <c r="J35" s="389">
        <v>1156.3</v>
      </c>
      <c r="K35" s="333">
        <f t="shared" si="0"/>
        <v>0</v>
      </c>
      <c r="L35" s="329"/>
    </row>
    <row r="36" spans="1:20">
      <c r="A36" s="334">
        <v>25</v>
      </c>
      <c r="B36" s="354">
        <v>1757</v>
      </c>
      <c r="C36" s="328" t="s">
        <v>755</v>
      </c>
      <c r="D36" s="338" t="s">
        <v>798</v>
      </c>
      <c r="E36" s="329" t="s">
        <v>853</v>
      </c>
      <c r="F36" s="330">
        <v>2</v>
      </c>
      <c r="G36" s="331">
        <v>1956.43</v>
      </c>
      <c r="H36" s="332" t="s">
        <v>1006</v>
      </c>
      <c r="I36" s="331">
        <v>1956.43</v>
      </c>
      <c r="J36" s="389">
        <v>1956.43</v>
      </c>
      <c r="K36" s="333">
        <f t="shared" si="0"/>
        <v>0</v>
      </c>
      <c r="L36" s="329"/>
      <c r="N36" s="12"/>
      <c r="O36" s="12"/>
      <c r="P36" s="12"/>
      <c r="Q36" s="12"/>
      <c r="R36" s="12"/>
      <c r="S36" s="12"/>
      <c r="T36" s="12"/>
    </row>
    <row r="37" spans="1:20">
      <c r="A37" s="334">
        <v>27</v>
      </c>
      <c r="B37" s="354">
        <v>2057</v>
      </c>
      <c r="C37" s="328" t="s">
        <v>756</v>
      </c>
      <c r="D37" s="338" t="s">
        <v>799</v>
      </c>
      <c r="E37" s="329" t="s">
        <v>852</v>
      </c>
      <c r="F37" s="330"/>
      <c r="G37" s="331">
        <v>1624.77</v>
      </c>
      <c r="H37" s="332" t="s">
        <v>1006</v>
      </c>
      <c r="I37" s="331">
        <v>1624.77</v>
      </c>
      <c r="J37" s="389">
        <v>1624.77</v>
      </c>
      <c r="K37" s="333">
        <f t="shared" si="0"/>
        <v>0</v>
      </c>
      <c r="L37" s="329"/>
    </row>
    <row r="38" spans="1:20">
      <c r="A38" s="334">
        <v>28</v>
      </c>
      <c r="B38" s="354">
        <v>1210</v>
      </c>
      <c r="C38" s="328" t="s">
        <v>756</v>
      </c>
      <c r="D38" s="338" t="s">
        <v>800</v>
      </c>
      <c r="E38" s="329" t="s">
        <v>852</v>
      </c>
      <c r="F38" s="330"/>
      <c r="G38" s="331">
        <v>1598.79</v>
      </c>
      <c r="H38" s="332" t="s">
        <v>1006</v>
      </c>
      <c r="I38" s="331">
        <v>1598.79</v>
      </c>
      <c r="J38" s="389">
        <v>1598.79</v>
      </c>
      <c r="K38" s="333">
        <f t="shared" si="0"/>
        <v>0</v>
      </c>
      <c r="L38" s="329"/>
    </row>
    <row r="39" spans="1:20">
      <c r="A39" s="334"/>
      <c r="B39" s="354">
        <v>2310</v>
      </c>
      <c r="C39" s="328" t="s">
        <v>756</v>
      </c>
      <c r="D39" s="338" t="s">
        <v>977</v>
      </c>
      <c r="E39" s="329" t="s">
        <v>852</v>
      </c>
      <c r="F39" s="330"/>
      <c r="G39" s="331">
        <v>923.96</v>
      </c>
      <c r="H39" s="332" t="s">
        <v>1006</v>
      </c>
      <c r="I39" s="331">
        <v>923.96</v>
      </c>
      <c r="J39" s="389">
        <v>923.96</v>
      </c>
      <c r="K39" s="333">
        <f t="shared" si="0"/>
        <v>0</v>
      </c>
      <c r="L39" s="329"/>
    </row>
    <row r="40" spans="1:20">
      <c r="A40" s="334"/>
      <c r="B40" s="354">
        <v>2325</v>
      </c>
      <c r="C40" s="328" t="s">
        <v>444</v>
      </c>
      <c r="D40" s="328" t="s">
        <v>1035</v>
      </c>
      <c r="E40" s="329" t="s">
        <v>852</v>
      </c>
      <c r="F40" s="330"/>
      <c r="G40" s="331">
        <v>1598.79</v>
      </c>
      <c r="H40" s="332">
        <v>0</v>
      </c>
      <c r="I40" s="331">
        <v>1598.79</v>
      </c>
      <c r="J40" s="331">
        <v>1598.79</v>
      </c>
      <c r="K40" s="333">
        <f t="shared" si="0"/>
        <v>0</v>
      </c>
      <c r="L40" s="329" t="s">
        <v>1068</v>
      </c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852</v>
      </c>
      <c r="F43" s="330"/>
      <c r="G43" s="331">
        <v>657.5</v>
      </c>
      <c r="H43" s="332">
        <v>0</v>
      </c>
      <c r="I43" s="331">
        <v>657.5</v>
      </c>
      <c r="J43" s="389">
        <v>657.5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/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/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854</v>
      </c>
      <c r="F45" s="330">
        <v>1</v>
      </c>
      <c r="G45" s="331">
        <v>1094.75</v>
      </c>
      <c r="H45" s="332" t="s">
        <v>1006</v>
      </c>
      <c r="I45" s="331">
        <v>1094.75</v>
      </c>
      <c r="J45" s="389">
        <v>1094.75</v>
      </c>
      <c r="K45" s="333">
        <f t="shared" si="0"/>
        <v>0</v>
      </c>
      <c r="L45" s="329"/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>
        <v>661.83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>
        <v>42</v>
      </c>
      <c r="B55" s="354">
        <v>2235</v>
      </c>
      <c r="C55" s="328" t="s">
        <v>764</v>
      </c>
      <c r="D55" s="328" t="s">
        <v>812</v>
      </c>
      <c r="E55" s="329" t="s">
        <v>854</v>
      </c>
      <c r="F55" s="330">
        <v>1</v>
      </c>
      <c r="G55" s="331">
        <v>1350.93</v>
      </c>
      <c r="H55" s="332" t="s">
        <v>1006</v>
      </c>
      <c r="I55" s="331">
        <v>1350.93</v>
      </c>
      <c r="J55" s="389">
        <v>1350.93</v>
      </c>
      <c r="K55" s="333">
        <f t="shared" si="0"/>
        <v>0</v>
      </c>
      <c r="L55" s="329"/>
    </row>
    <row r="56" spans="1:12">
      <c r="A56" s="334">
        <v>43</v>
      </c>
      <c r="B56" s="354">
        <v>2245</v>
      </c>
      <c r="C56" s="328" t="s">
        <v>765</v>
      </c>
      <c r="D56" s="328" t="s">
        <v>813</v>
      </c>
      <c r="E56" s="329" t="s">
        <v>854</v>
      </c>
      <c r="F56" s="330">
        <v>1</v>
      </c>
      <c r="G56" s="331">
        <v>1584.89</v>
      </c>
      <c r="H56" s="332" t="s">
        <v>1006</v>
      </c>
      <c r="I56" s="331">
        <v>1584.89</v>
      </c>
      <c r="J56" s="389">
        <v>1584.89</v>
      </c>
      <c r="K56" s="333">
        <f t="shared" si="0"/>
        <v>0</v>
      </c>
      <c r="L56" s="329"/>
    </row>
    <row r="57" spans="1:12">
      <c r="A57" s="334">
        <v>44</v>
      </c>
      <c r="B57" s="354">
        <v>2001</v>
      </c>
      <c r="C57" s="328" t="s">
        <v>766</v>
      </c>
      <c r="D57" s="338" t="s">
        <v>814</v>
      </c>
      <c r="E57" s="329" t="s">
        <v>852</v>
      </c>
      <c r="F57" s="330"/>
      <c r="G57" s="331">
        <v>1319.87</v>
      </c>
      <c r="H57" s="332" t="s">
        <v>1006</v>
      </c>
      <c r="I57" s="331">
        <v>1319.87</v>
      </c>
      <c r="J57" s="389">
        <v>1319.87</v>
      </c>
      <c r="K57" s="333">
        <f t="shared" si="0"/>
        <v>0</v>
      </c>
      <c r="L57" s="329"/>
    </row>
    <row r="58" spans="1:12">
      <c r="A58" s="334">
        <v>45</v>
      </c>
      <c r="B58" s="354">
        <v>2160</v>
      </c>
      <c r="C58" s="328" t="s">
        <v>767</v>
      </c>
      <c r="D58" s="338" t="s">
        <v>815</v>
      </c>
      <c r="E58" s="329" t="s">
        <v>854</v>
      </c>
      <c r="F58" s="330">
        <v>1</v>
      </c>
      <c r="G58" s="331">
        <v>1921.57</v>
      </c>
      <c r="H58" s="332" t="s">
        <v>1006</v>
      </c>
      <c r="I58" s="331">
        <v>1921.57</v>
      </c>
      <c r="J58" s="389">
        <v>1921.57</v>
      </c>
      <c r="K58" s="333">
        <f t="shared" si="0"/>
        <v>0</v>
      </c>
      <c r="L58" s="329"/>
    </row>
    <row r="59" spans="1:12">
      <c r="A59" s="334">
        <v>47</v>
      </c>
      <c r="B59" s="354">
        <v>2279</v>
      </c>
      <c r="C59" s="328" t="s">
        <v>769</v>
      </c>
      <c r="D59" s="328" t="s">
        <v>843</v>
      </c>
      <c r="E59" s="329" t="s">
        <v>852</v>
      </c>
      <c r="F59" s="330"/>
      <c r="G59" s="331">
        <v>554.59</v>
      </c>
      <c r="H59" s="332" t="s">
        <v>1006</v>
      </c>
      <c r="I59" s="331">
        <v>554.59</v>
      </c>
      <c r="J59" s="389">
        <v>554.59</v>
      </c>
      <c r="K59" s="333">
        <f t="shared" si="0"/>
        <v>0</v>
      </c>
      <c r="L59" s="161"/>
    </row>
    <row r="60" spans="1:12">
      <c r="A60" s="334">
        <v>48</v>
      </c>
      <c r="B60" s="354">
        <v>2246</v>
      </c>
      <c r="C60" s="328" t="s">
        <v>769</v>
      </c>
      <c r="D60" s="338" t="s">
        <v>817</v>
      </c>
      <c r="E60" s="329" t="s">
        <v>852</v>
      </c>
      <c r="F60" s="330"/>
      <c r="G60" s="331">
        <v>648.83000000000004</v>
      </c>
      <c r="H60" s="332" t="s">
        <v>1006</v>
      </c>
      <c r="I60" s="331">
        <v>648.83000000000004</v>
      </c>
      <c r="J60" s="389">
        <v>648.83000000000004</v>
      </c>
      <c r="K60" s="333">
        <f t="shared" si="0"/>
        <v>0</v>
      </c>
      <c r="L60" s="188"/>
    </row>
    <row r="61" spans="1:12">
      <c r="A61" s="334">
        <v>49</v>
      </c>
      <c r="B61" s="354">
        <v>2018</v>
      </c>
      <c r="C61" s="328" t="s">
        <v>770</v>
      </c>
      <c r="D61" s="328" t="s">
        <v>818</v>
      </c>
      <c r="E61" s="329" t="s">
        <v>852</v>
      </c>
      <c r="F61" s="330"/>
      <c r="G61" s="331">
        <v>1624.77</v>
      </c>
      <c r="H61" s="332" t="s">
        <v>1006</v>
      </c>
      <c r="I61" s="331">
        <v>1624.77</v>
      </c>
      <c r="J61" s="389">
        <v>1624.77</v>
      </c>
      <c r="K61" s="333">
        <f t="shared" si="0"/>
        <v>0</v>
      </c>
      <c r="L61" s="161"/>
    </row>
    <row r="62" spans="1:12">
      <c r="A62" s="334"/>
      <c r="B62" s="354"/>
      <c r="C62" s="328" t="s">
        <v>1070</v>
      </c>
      <c r="D62" s="328" t="s">
        <v>1071</v>
      </c>
      <c r="E62" s="329" t="s">
        <v>852</v>
      </c>
      <c r="F62" s="330"/>
      <c r="G62" s="331"/>
      <c r="H62" s="332"/>
      <c r="I62" s="331"/>
      <c r="J62" s="389"/>
      <c r="K62" s="333"/>
      <c r="L62" s="329" t="s">
        <v>1072</v>
      </c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1379.98</v>
      </c>
      <c r="H63" s="332" t="s">
        <v>1006</v>
      </c>
      <c r="I63" s="331">
        <v>1379.98</v>
      </c>
      <c r="J63" s="333">
        <v>1379.98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661.83</v>
      </c>
      <c r="H64" s="332" t="s">
        <v>1006</v>
      </c>
      <c r="I64" s="331">
        <v>661.83</v>
      </c>
      <c r="J64" s="389">
        <v>661.83</v>
      </c>
      <c r="K64" s="333">
        <f t="shared" si="0"/>
        <v>0</v>
      </c>
      <c r="L64" s="329"/>
    </row>
    <row r="65" spans="1:16">
      <c r="A65" s="334"/>
      <c r="B65" s="354">
        <v>2288</v>
      </c>
      <c r="C65" s="328" t="s">
        <v>772</v>
      </c>
      <c r="D65" s="338" t="s">
        <v>820</v>
      </c>
      <c r="E65" s="329" t="s">
        <v>852</v>
      </c>
      <c r="F65" s="330"/>
      <c r="G65" s="331">
        <v>588.71</v>
      </c>
      <c r="H65" s="332"/>
      <c r="I65" s="331">
        <v>588.71</v>
      </c>
      <c r="J65" s="389">
        <v>588.71</v>
      </c>
      <c r="K65" s="333">
        <f t="shared" si="0"/>
        <v>0</v>
      </c>
      <c r="L65" s="329">
        <v>22</v>
      </c>
    </row>
    <row r="66" spans="1:16">
      <c r="A66" s="334">
        <v>52</v>
      </c>
      <c r="B66" s="354">
        <v>2060</v>
      </c>
      <c r="C66" s="328" t="s">
        <v>487</v>
      </c>
      <c r="D66" s="328" t="s">
        <v>516</v>
      </c>
      <c r="E66" s="329" t="s">
        <v>852</v>
      </c>
      <c r="F66" s="330"/>
      <c r="G66" s="331">
        <v>1057.19</v>
      </c>
      <c r="H66" s="332" t="s">
        <v>1006</v>
      </c>
      <c r="I66" s="331">
        <v>1057.19</v>
      </c>
      <c r="J66" s="389">
        <v>1057.19</v>
      </c>
      <c r="K66" s="333">
        <f t="shared" si="0"/>
        <v>0</v>
      </c>
      <c r="L66" s="329"/>
    </row>
    <row r="67" spans="1:16">
      <c r="A67" s="334">
        <v>54</v>
      </c>
      <c r="B67" s="354">
        <v>1050</v>
      </c>
      <c r="C67" s="328" t="s">
        <v>773</v>
      </c>
      <c r="D67" s="328" t="s">
        <v>821</v>
      </c>
      <c r="E67" s="329" t="s">
        <v>852</v>
      </c>
      <c r="F67" s="330"/>
      <c r="G67" s="331">
        <v>1624.77</v>
      </c>
      <c r="H67" s="332" t="s">
        <v>1006</v>
      </c>
      <c r="I67" s="331">
        <v>1624.77</v>
      </c>
      <c r="J67" s="389">
        <v>1624.77</v>
      </c>
      <c r="K67" s="333">
        <f t="shared" si="0"/>
        <v>0</v>
      </c>
      <c r="L67" s="329"/>
    </row>
    <row r="68" spans="1:16">
      <c r="A68" s="334">
        <v>55</v>
      </c>
      <c r="B68" s="354">
        <v>1964</v>
      </c>
      <c r="C68" s="328" t="s">
        <v>491</v>
      </c>
      <c r="D68" s="328" t="s">
        <v>456</v>
      </c>
      <c r="E68" s="329" t="s">
        <v>852</v>
      </c>
      <c r="F68" s="330"/>
      <c r="G68" s="331">
        <v>846.51</v>
      </c>
      <c r="H68" s="332" t="s">
        <v>1006</v>
      </c>
      <c r="I68" s="331">
        <v>846.51</v>
      </c>
      <c r="J68" s="389">
        <v>846.51</v>
      </c>
      <c r="K68" s="333">
        <f t="shared" si="0"/>
        <v>0</v>
      </c>
      <c r="L68" s="329"/>
    </row>
    <row r="69" spans="1:16">
      <c r="A69" s="334">
        <v>57</v>
      </c>
      <c r="B69" s="354">
        <v>1981</v>
      </c>
      <c r="C69" s="328" t="s">
        <v>774</v>
      </c>
      <c r="D69" s="338" t="s">
        <v>822</v>
      </c>
      <c r="E69" s="329" t="s">
        <v>852</v>
      </c>
      <c r="F69" s="330"/>
      <c r="G69" s="331">
        <v>683.49</v>
      </c>
      <c r="H69" s="332" t="s">
        <v>1006</v>
      </c>
      <c r="I69" s="331">
        <v>683.49</v>
      </c>
      <c r="J69" s="389">
        <v>683.49</v>
      </c>
      <c r="K69" s="333">
        <f t="shared" si="0"/>
        <v>0</v>
      </c>
      <c r="L69" s="329"/>
    </row>
    <row r="70" spans="1:16">
      <c r="A70" s="334">
        <v>56</v>
      </c>
      <c r="B70" s="354">
        <v>1662</v>
      </c>
      <c r="C70" s="328" t="s">
        <v>774</v>
      </c>
      <c r="D70" s="328" t="s">
        <v>823</v>
      </c>
      <c r="E70" s="329" t="s">
        <v>852</v>
      </c>
      <c r="F70" s="330"/>
      <c r="G70" s="331">
        <v>885.51</v>
      </c>
      <c r="H70" s="332" t="s">
        <v>1006</v>
      </c>
      <c r="I70" s="331">
        <v>885.51</v>
      </c>
      <c r="J70" s="389">
        <v>885.51</v>
      </c>
      <c r="K70" s="333">
        <f t="shared" ref="K70:K77" si="1">I70-J70</f>
        <v>0</v>
      </c>
      <c r="L70" s="329"/>
    </row>
    <row r="71" spans="1:16">
      <c r="A71" s="334"/>
      <c r="B71" s="354">
        <v>1708</v>
      </c>
      <c r="C71" s="328" t="s">
        <v>775</v>
      </c>
      <c r="D71" s="328" t="s">
        <v>791</v>
      </c>
      <c r="E71" s="329" t="s">
        <v>852</v>
      </c>
      <c r="F71" s="330"/>
      <c r="G71" s="331">
        <v>1624.77</v>
      </c>
      <c r="H71" s="332" t="s">
        <v>1006</v>
      </c>
      <c r="I71" s="331">
        <v>1624.77</v>
      </c>
      <c r="J71" s="389">
        <v>1624.77</v>
      </c>
      <c r="K71" s="333">
        <f t="shared" si="1"/>
        <v>0</v>
      </c>
      <c r="L71" s="329"/>
    </row>
    <row r="72" spans="1:16">
      <c r="A72" s="334">
        <v>58</v>
      </c>
      <c r="B72" s="354">
        <v>1630</v>
      </c>
      <c r="C72" s="328" t="s">
        <v>775</v>
      </c>
      <c r="D72" s="338" t="s">
        <v>824</v>
      </c>
      <c r="E72" s="329" t="s">
        <v>852</v>
      </c>
      <c r="F72" s="330"/>
      <c r="G72" s="331">
        <v>1207.76</v>
      </c>
      <c r="H72" s="332" t="s">
        <v>1006</v>
      </c>
      <c r="I72" s="331">
        <v>1207.76</v>
      </c>
      <c r="J72" s="389">
        <v>1207.76</v>
      </c>
      <c r="K72" s="333">
        <f t="shared" si="1"/>
        <v>0</v>
      </c>
      <c r="L72" s="329"/>
    </row>
    <row r="73" spans="1:16">
      <c r="A73" s="334">
        <v>61</v>
      </c>
      <c r="B73" s="354">
        <v>2010</v>
      </c>
      <c r="C73" s="328" t="s">
        <v>777</v>
      </c>
      <c r="D73" s="328" t="s">
        <v>826</v>
      </c>
      <c r="E73" s="329" t="s">
        <v>852</v>
      </c>
      <c r="F73" s="330"/>
      <c r="G73" s="331">
        <v>1010.07</v>
      </c>
      <c r="H73" s="332" t="s">
        <v>1006</v>
      </c>
      <c r="I73" s="331">
        <v>1010.07</v>
      </c>
      <c r="J73" s="389">
        <v>1010.07</v>
      </c>
      <c r="K73" s="333">
        <f t="shared" si="1"/>
        <v>0</v>
      </c>
      <c r="L73" s="329"/>
    </row>
    <row r="74" spans="1:16">
      <c r="A74" s="334">
        <v>60</v>
      </c>
      <c r="B74" s="354">
        <v>2187</v>
      </c>
      <c r="C74" s="328" t="s">
        <v>777</v>
      </c>
      <c r="D74" s="328" t="s">
        <v>827</v>
      </c>
      <c r="E74" s="329" t="s">
        <v>853</v>
      </c>
      <c r="F74" s="330">
        <v>2</v>
      </c>
      <c r="G74" s="331">
        <v>1889.46</v>
      </c>
      <c r="H74" s="332" t="s">
        <v>1006</v>
      </c>
      <c r="I74" s="391">
        <v>1889.46</v>
      </c>
      <c r="J74" s="389">
        <v>1889.46</v>
      </c>
      <c r="K74" s="333">
        <f t="shared" si="1"/>
        <v>0</v>
      </c>
      <c r="L74" s="329"/>
    </row>
    <row r="75" spans="1:16">
      <c r="A75" s="334">
        <v>62</v>
      </c>
      <c r="B75" s="354">
        <v>2095</v>
      </c>
      <c r="C75" s="328" t="s">
        <v>778</v>
      </c>
      <c r="D75" s="338" t="s">
        <v>828</v>
      </c>
      <c r="E75" s="329" t="s">
        <v>852</v>
      </c>
      <c r="F75" s="330"/>
      <c r="G75" s="331">
        <v>648.83000000000004</v>
      </c>
      <c r="H75" s="332" t="s">
        <v>1006</v>
      </c>
      <c r="I75" s="331">
        <v>648.83000000000004</v>
      </c>
      <c r="J75" s="389">
        <v>648.83000000000004</v>
      </c>
      <c r="K75" s="333">
        <f t="shared" si="1"/>
        <v>0</v>
      </c>
      <c r="L75" s="329"/>
    </row>
    <row r="76" spans="1:16">
      <c r="A76" s="334">
        <v>63</v>
      </c>
      <c r="B76" s="354">
        <v>2064</v>
      </c>
      <c r="C76" s="328" t="s">
        <v>778</v>
      </c>
      <c r="D76" s="338" t="s">
        <v>829</v>
      </c>
      <c r="E76" s="341" t="s">
        <v>856</v>
      </c>
      <c r="F76" s="330">
        <v>2</v>
      </c>
      <c r="G76" s="331">
        <v>1682.01</v>
      </c>
      <c r="H76" s="332">
        <v>584.94000000000005</v>
      </c>
      <c r="I76" s="332">
        <f>SUM(G76:H76)</f>
        <v>2266.9499999999998</v>
      </c>
      <c r="J76" s="333">
        <v>2266.9499999999998</v>
      </c>
      <c r="K76" s="333">
        <f t="shared" si="1"/>
        <v>0</v>
      </c>
      <c r="L76" s="329"/>
    </row>
    <row r="77" spans="1:16">
      <c r="A77" s="334"/>
      <c r="B77" s="354">
        <v>2089</v>
      </c>
      <c r="C77" s="328" t="s">
        <v>870</v>
      </c>
      <c r="D77" s="338" t="s">
        <v>1007</v>
      </c>
      <c r="E77" s="329" t="s">
        <v>852</v>
      </c>
      <c r="F77" s="330"/>
      <c r="G77" s="331">
        <v>648.83000000000004</v>
      </c>
      <c r="H77" s="332" t="s">
        <v>1006</v>
      </c>
      <c r="I77" s="331">
        <v>648.83000000000004</v>
      </c>
      <c r="J77" s="389">
        <v>648.83000000000004</v>
      </c>
      <c r="K77" s="333">
        <f t="shared" si="1"/>
        <v>0</v>
      </c>
      <c r="L77" s="329"/>
    </row>
    <row r="78" spans="1:16">
      <c r="A78" s="296"/>
      <c r="B78" s="66"/>
      <c r="C78" s="29"/>
      <c r="D78" s="29"/>
      <c r="E78" s="342"/>
      <c r="F78" s="343"/>
      <c r="G78" s="344"/>
      <c r="H78" s="345">
        <f>SUM(H5:H77)</f>
        <v>2577.04</v>
      </c>
      <c r="I78" s="344"/>
      <c r="J78" s="346"/>
      <c r="K78" s="346"/>
      <c r="L78" s="385"/>
      <c r="M78" s="216"/>
      <c r="O78" s="15"/>
      <c r="P78" s="15"/>
    </row>
    <row r="79" spans="1:16">
      <c r="A79" s="296"/>
      <c r="E79" s="342"/>
      <c r="F79" s="343"/>
      <c r="G79" s="344"/>
      <c r="H79" s="344"/>
      <c r="I79" s="344"/>
      <c r="J79" s="346"/>
      <c r="K79" s="346"/>
      <c r="L79" s="385"/>
      <c r="M79" s="216"/>
      <c r="O79" s="15"/>
      <c r="P79" s="15"/>
    </row>
    <row r="80" spans="1:16">
      <c r="A80" s="438" t="s">
        <v>652</v>
      </c>
      <c r="B80" s="439"/>
      <c r="C80" s="439"/>
      <c r="D80" s="439"/>
      <c r="E80" s="439"/>
      <c r="F80" s="439"/>
      <c r="G80" s="440"/>
      <c r="H80" s="347"/>
      <c r="I80" s="348">
        <f>SUM(I5:I77)</f>
        <v>83297.850000000006</v>
      </c>
      <c r="J80" s="383">
        <f>SUM(J5:J77)</f>
        <v>83297.83</v>
      </c>
      <c r="K80" s="383"/>
      <c r="L80" s="386"/>
    </row>
    <row r="81" spans="1:20">
      <c r="A81" s="441" t="s">
        <v>1028</v>
      </c>
      <c r="B81" s="442"/>
      <c r="C81" s="443"/>
      <c r="D81" s="351"/>
      <c r="E81" s="352" t="s">
        <v>258</v>
      </c>
      <c r="F81" s="334">
        <v>73</v>
      </c>
      <c r="G81" s="329" t="s">
        <v>1029</v>
      </c>
      <c r="H81" s="351"/>
      <c r="I81" s="352" t="s">
        <v>258</v>
      </c>
      <c r="J81" s="343">
        <v>74</v>
      </c>
      <c r="K81" s="343"/>
      <c r="L81" s="161"/>
    </row>
    <row r="82" spans="1:20">
      <c r="A82" s="353"/>
      <c r="B82" s="352"/>
      <c r="C82" s="351"/>
      <c r="D82" s="351"/>
      <c r="E82" s="351" t="s">
        <v>930</v>
      </c>
      <c r="F82" s="330">
        <v>4</v>
      </c>
      <c r="G82" s="329"/>
      <c r="H82" s="351"/>
      <c r="I82" s="351" t="s">
        <v>930</v>
      </c>
      <c r="J82" s="343">
        <v>4</v>
      </c>
      <c r="K82" s="343"/>
      <c r="L82" s="161"/>
    </row>
    <row r="83" spans="1:20">
      <c r="A83" s="441"/>
      <c r="B83" s="442"/>
      <c r="C83" s="443"/>
      <c r="D83" s="351"/>
      <c r="E83" s="352" t="s">
        <v>931</v>
      </c>
      <c r="F83" s="355">
        <v>26</v>
      </c>
      <c r="G83" s="329"/>
      <c r="H83" s="351"/>
      <c r="I83" s="352" t="s">
        <v>931</v>
      </c>
      <c r="J83" s="343">
        <v>26</v>
      </c>
      <c r="K83" s="343"/>
      <c r="L83" s="161"/>
    </row>
    <row r="84" spans="1:20">
      <c r="A84" s="444"/>
      <c r="B84" s="445"/>
      <c r="C84" s="446"/>
      <c r="D84" s="356"/>
      <c r="E84" s="357" t="s">
        <v>246</v>
      </c>
      <c r="F84" s="358">
        <v>103</v>
      </c>
      <c r="G84" s="329"/>
      <c r="H84" s="393"/>
      <c r="I84" s="394" t="s">
        <v>246</v>
      </c>
      <c r="J84" s="395">
        <v>104</v>
      </c>
      <c r="K84" s="395"/>
      <c r="L84" s="161"/>
    </row>
    <row r="85" spans="1:20">
      <c r="A85" s="447" t="s">
        <v>830</v>
      </c>
      <c r="B85" s="448"/>
      <c r="C85" s="448"/>
      <c r="D85" s="448"/>
      <c r="E85" s="448"/>
      <c r="F85" s="448"/>
      <c r="G85" s="448"/>
      <c r="H85" s="381"/>
      <c r="I85" s="381"/>
      <c r="J85" s="396"/>
      <c r="K85" s="396"/>
      <c r="L85" s="392"/>
      <c r="N85" s="15"/>
    </row>
    <row r="86" spans="1:20">
      <c r="A86" s="334"/>
      <c r="B86" s="354">
        <v>2203</v>
      </c>
      <c r="C86" s="328" t="s">
        <v>763</v>
      </c>
      <c r="D86" s="328" t="s">
        <v>811</v>
      </c>
      <c r="E86" s="329" t="s">
        <v>852</v>
      </c>
      <c r="F86" s="330"/>
      <c r="G86" s="331">
        <v>-666.16</v>
      </c>
      <c r="H86" s="332" t="s">
        <v>1006</v>
      </c>
      <c r="I86" s="331">
        <v>-666.16</v>
      </c>
      <c r="J86" s="389">
        <v>-666.16</v>
      </c>
      <c r="K86" s="333"/>
      <c r="L86" s="196" t="s">
        <v>1069</v>
      </c>
      <c r="M86" s="362"/>
      <c r="N86" s="363"/>
      <c r="O86" s="362"/>
      <c r="P86" s="362"/>
      <c r="Q86" s="362"/>
      <c r="R86" s="362"/>
      <c r="S86" s="362"/>
      <c r="T86" s="362"/>
    </row>
    <row r="87" spans="1:20">
      <c r="A87" s="334"/>
      <c r="B87" s="354"/>
      <c r="C87" s="328"/>
      <c r="D87" s="328"/>
      <c r="E87" s="329"/>
      <c r="F87" s="330"/>
      <c r="G87" s="331"/>
      <c r="H87" s="332"/>
      <c r="I87" s="331"/>
      <c r="J87" s="389"/>
      <c r="K87" s="333"/>
      <c r="L87" s="196"/>
      <c r="M87" s="362"/>
      <c r="N87" s="363"/>
      <c r="O87" s="362"/>
      <c r="P87" s="362"/>
      <c r="Q87" s="362"/>
      <c r="R87" s="362"/>
      <c r="S87" s="362"/>
      <c r="T87" s="362"/>
    </row>
    <row r="88" spans="1:20">
      <c r="A88" s="334"/>
      <c r="B88" s="354"/>
      <c r="C88" s="328"/>
      <c r="D88" s="328"/>
      <c r="E88" s="329"/>
      <c r="F88" s="330"/>
      <c r="G88" s="331"/>
      <c r="H88" s="332"/>
      <c r="I88" s="331"/>
      <c r="J88" s="389"/>
      <c r="K88" s="333"/>
      <c r="L88" s="196"/>
      <c r="M88" s="362"/>
      <c r="N88" s="363"/>
      <c r="O88" s="362"/>
      <c r="P88" s="362"/>
      <c r="Q88" s="362"/>
      <c r="R88" s="362"/>
      <c r="S88" s="362"/>
      <c r="T88" s="362"/>
    </row>
    <row r="89" spans="1:20">
      <c r="A89" s="334"/>
      <c r="B89" s="354"/>
      <c r="C89" s="328"/>
      <c r="D89" s="338"/>
      <c r="E89" s="329"/>
      <c r="F89" s="330"/>
      <c r="G89" s="331"/>
      <c r="H89" s="332"/>
      <c r="I89" s="332"/>
      <c r="J89" s="333"/>
      <c r="K89" s="333"/>
      <c r="L89" s="380"/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/>
      <c r="C90" s="328"/>
      <c r="D90" s="338"/>
      <c r="E90" s="329"/>
      <c r="F90" s="330"/>
      <c r="G90" s="331"/>
      <c r="H90" s="332"/>
      <c r="I90" s="332"/>
      <c r="J90" s="333"/>
      <c r="K90" s="333"/>
      <c r="L90" s="380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38"/>
      <c r="E91" s="329"/>
      <c r="F91" s="330"/>
      <c r="G91" s="331"/>
      <c r="H91" s="332"/>
      <c r="I91" s="331"/>
      <c r="J91" s="389"/>
      <c r="K91" s="333"/>
      <c r="L91" s="196"/>
      <c r="N91" s="15"/>
    </row>
    <row r="92" spans="1:20">
      <c r="A92" s="334"/>
      <c r="B92" s="354"/>
      <c r="C92" s="328"/>
      <c r="D92" s="338"/>
      <c r="E92" s="329"/>
      <c r="F92" s="330"/>
      <c r="G92" s="331"/>
      <c r="H92" s="332"/>
      <c r="I92" s="331"/>
      <c r="J92" s="389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38"/>
      <c r="E93" s="329"/>
      <c r="F93" s="330"/>
      <c r="G93" s="331"/>
      <c r="H93" s="332"/>
      <c r="I93" s="332"/>
      <c r="J93" s="333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38"/>
      <c r="E94" s="329"/>
      <c r="F94" s="330"/>
      <c r="G94" s="331"/>
      <c r="H94" s="332"/>
      <c r="I94" s="332"/>
      <c r="J94" s="333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38"/>
      <c r="E95" s="329"/>
      <c r="F95" s="330"/>
      <c r="G95" s="331"/>
      <c r="H95" s="332"/>
      <c r="I95" s="332"/>
      <c r="J95" s="333"/>
      <c r="K95" s="333"/>
      <c r="L95" s="161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29"/>
      <c r="F96" s="330"/>
      <c r="G96" s="331"/>
      <c r="H96" s="332"/>
      <c r="I96" s="332"/>
      <c r="J96" s="333"/>
      <c r="K96" s="333"/>
      <c r="L96" s="161"/>
      <c r="N96" s="15"/>
    </row>
    <row r="97" spans="1:20">
      <c r="A97" s="438" t="s">
        <v>846</v>
      </c>
      <c r="B97" s="439"/>
      <c r="C97" s="439"/>
      <c r="D97" s="439"/>
      <c r="E97" s="439"/>
      <c r="F97" s="439"/>
      <c r="G97" s="440"/>
      <c r="H97" s="348">
        <f>SUM(H86:H94)</f>
        <v>0</v>
      </c>
      <c r="I97" s="347"/>
      <c r="J97" s="348">
        <f>SUM(J86:J96)</f>
        <v>-666.16</v>
      </c>
      <c r="K97" s="406"/>
      <c r="L97" s="402"/>
    </row>
    <row r="98" spans="1:20">
      <c r="A98" s="365"/>
      <c r="B98" s="366"/>
      <c r="C98" s="366"/>
      <c r="D98" s="366"/>
      <c r="E98" s="366"/>
      <c r="F98" s="367"/>
      <c r="G98" s="368"/>
      <c r="H98" s="368"/>
      <c r="I98" s="368"/>
      <c r="J98" s="349"/>
      <c r="K98" s="383"/>
      <c r="L98" s="364"/>
    </row>
    <row r="99" spans="1:20" ht="16">
      <c r="A99" s="435" t="s">
        <v>881</v>
      </c>
      <c r="B99" s="436"/>
      <c r="C99" s="436"/>
      <c r="D99" s="436"/>
      <c r="E99" s="436"/>
      <c r="F99" s="436"/>
      <c r="G99" s="437"/>
      <c r="H99" s="369"/>
      <c r="I99" s="369"/>
      <c r="J99" s="370">
        <f>SUM(J80,J97)</f>
        <v>82631.67</v>
      </c>
      <c r="K99" s="407"/>
      <c r="L99" s="350"/>
    </row>
    <row r="100" spans="1:20" ht="18">
      <c r="F100" s="3"/>
      <c r="G100" s="371" t="s">
        <v>1013</v>
      </c>
      <c r="H100" s="372">
        <v>45404</v>
      </c>
    </row>
    <row r="101" spans="1:20" ht="18">
      <c r="F101" s="3"/>
      <c r="G101" s="371" t="s">
        <v>1014</v>
      </c>
      <c r="H101" s="373" t="s">
        <v>990</v>
      </c>
      <c r="I101" s="373"/>
    </row>
    <row r="102" spans="1:20">
      <c r="F102" s="3"/>
      <c r="G102" s="216"/>
      <c r="H102" s="216"/>
      <c r="I102" s="216"/>
      <c r="J102" s="3"/>
      <c r="K102" s="3"/>
      <c r="L102" s="15"/>
      <c r="M102" s="216"/>
    </row>
    <row r="103" spans="1:20">
      <c r="F103" s="3"/>
      <c r="G103" s="216"/>
      <c r="H103" s="269"/>
      <c r="I103" s="216"/>
      <c r="J103" s="270"/>
      <c r="K103" s="270"/>
      <c r="L103" s="15"/>
      <c r="M103" s="216"/>
    </row>
    <row r="104" spans="1:20">
      <c r="F104" s="3"/>
      <c r="G104" s="216"/>
      <c r="H104" s="269"/>
      <c r="I104" s="216"/>
      <c r="J104" s="270"/>
      <c r="K104" s="270"/>
      <c r="L104" s="15"/>
      <c r="M104" s="216"/>
    </row>
    <row r="105" spans="1:20">
      <c r="F105" s="3"/>
      <c r="G105" s="216"/>
      <c r="H105" s="388">
        <f>SUM(H78,H97)</f>
        <v>2577.04</v>
      </c>
      <c r="I105" s="269">
        <f>J99-H105</f>
        <v>80054.63</v>
      </c>
      <c r="J105" s="3"/>
      <c r="K105" s="3"/>
      <c r="L105" s="15"/>
      <c r="M105" s="216"/>
    </row>
    <row r="106" spans="1:20">
      <c r="F106" s="3"/>
      <c r="G106" s="216"/>
      <c r="H106" s="216"/>
      <c r="I106" s="216"/>
      <c r="J106" s="3"/>
      <c r="K106" s="3"/>
      <c r="L106" s="15"/>
      <c r="M106" s="216"/>
      <c r="Q106" s="3"/>
      <c r="R106" s="3"/>
      <c r="S106" s="3"/>
      <c r="T106" s="3"/>
    </row>
  </sheetData>
  <mergeCells count="7">
    <mergeCell ref="A99:G99"/>
    <mergeCell ref="A80:G80"/>
    <mergeCell ref="A81:C81"/>
    <mergeCell ref="A83:C83"/>
    <mergeCell ref="A84:C84"/>
    <mergeCell ref="A85:G85"/>
    <mergeCell ref="A97:G97"/>
  </mergeCells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27AD-98DC-094A-963A-6211262BF599}">
  <dimension ref="A1:T109"/>
  <sheetViews>
    <sheetView zoomScale="140" zoomScaleNormal="140" workbookViewId="0">
      <selection sqref="A1:XFD1048576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45413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68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>
        <v>6</v>
      </c>
      <c r="B11" s="354">
        <v>1593</v>
      </c>
      <c r="C11" s="328" t="s">
        <v>460</v>
      </c>
      <c r="D11" s="328" t="s">
        <v>426</v>
      </c>
      <c r="E11" s="329" t="s">
        <v>852</v>
      </c>
      <c r="F11" s="330"/>
      <c r="G11" s="331">
        <v>1469.89</v>
      </c>
      <c r="H11" s="332" t="s">
        <v>1006</v>
      </c>
      <c r="I11" s="331">
        <v>1469.89</v>
      </c>
      <c r="J11" s="389">
        <v>1469.89</v>
      </c>
      <c r="K11" s="333">
        <f t="shared" si="0"/>
        <v>0</v>
      </c>
      <c r="L11" s="329"/>
    </row>
    <row r="12" spans="1:20">
      <c r="A12" s="334">
        <v>8</v>
      </c>
      <c r="B12" s="354">
        <v>2131</v>
      </c>
      <c r="C12" s="328" t="s">
        <v>745</v>
      </c>
      <c r="D12" s="338" t="s">
        <v>784</v>
      </c>
      <c r="E12" s="329" t="s">
        <v>852</v>
      </c>
      <c r="F12" s="330"/>
      <c r="G12" s="331">
        <v>648.83000000000004</v>
      </c>
      <c r="H12" s="332" t="s">
        <v>1006</v>
      </c>
      <c r="I12" s="331">
        <v>648.83000000000004</v>
      </c>
      <c r="J12" s="389">
        <v>648.83000000000004</v>
      </c>
      <c r="K12" s="333">
        <f t="shared" si="0"/>
        <v>0</v>
      </c>
      <c r="L12" s="329"/>
      <c r="P12" s="1"/>
      <c r="Q12" s="1"/>
      <c r="R12" s="1"/>
      <c r="S12" s="1"/>
      <c r="T12" s="1"/>
    </row>
    <row r="13" spans="1:20">
      <c r="A13" s="334">
        <v>7</v>
      </c>
      <c r="B13" s="354">
        <v>1751</v>
      </c>
      <c r="C13" s="328" t="s">
        <v>745</v>
      </c>
      <c r="D13" s="339" t="s">
        <v>838</v>
      </c>
      <c r="E13" s="329" t="s">
        <v>852</v>
      </c>
      <c r="F13" s="330"/>
      <c r="G13" s="331">
        <v>885.51</v>
      </c>
      <c r="H13" s="332" t="s">
        <v>1006</v>
      </c>
      <c r="I13" s="331">
        <v>885.51</v>
      </c>
      <c r="J13" s="389">
        <v>885.51</v>
      </c>
      <c r="K13" s="333">
        <f t="shared" si="0"/>
        <v>0</v>
      </c>
      <c r="L13" s="329"/>
    </row>
    <row r="14" spans="1:20">
      <c r="A14" s="334">
        <v>9</v>
      </c>
      <c r="B14" s="354">
        <v>2023</v>
      </c>
      <c r="C14" s="328" t="s">
        <v>745</v>
      </c>
      <c r="D14" s="339" t="s">
        <v>783</v>
      </c>
      <c r="E14" s="329" t="s">
        <v>852</v>
      </c>
      <c r="F14" s="330"/>
      <c r="G14" s="331">
        <v>683.49</v>
      </c>
      <c r="H14" s="332" t="s">
        <v>1006</v>
      </c>
      <c r="I14" s="331">
        <v>683.49</v>
      </c>
      <c r="J14" s="389">
        <v>683.49</v>
      </c>
      <c r="K14" s="333">
        <f t="shared" si="0"/>
        <v>0</v>
      </c>
      <c r="L14" s="328"/>
      <c r="P14" s="1"/>
      <c r="Q14" s="1"/>
      <c r="R14" s="1"/>
      <c r="S14" s="1"/>
      <c r="T14" s="1"/>
    </row>
    <row r="15" spans="1:20">
      <c r="A15" s="334"/>
      <c r="B15" s="374">
        <v>2302</v>
      </c>
      <c r="C15" s="336" t="s">
        <v>806</v>
      </c>
      <c r="D15" s="339" t="s">
        <v>952</v>
      </c>
      <c r="E15" s="329" t="s">
        <v>852</v>
      </c>
      <c r="F15" s="330"/>
      <c r="G15" s="331">
        <v>666.16</v>
      </c>
      <c r="H15" s="332" t="s">
        <v>1006</v>
      </c>
      <c r="I15" s="331">
        <v>666.16</v>
      </c>
      <c r="J15" s="389">
        <v>666.16</v>
      </c>
      <c r="K15" s="333">
        <f t="shared" si="0"/>
        <v>0</v>
      </c>
      <c r="L15" s="340"/>
      <c r="P15" s="1"/>
      <c r="Q15" s="1"/>
      <c r="R15" s="1"/>
      <c r="S15" s="1"/>
      <c r="T15" s="1"/>
    </row>
    <row r="16" spans="1:20">
      <c r="A16" s="334">
        <v>10</v>
      </c>
      <c r="B16" s="375">
        <v>2254</v>
      </c>
      <c r="C16" s="328" t="s">
        <v>840</v>
      </c>
      <c r="D16" s="328" t="s">
        <v>841</v>
      </c>
      <c r="E16" s="341" t="s">
        <v>855</v>
      </c>
      <c r="F16" s="330">
        <v>1</v>
      </c>
      <c r="G16" s="331">
        <v>1262.08</v>
      </c>
      <c r="H16" s="332">
        <v>542.16</v>
      </c>
      <c r="I16" s="332">
        <v>1804.24</v>
      </c>
      <c r="J16" s="333">
        <v>1804.24</v>
      </c>
      <c r="K16" s="333">
        <f t="shared" si="0"/>
        <v>0</v>
      </c>
      <c r="L16" s="329"/>
    </row>
    <row r="17" spans="1:20">
      <c r="A17" s="334"/>
      <c r="B17" s="354">
        <v>2318</v>
      </c>
      <c r="C17" s="328" t="s">
        <v>1018</v>
      </c>
      <c r="D17" s="328" t="s">
        <v>1019</v>
      </c>
      <c r="E17" s="382" t="s">
        <v>851</v>
      </c>
      <c r="F17" s="330"/>
      <c r="G17" s="331">
        <v>790.72</v>
      </c>
      <c r="H17" s="332">
        <v>507.5</v>
      </c>
      <c r="I17" s="332">
        <f>SUM(G17:H17)</f>
        <v>1298.22</v>
      </c>
      <c r="J17" s="333">
        <v>1298.21</v>
      </c>
      <c r="K17" s="333">
        <f t="shared" si="0"/>
        <v>9.9999999999909051E-3</v>
      </c>
      <c r="L17" s="161"/>
    </row>
    <row r="18" spans="1:20">
      <c r="A18" s="334">
        <v>11</v>
      </c>
      <c r="B18" s="354">
        <v>1721</v>
      </c>
      <c r="C18" s="328" t="s">
        <v>746</v>
      </c>
      <c r="D18" s="328" t="s">
        <v>785</v>
      </c>
      <c r="E18" s="329" t="s">
        <v>854</v>
      </c>
      <c r="F18" s="330">
        <v>1</v>
      </c>
      <c r="G18" s="331">
        <v>2065.64</v>
      </c>
      <c r="H18" s="332" t="s">
        <v>1006</v>
      </c>
      <c r="I18" s="331">
        <v>2065.64</v>
      </c>
      <c r="J18" s="389">
        <v>2065.64</v>
      </c>
      <c r="K18" s="333">
        <f t="shared" si="0"/>
        <v>0</v>
      </c>
      <c r="L18" s="161"/>
    </row>
    <row r="19" spans="1:20">
      <c r="A19" s="334">
        <v>12</v>
      </c>
      <c r="B19" s="354">
        <v>2123</v>
      </c>
      <c r="C19" s="328" t="s">
        <v>746</v>
      </c>
      <c r="D19" s="328" t="s">
        <v>786</v>
      </c>
      <c r="E19" s="329" t="s">
        <v>852</v>
      </c>
      <c r="F19" s="330"/>
      <c r="G19" s="331">
        <v>692.16</v>
      </c>
      <c r="H19" s="332" t="s">
        <v>1006</v>
      </c>
      <c r="I19" s="331">
        <v>692.16</v>
      </c>
      <c r="J19" s="389">
        <v>692.16</v>
      </c>
      <c r="K19" s="333">
        <f t="shared" si="0"/>
        <v>0</v>
      </c>
      <c r="L19" s="161"/>
    </row>
    <row r="20" spans="1:20">
      <c r="A20" s="334">
        <v>13</v>
      </c>
      <c r="B20" s="354">
        <v>1970</v>
      </c>
      <c r="C20" s="328" t="s">
        <v>747</v>
      </c>
      <c r="D20" s="338" t="s">
        <v>787</v>
      </c>
      <c r="E20" s="329" t="s">
        <v>854</v>
      </c>
      <c r="F20" s="330">
        <v>1</v>
      </c>
      <c r="G20" s="331">
        <v>1090.42</v>
      </c>
      <c r="H20" s="332" t="s">
        <v>1006</v>
      </c>
      <c r="I20" s="331">
        <v>1090.42</v>
      </c>
      <c r="J20" s="389">
        <v>1090.42</v>
      </c>
      <c r="K20" s="333">
        <f t="shared" si="0"/>
        <v>0</v>
      </c>
      <c r="L20" s="161"/>
    </row>
    <row r="21" spans="1:20">
      <c r="A21" s="334">
        <v>14</v>
      </c>
      <c r="B21" s="376" t="s">
        <v>934</v>
      </c>
      <c r="C21" s="328" t="s">
        <v>932</v>
      </c>
      <c r="D21" s="338" t="s">
        <v>933</v>
      </c>
      <c r="E21" s="329" t="s">
        <v>851</v>
      </c>
      <c r="F21" s="330"/>
      <c r="G21" s="331">
        <v>756.04</v>
      </c>
      <c r="H21" s="332">
        <v>417.6</v>
      </c>
      <c r="I21" s="332">
        <f>SUM(G21:H21)</f>
        <v>1173.6399999999999</v>
      </c>
      <c r="J21" s="333">
        <v>1173.6300000000001</v>
      </c>
      <c r="K21" s="333">
        <f t="shared" si="0"/>
        <v>9.9999999997635314E-3</v>
      </c>
      <c r="L21" s="188"/>
      <c r="M21" s="403" t="s">
        <v>1042</v>
      </c>
    </row>
    <row r="22" spans="1:20">
      <c r="A22" s="334">
        <v>15</v>
      </c>
      <c r="B22" s="354">
        <v>1794</v>
      </c>
      <c r="C22" s="328" t="s">
        <v>466</v>
      </c>
      <c r="D22" s="328" t="s">
        <v>431</v>
      </c>
      <c r="E22" s="329" t="s">
        <v>854</v>
      </c>
      <c r="F22" s="330">
        <v>1</v>
      </c>
      <c r="G22" s="331">
        <v>1551.66</v>
      </c>
      <c r="H22" s="332" t="s">
        <v>1006</v>
      </c>
      <c r="I22" s="331">
        <v>1551.66</v>
      </c>
      <c r="J22" s="389">
        <v>1551.66</v>
      </c>
      <c r="K22" s="333">
        <f t="shared" si="0"/>
        <v>0</v>
      </c>
      <c r="L22" s="161"/>
      <c r="P22" s="1"/>
      <c r="Q22" s="1"/>
      <c r="R22" s="1"/>
      <c r="S22" s="1"/>
      <c r="T22" s="1"/>
    </row>
    <row r="23" spans="1:20">
      <c r="A23" s="334">
        <v>16</v>
      </c>
      <c r="B23" s="354">
        <v>2201</v>
      </c>
      <c r="C23" s="328" t="s">
        <v>748</v>
      </c>
      <c r="D23" s="338" t="s">
        <v>788</v>
      </c>
      <c r="E23" s="329" t="s">
        <v>852</v>
      </c>
      <c r="F23" s="330"/>
      <c r="G23" s="331">
        <v>1263.54</v>
      </c>
      <c r="H23" s="332" t="s">
        <v>1006</v>
      </c>
      <c r="I23" s="331">
        <v>1263.54</v>
      </c>
      <c r="J23" s="389">
        <v>1263.54</v>
      </c>
      <c r="K23" s="333">
        <f t="shared" si="0"/>
        <v>0</v>
      </c>
      <c r="L23" s="161"/>
    </row>
    <row r="24" spans="1:20">
      <c r="A24" s="334">
        <v>17</v>
      </c>
      <c r="B24" s="354">
        <v>2194</v>
      </c>
      <c r="C24" s="328" t="s">
        <v>749</v>
      </c>
      <c r="D24" s="338" t="s">
        <v>789</v>
      </c>
      <c r="E24" s="329" t="s">
        <v>852</v>
      </c>
      <c r="F24" s="330"/>
      <c r="G24" s="331">
        <v>606.04</v>
      </c>
      <c r="H24" s="332" t="s">
        <v>1006</v>
      </c>
      <c r="I24" s="331">
        <v>606.04</v>
      </c>
      <c r="J24" s="389">
        <v>606.04</v>
      </c>
      <c r="K24" s="333">
        <f t="shared" si="0"/>
        <v>0</v>
      </c>
      <c r="L24" s="161"/>
    </row>
    <row r="25" spans="1:20">
      <c r="A25" s="334"/>
      <c r="B25" s="354">
        <v>1961</v>
      </c>
      <c r="C25" s="328" t="s">
        <v>967</v>
      </c>
      <c r="D25" s="338" t="s">
        <v>968</v>
      </c>
      <c r="E25" s="329" t="s">
        <v>852</v>
      </c>
      <c r="F25" s="330"/>
      <c r="G25" s="331">
        <v>1379.98</v>
      </c>
      <c r="H25" s="332" t="s">
        <v>1006</v>
      </c>
      <c r="I25" s="331">
        <v>1379.98</v>
      </c>
      <c r="J25" s="389">
        <v>1379.98</v>
      </c>
      <c r="K25" s="333">
        <f t="shared" si="0"/>
        <v>0</v>
      </c>
      <c r="L25" s="161"/>
    </row>
    <row r="26" spans="1:20">
      <c r="A26" s="334">
        <v>18</v>
      </c>
      <c r="B26" s="354">
        <v>2289</v>
      </c>
      <c r="C26" s="328" t="s">
        <v>750</v>
      </c>
      <c r="D26" s="338" t="s">
        <v>790</v>
      </c>
      <c r="E26" s="329" t="s">
        <v>852</v>
      </c>
      <c r="F26" s="330"/>
      <c r="G26" s="331">
        <v>683.49</v>
      </c>
      <c r="H26" s="332" t="s">
        <v>1006</v>
      </c>
      <c r="I26" s="331">
        <v>683.49</v>
      </c>
      <c r="J26" s="389">
        <v>683.49</v>
      </c>
      <c r="K26" s="333">
        <f t="shared" si="0"/>
        <v>0</v>
      </c>
      <c r="L26" s="161"/>
    </row>
    <row r="27" spans="1:20">
      <c r="A27" s="334"/>
      <c r="B27" s="354">
        <v>2322</v>
      </c>
      <c r="C27" s="328" t="s">
        <v>1023</v>
      </c>
      <c r="D27" s="338" t="s">
        <v>1024</v>
      </c>
      <c r="E27" s="329" t="s">
        <v>852</v>
      </c>
      <c r="F27" s="330"/>
      <c r="G27" s="331">
        <v>541.59</v>
      </c>
      <c r="H27" s="332">
        <v>0</v>
      </c>
      <c r="I27" s="332">
        <v>541.59</v>
      </c>
      <c r="J27" s="335">
        <v>541.59</v>
      </c>
      <c r="K27" s="333">
        <f t="shared" si="0"/>
        <v>0</v>
      </c>
      <c r="L27" s="161"/>
    </row>
    <row r="28" spans="1:20">
      <c r="A28" s="334">
        <v>20</v>
      </c>
      <c r="B28" s="354">
        <v>2250</v>
      </c>
      <c r="C28" s="328" t="s">
        <v>752</v>
      </c>
      <c r="D28" s="328" t="s">
        <v>792</v>
      </c>
      <c r="E28" s="329" t="s">
        <v>853</v>
      </c>
      <c r="F28" s="330">
        <v>2</v>
      </c>
      <c r="G28" s="331">
        <v>1549.34</v>
      </c>
      <c r="H28" s="332" t="s">
        <v>1006</v>
      </c>
      <c r="I28" s="331">
        <v>1549.34</v>
      </c>
      <c r="J28" s="389">
        <v>1549.34</v>
      </c>
      <c r="K28" s="333">
        <f t="shared" si="0"/>
        <v>0</v>
      </c>
      <c r="L28" s="161"/>
    </row>
    <row r="29" spans="1:20">
      <c r="A29" s="334">
        <v>21</v>
      </c>
      <c r="B29" s="354">
        <v>2193</v>
      </c>
      <c r="C29" s="328" t="s">
        <v>753</v>
      </c>
      <c r="D29" s="328" t="s">
        <v>794</v>
      </c>
      <c r="E29" s="329" t="s">
        <v>852</v>
      </c>
      <c r="F29" s="330"/>
      <c r="G29" s="331">
        <v>661.83</v>
      </c>
      <c r="H29" s="332" t="s">
        <v>1006</v>
      </c>
      <c r="I29" s="331">
        <v>661.83</v>
      </c>
      <c r="J29" s="389">
        <v>661.83</v>
      </c>
      <c r="K29" s="333">
        <f t="shared" si="0"/>
        <v>0</v>
      </c>
      <c r="L29" s="161"/>
    </row>
    <row r="30" spans="1:20">
      <c r="A30" s="334"/>
      <c r="B30" s="354">
        <v>2223</v>
      </c>
      <c r="C30" s="328" t="s">
        <v>972</v>
      </c>
      <c r="D30" s="328" t="s">
        <v>973</v>
      </c>
      <c r="E30" s="329" t="s">
        <v>852</v>
      </c>
      <c r="F30" s="330"/>
      <c r="G30" s="331">
        <v>567.59</v>
      </c>
      <c r="H30" s="332"/>
      <c r="I30" s="331">
        <v>567.59</v>
      </c>
      <c r="J30" s="389">
        <v>567.59</v>
      </c>
      <c r="K30" s="333">
        <f t="shared" si="0"/>
        <v>0</v>
      </c>
      <c r="L30" s="161"/>
    </row>
    <row r="31" spans="1:20">
      <c r="A31" s="334">
        <v>22</v>
      </c>
      <c r="B31" s="354">
        <v>640</v>
      </c>
      <c r="C31" s="328" t="s">
        <v>754</v>
      </c>
      <c r="D31" s="339" t="s">
        <v>795</v>
      </c>
      <c r="E31" s="329" t="s">
        <v>852</v>
      </c>
      <c r="F31" s="330"/>
      <c r="G31" s="331">
        <v>1379.98</v>
      </c>
      <c r="H31" s="332" t="s">
        <v>1006</v>
      </c>
      <c r="I31" s="391">
        <v>1379.98</v>
      </c>
      <c r="J31" s="389">
        <v>1379.98</v>
      </c>
      <c r="K31" s="333">
        <f t="shared" si="0"/>
        <v>0</v>
      </c>
      <c r="L31" s="329"/>
    </row>
    <row r="32" spans="1:20">
      <c r="A32" s="334">
        <v>23</v>
      </c>
      <c r="B32" s="354">
        <v>901</v>
      </c>
      <c r="C32" s="328" t="s">
        <v>439</v>
      </c>
      <c r="D32" s="328" t="s">
        <v>505</v>
      </c>
      <c r="E32" s="329" t="s">
        <v>852</v>
      </c>
      <c r="F32" s="330"/>
      <c r="G32" s="331">
        <v>1624.77</v>
      </c>
      <c r="H32" s="332" t="s">
        <v>1006</v>
      </c>
      <c r="I32" s="331">
        <v>1624.77</v>
      </c>
      <c r="J32" s="389">
        <v>1624.77</v>
      </c>
      <c r="K32" s="333">
        <f t="shared" si="0"/>
        <v>0</v>
      </c>
      <c r="L32" s="329"/>
    </row>
    <row r="33" spans="1:20">
      <c r="A33" s="334"/>
      <c r="B33" s="354">
        <v>2320</v>
      </c>
      <c r="C33" s="328" t="s">
        <v>1043</v>
      </c>
      <c r="D33" s="328" t="s">
        <v>1044</v>
      </c>
      <c r="E33" s="329" t="s">
        <v>852</v>
      </c>
      <c r="F33" s="330"/>
      <c r="G33" s="331">
        <v>567.59</v>
      </c>
      <c r="H33" s="332"/>
      <c r="I33" s="331">
        <v>567.59</v>
      </c>
      <c r="J33" s="389">
        <v>567.59</v>
      </c>
      <c r="K33" s="333">
        <f t="shared" si="0"/>
        <v>0</v>
      </c>
      <c r="L33" s="329"/>
    </row>
    <row r="34" spans="1:20">
      <c r="A34" s="334">
        <v>24</v>
      </c>
      <c r="B34" s="376" t="s">
        <v>675</v>
      </c>
      <c r="C34" s="328" t="s">
        <v>755</v>
      </c>
      <c r="D34" s="328" t="s">
        <v>796</v>
      </c>
      <c r="E34" s="329" t="s">
        <v>852</v>
      </c>
      <c r="F34" s="330"/>
      <c r="G34" s="331">
        <v>717.61</v>
      </c>
      <c r="H34" s="332" t="s">
        <v>1006</v>
      </c>
      <c r="I34" s="332">
        <v>717.61</v>
      </c>
      <c r="J34" s="333">
        <v>717.61</v>
      </c>
      <c r="K34" s="333">
        <f t="shared" si="0"/>
        <v>0</v>
      </c>
      <c r="L34" s="329"/>
    </row>
    <row r="35" spans="1:20">
      <c r="A35" s="334">
        <v>26</v>
      </c>
      <c r="B35" s="354">
        <v>1741</v>
      </c>
      <c r="C35" s="328" t="s">
        <v>755</v>
      </c>
      <c r="D35" s="328" t="s">
        <v>797</v>
      </c>
      <c r="E35" s="329" t="s">
        <v>852</v>
      </c>
      <c r="F35" s="330"/>
      <c r="G35" s="331">
        <v>1156.3</v>
      </c>
      <c r="H35" s="332" t="s">
        <v>1006</v>
      </c>
      <c r="I35" s="331">
        <v>1156.3</v>
      </c>
      <c r="J35" s="389">
        <v>1156.3</v>
      </c>
      <c r="K35" s="333">
        <f t="shared" si="0"/>
        <v>0</v>
      </c>
      <c r="L35" s="329"/>
    </row>
    <row r="36" spans="1:20">
      <c r="A36" s="334">
        <v>25</v>
      </c>
      <c r="B36" s="354">
        <v>1757</v>
      </c>
      <c r="C36" s="328" t="s">
        <v>755</v>
      </c>
      <c r="D36" s="338" t="s">
        <v>798</v>
      </c>
      <c r="E36" s="329" t="s">
        <v>853</v>
      </c>
      <c r="F36" s="330">
        <v>2</v>
      </c>
      <c r="G36" s="331">
        <v>1956.43</v>
      </c>
      <c r="H36" s="332" t="s">
        <v>1006</v>
      </c>
      <c r="I36" s="331">
        <v>1956.43</v>
      </c>
      <c r="J36" s="389">
        <v>1956.43</v>
      </c>
      <c r="K36" s="333">
        <f t="shared" si="0"/>
        <v>0</v>
      </c>
      <c r="L36" s="329"/>
      <c r="N36" s="12"/>
      <c r="O36" s="12"/>
      <c r="P36" s="12"/>
      <c r="Q36" s="12"/>
      <c r="R36" s="12"/>
      <c r="S36" s="12"/>
      <c r="T36" s="12"/>
    </row>
    <row r="37" spans="1:20">
      <c r="A37" s="334">
        <v>27</v>
      </c>
      <c r="B37" s="354">
        <v>2057</v>
      </c>
      <c r="C37" s="328" t="s">
        <v>756</v>
      </c>
      <c r="D37" s="338" t="s">
        <v>799</v>
      </c>
      <c r="E37" s="329" t="s">
        <v>852</v>
      </c>
      <c r="F37" s="330"/>
      <c r="G37" s="331">
        <v>1624.77</v>
      </c>
      <c r="H37" s="332" t="s">
        <v>1006</v>
      </c>
      <c r="I37" s="331">
        <v>1624.77</v>
      </c>
      <c r="J37" s="389">
        <v>1624.77</v>
      </c>
      <c r="K37" s="333">
        <f t="shared" si="0"/>
        <v>0</v>
      </c>
      <c r="L37" s="329"/>
    </row>
    <row r="38" spans="1:20">
      <c r="A38" s="334">
        <v>28</v>
      </c>
      <c r="B38" s="354">
        <v>1210</v>
      </c>
      <c r="C38" s="328" t="s">
        <v>756</v>
      </c>
      <c r="D38" s="338" t="s">
        <v>800</v>
      </c>
      <c r="E38" s="329" t="s">
        <v>852</v>
      </c>
      <c r="F38" s="330"/>
      <c r="G38" s="331">
        <v>1598.79</v>
      </c>
      <c r="H38" s="332" t="s">
        <v>1006</v>
      </c>
      <c r="I38" s="331">
        <v>1598.79</v>
      </c>
      <c r="J38" s="389">
        <v>1598.79</v>
      </c>
      <c r="K38" s="333">
        <f t="shared" si="0"/>
        <v>0</v>
      </c>
      <c r="L38" s="329"/>
    </row>
    <row r="39" spans="1:20">
      <c r="A39" s="334"/>
      <c r="B39" s="354">
        <v>2310</v>
      </c>
      <c r="C39" s="328" t="s">
        <v>756</v>
      </c>
      <c r="D39" s="338" t="s">
        <v>977</v>
      </c>
      <c r="E39" s="329" t="s">
        <v>852</v>
      </c>
      <c r="F39" s="330"/>
      <c r="G39" s="331">
        <v>923.96</v>
      </c>
      <c r="H39" s="332" t="s">
        <v>1006</v>
      </c>
      <c r="I39" s="331">
        <v>923.96</v>
      </c>
      <c r="J39" s="389">
        <v>923.96</v>
      </c>
      <c r="K39" s="333">
        <f t="shared" si="0"/>
        <v>0</v>
      </c>
      <c r="L39" s="329"/>
    </row>
    <row r="40" spans="1:20">
      <c r="A40" s="334"/>
      <c r="B40" s="354">
        <v>2325</v>
      </c>
      <c r="C40" s="328" t="s">
        <v>444</v>
      </c>
      <c r="D40" s="328" t="s">
        <v>1035</v>
      </c>
      <c r="E40" s="329" t="s">
        <v>852</v>
      </c>
      <c r="F40" s="330"/>
      <c r="G40" s="331">
        <v>1598.79</v>
      </c>
      <c r="H40" s="332">
        <v>0</v>
      </c>
      <c r="I40" s="331">
        <v>1598.79</v>
      </c>
      <c r="J40" s="331">
        <v>1598.79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852</v>
      </c>
      <c r="F43" s="330"/>
      <c r="G43" s="331">
        <v>657.5</v>
      </c>
      <c r="H43" s="332">
        <v>0</v>
      </c>
      <c r="I43" s="331">
        <v>657.5</v>
      </c>
      <c r="J43" s="389">
        <v>657.5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/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/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854</v>
      </c>
      <c r="F45" s="330">
        <v>1</v>
      </c>
      <c r="G45" s="331">
        <v>1094.75</v>
      </c>
      <c r="H45" s="332" t="s">
        <v>1006</v>
      </c>
      <c r="I45" s="331">
        <v>1094.75</v>
      </c>
      <c r="J45" s="389">
        <v>1094.75</v>
      </c>
      <c r="K45" s="333">
        <f t="shared" si="0"/>
        <v>0</v>
      </c>
      <c r="L45" s="329"/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>
        <v>661.83</v>
      </c>
      <c r="K51" s="333">
        <f t="shared" si="0"/>
        <v>0</v>
      </c>
      <c r="L51" s="329"/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>
        <v>41</v>
      </c>
      <c r="B55" s="354">
        <v>2203</v>
      </c>
      <c r="C55" s="328" t="s">
        <v>763</v>
      </c>
      <c r="D55" s="328" t="s">
        <v>811</v>
      </c>
      <c r="E55" s="329" t="s">
        <v>852</v>
      </c>
      <c r="F55" s="330"/>
      <c r="G55" s="331">
        <v>666.16</v>
      </c>
      <c r="H55" s="332" t="s">
        <v>1006</v>
      </c>
      <c r="I55" s="331">
        <v>666.16</v>
      </c>
      <c r="J55" s="389">
        <v>666.16</v>
      </c>
      <c r="K55" s="333">
        <f t="shared" si="0"/>
        <v>0</v>
      </c>
      <c r="L55" s="329" t="s">
        <v>1067</v>
      </c>
    </row>
    <row r="56" spans="1:12">
      <c r="A56" s="334">
        <v>42</v>
      </c>
      <c r="B56" s="354">
        <v>2235</v>
      </c>
      <c r="C56" s="328" t="s">
        <v>764</v>
      </c>
      <c r="D56" s="328" t="s">
        <v>812</v>
      </c>
      <c r="E56" s="329" t="s">
        <v>854</v>
      </c>
      <c r="F56" s="330">
        <v>1</v>
      </c>
      <c r="G56" s="331">
        <v>1350.93</v>
      </c>
      <c r="H56" s="332" t="s">
        <v>1006</v>
      </c>
      <c r="I56" s="331">
        <v>1350.93</v>
      </c>
      <c r="J56" s="389">
        <v>1350.93</v>
      </c>
      <c r="K56" s="333">
        <f t="shared" si="0"/>
        <v>0</v>
      </c>
      <c r="L56" s="329"/>
    </row>
    <row r="57" spans="1:12">
      <c r="A57" s="334">
        <v>43</v>
      </c>
      <c r="B57" s="354">
        <v>2245</v>
      </c>
      <c r="C57" s="328" t="s">
        <v>765</v>
      </c>
      <c r="D57" s="328" t="s">
        <v>813</v>
      </c>
      <c r="E57" s="329" t="s">
        <v>854</v>
      </c>
      <c r="F57" s="330">
        <v>1</v>
      </c>
      <c r="G57" s="331">
        <v>1584.89</v>
      </c>
      <c r="H57" s="332" t="s">
        <v>1006</v>
      </c>
      <c r="I57" s="331">
        <v>1584.89</v>
      </c>
      <c r="J57" s="389">
        <v>1584.89</v>
      </c>
      <c r="K57" s="333">
        <f t="shared" si="0"/>
        <v>0</v>
      </c>
      <c r="L57" s="329"/>
    </row>
    <row r="58" spans="1:12">
      <c r="A58" s="334">
        <v>44</v>
      </c>
      <c r="B58" s="354">
        <v>2001</v>
      </c>
      <c r="C58" s="328" t="s">
        <v>766</v>
      </c>
      <c r="D58" s="338" t="s">
        <v>814</v>
      </c>
      <c r="E58" s="329" t="s">
        <v>852</v>
      </c>
      <c r="F58" s="330"/>
      <c r="G58" s="331">
        <v>1319.87</v>
      </c>
      <c r="H58" s="332" t="s">
        <v>1006</v>
      </c>
      <c r="I58" s="331">
        <v>1319.87</v>
      </c>
      <c r="J58" s="389">
        <v>1319.87</v>
      </c>
      <c r="K58" s="333">
        <f t="shared" si="0"/>
        <v>0</v>
      </c>
      <c r="L58" s="329"/>
    </row>
    <row r="59" spans="1:12">
      <c r="A59" s="334">
        <v>45</v>
      </c>
      <c r="B59" s="354">
        <v>2160</v>
      </c>
      <c r="C59" s="328" t="s">
        <v>767</v>
      </c>
      <c r="D59" s="338" t="s">
        <v>815</v>
      </c>
      <c r="E59" s="329" t="s">
        <v>854</v>
      </c>
      <c r="F59" s="330">
        <v>1</v>
      </c>
      <c r="G59" s="331">
        <v>1921.57</v>
      </c>
      <c r="H59" s="332" t="s">
        <v>1006</v>
      </c>
      <c r="I59" s="331">
        <v>1921.57</v>
      </c>
      <c r="J59" s="389">
        <v>1921.57</v>
      </c>
      <c r="K59" s="333">
        <f t="shared" si="0"/>
        <v>0</v>
      </c>
      <c r="L59" s="329"/>
    </row>
    <row r="60" spans="1:12">
      <c r="A60" s="334">
        <v>47</v>
      </c>
      <c r="B60" s="354">
        <v>2279</v>
      </c>
      <c r="C60" s="328" t="s">
        <v>769</v>
      </c>
      <c r="D60" s="328" t="s">
        <v>843</v>
      </c>
      <c r="E60" s="329" t="s">
        <v>852</v>
      </c>
      <c r="F60" s="330"/>
      <c r="G60" s="331">
        <v>554.59</v>
      </c>
      <c r="H60" s="332" t="s">
        <v>1006</v>
      </c>
      <c r="I60" s="331">
        <v>554.59</v>
      </c>
      <c r="J60" s="389">
        <v>554.59</v>
      </c>
      <c r="K60" s="333">
        <f t="shared" si="0"/>
        <v>0</v>
      </c>
      <c r="L60" s="161"/>
    </row>
    <row r="61" spans="1:12">
      <c r="A61" s="334">
        <v>48</v>
      </c>
      <c r="B61" s="354">
        <v>2246</v>
      </c>
      <c r="C61" s="328" t="s">
        <v>769</v>
      </c>
      <c r="D61" s="338" t="s">
        <v>817</v>
      </c>
      <c r="E61" s="329" t="s">
        <v>852</v>
      </c>
      <c r="F61" s="330"/>
      <c r="G61" s="331">
        <v>648.83000000000004</v>
      </c>
      <c r="H61" s="332" t="s">
        <v>1006</v>
      </c>
      <c r="I61" s="331">
        <v>648.83000000000004</v>
      </c>
      <c r="J61" s="389">
        <v>648.83000000000004</v>
      </c>
      <c r="K61" s="333">
        <f t="shared" si="0"/>
        <v>0</v>
      </c>
      <c r="L61" s="188"/>
    </row>
    <row r="62" spans="1:12">
      <c r="A62" s="334">
        <v>49</v>
      </c>
      <c r="B62" s="354">
        <v>2018</v>
      </c>
      <c r="C62" s="328" t="s">
        <v>770</v>
      </c>
      <c r="D62" s="328" t="s">
        <v>818</v>
      </c>
      <c r="E62" s="329" t="s">
        <v>852</v>
      </c>
      <c r="F62" s="330"/>
      <c r="G62" s="331">
        <v>1624.77</v>
      </c>
      <c r="H62" s="332" t="s">
        <v>1006</v>
      </c>
      <c r="I62" s="331">
        <v>1624.77</v>
      </c>
      <c r="J62" s="389">
        <v>1624.77</v>
      </c>
      <c r="K62" s="333">
        <f t="shared" si="0"/>
        <v>0</v>
      </c>
      <c r="L62" s="161"/>
    </row>
    <row r="63" spans="1:12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852</v>
      </c>
      <c r="F63" s="330"/>
      <c r="G63" s="331">
        <v>1379.98</v>
      </c>
      <c r="H63" s="332" t="s">
        <v>1006</v>
      </c>
      <c r="I63" s="331">
        <v>1379.98</v>
      </c>
      <c r="J63" s="333">
        <v>1379.98</v>
      </c>
      <c r="K63" s="333">
        <f t="shared" si="0"/>
        <v>0</v>
      </c>
      <c r="L63" s="329"/>
    </row>
    <row r="64" spans="1:12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661.83</v>
      </c>
      <c r="H64" s="332" t="s">
        <v>1006</v>
      </c>
      <c r="I64" s="331">
        <v>661.83</v>
      </c>
      <c r="J64" s="389">
        <v>661.83</v>
      </c>
      <c r="K64" s="333">
        <f t="shared" si="0"/>
        <v>0</v>
      </c>
      <c r="L64" s="329"/>
    </row>
    <row r="65" spans="1:16">
      <c r="A65" s="334"/>
      <c r="B65" s="354">
        <v>2288</v>
      </c>
      <c r="C65" s="328" t="s">
        <v>772</v>
      </c>
      <c r="D65" s="338" t="s">
        <v>820</v>
      </c>
      <c r="E65" s="329" t="s">
        <v>852</v>
      </c>
      <c r="F65" s="330"/>
      <c r="G65" s="331">
        <v>588.71</v>
      </c>
      <c r="H65" s="332"/>
      <c r="I65" s="331">
        <v>588.71</v>
      </c>
      <c r="J65" s="389">
        <v>588.71</v>
      </c>
      <c r="K65" s="333">
        <f t="shared" si="0"/>
        <v>0</v>
      </c>
      <c r="L65" s="329">
        <v>22</v>
      </c>
    </row>
    <row r="66" spans="1:16">
      <c r="A66" s="334">
        <v>52</v>
      </c>
      <c r="B66" s="354">
        <v>2060</v>
      </c>
      <c r="C66" s="328" t="s">
        <v>487</v>
      </c>
      <c r="D66" s="328" t="s">
        <v>516</v>
      </c>
      <c r="E66" s="329" t="s">
        <v>852</v>
      </c>
      <c r="F66" s="330"/>
      <c r="G66" s="331">
        <v>1057.19</v>
      </c>
      <c r="H66" s="332" t="s">
        <v>1006</v>
      </c>
      <c r="I66" s="331">
        <v>1057.19</v>
      </c>
      <c r="J66" s="389">
        <v>1057.19</v>
      </c>
      <c r="K66" s="333">
        <f t="shared" si="0"/>
        <v>0</v>
      </c>
      <c r="L66" s="329"/>
    </row>
    <row r="67" spans="1:16">
      <c r="A67" s="334">
        <v>54</v>
      </c>
      <c r="B67" s="354">
        <v>1050</v>
      </c>
      <c r="C67" s="328" t="s">
        <v>773</v>
      </c>
      <c r="D67" s="328" t="s">
        <v>821</v>
      </c>
      <c r="E67" s="329" t="s">
        <v>852</v>
      </c>
      <c r="F67" s="330"/>
      <c r="G67" s="331">
        <v>1624.77</v>
      </c>
      <c r="H67" s="332" t="s">
        <v>1006</v>
      </c>
      <c r="I67" s="331">
        <v>1624.77</v>
      </c>
      <c r="J67" s="389">
        <v>1624.77</v>
      </c>
      <c r="K67" s="333">
        <f t="shared" si="0"/>
        <v>0</v>
      </c>
      <c r="L67" s="329"/>
    </row>
    <row r="68" spans="1:16">
      <c r="A68" s="334">
        <v>55</v>
      </c>
      <c r="B68" s="354">
        <v>1964</v>
      </c>
      <c r="C68" s="328" t="s">
        <v>491</v>
      </c>
      <c r="D68" s="328" t="s">
        <v>456</v>
      </c>
      <c r="E68" s="329" t="s">
        <v>852</v>
      </c>
      <c r="F68" s="330"/>
      <c r="G68" s="331">
        <v>846.51</v>
      </c>
      <c r="H68" s="332" t="s">
        <v>1006</v>
      </c>
      <c r="I68" s="331">
        <v>846.51</v>
      </c>
      <c r="J68" s="389">
        <v>846.51</v>
      </c>
      <c r="K68" s="333">
        <f t="shared" si="0"/>
        <v>0</v>
      </c>
      <c r="L68" s="329"/>
    </row>
    <row r="69" spans="1:16">
      <c r="A69" s="334">
        <v>57</v>
      </c>
      <c r="B69" s="354">
        <v>1981</v>
      </c>
      <c r="C69" s="328" t="s">
        <v>774</v>
      </c>
      <c r="D69" s="338" t="s">
        <v>822</v>
      </c>
      <c r="E69" s="329" t="s">
        <v>852</v>
      </c>
      <c r="F69" s="330"/>
      <c r="G69" s="331">
        <v>683.49</v>
      </c>
      <c r="H69" s="332" t="s">
        <v>1006</v>
      </c>
      <c r="I69" s="331">
        <v>683.49</v>
      </c>
      <c r="J69" s="389">
        <v>683.49</v>
      </c>
      <c r="K69" s="333">
        <f t="shared" ref="K69:K77" si="1">I69-J69</f>
        <v>0</v>
      </c>
      <c r="L69" s="329"/>
    </row>
    <row r="70" spans="1:16">
      <c r="A70" s="334">
        <v>56</v>
      </c>
      <c r="B70" s="354">
        <v>1662</v>
      </c>
      <c r="C70" s="328" t="s">
        <v>774</v>
      </c>
      <c r="D70" s="328" t="s">
        <v>823</v>
      </c>
      <c r="E70" s="329" t="s">
        <v>852</v>
      </c>
      <c r="F70" s="330"/>
      <c r="G70" s="331">
        <v>885.51</v>
      </c>
      <c r="H70" s="332" t="s">
        <v>1006</v>
      </c>
      <c r="I70" s="331">
        <v>885.51</v>
      </c>
      <c r="J70" s="389">
        <v>885.51</v>
      </c>
      <c r="K70" s="333">
        <f t="shared" si="1"/>
        <v>0</v>
      </c>
      <c r="L70" s="329"/>
    </row>
    <row r="71" spans="1:16">
      <c r="A71" s="334"/>
      <c r="B71" s="354">
        <v>1708</v>
      </c>
      <c r="C71" s="328" t="s">
        <v>775</v>
      </c>
      <c r="D71" s="328" t="s">
        <v>791</v>
      </c>
      <c r="E71" s="329" t="s">
        <v>852</v>
      </c>
      <c r="F71" s="330"/>
      <c r="G71" s="331">
        <v>1624.77</v>
      </c>
      <c r="H71" s="332" t="s">
        <v>1006</v>
      </c>
      <c r="I71" s="331">
        <v>1624.77</v>
      </c>
      <c r="J71" s="389">
        <v>1624.77</v>
      </c>
      <c r="K71" s="333">
        <f t="shared" si="1"/>
        <v>0</v>
      </c>
      <c r="L71" s="329"/>
    </row>
    <row r="72" spans="1:16">
      <c r="A72" s="334">
        <v>58</v>
      </c>
      <c r="B72" s="354">
        <v>1630</v>
      </c>
      <c r="C72" s="328" t="s">
        <v>775</v>
      </c>
      <c r="D72" s="338" t="s">
        <v>824</v>
      </c>
      <c r="E72" s="329" t="s">
        <v>852</v>
      </c>
      <c r="F72" s="330"/>
      <c r="G72" s="331">
        <v>1207.76</v>
      </c>
      <c r="H72" s="332" t="s">
        <v>1006</v>
      </c>
      <c r="I72" s="331">
        <v>1207.76</v>
      </c>
      <c r="J72" s="389">
        <v>1207.76</v>
      </c>
      <c r="K72" s="333">
        <f t="shared" si="1"/>
        <v>0</v>
      </c>
      <c r="L72" s="329"/>
    </row>
    <row r="73" spans="1:16">
      <c r="A73" s="334">
        <v>61</v>
      </c>
      <c r="B73" s="354">
        <v>2010</v>
      </c>
      <c r="C73" s="328" t="s">
        <v>777</v>
      </c>
      <c r="D73" s="328" t="s">
        <v>826</v>
      </c>
      <c r="E73" s="329" t="s">
        <v>852</v>
      </c>
      <c r="F73" s="330"/>
      <c r="G73" s="331">
        <v>1010.07</v>
      </c>
      <c r="H73" s="332" t="s">
        <v>1006</v>
      </c>
      <c r="I73" s="331">
        <v>1010.07</v>
      </c>
      <c r="J73" s="389">
        <v>1010.07</v>
      </c>
      <c r="K73" s="333">
        <f t="shared" si="1"/>
        <v>0</v>
      </c>
      <c r="L73" s="329"/>
    </row>
    <row r="74" spans="1:16">
      <c r="A74" s="334">
        <v>60</v>
      </c>
      <c r="B74" s="354">
        <v>2187</v>
      </c>
      <c r="C74" s="328" t="s">
        <v>777</v>
      </c>
      <c r="D74" s="328" t="s">
        <v>827</v>
      </c>
      <c r="E74" s="329" t="s">
        <v>853</v>
      </c>
      <c r="F74" s="330">
        <v>2</v>
      </c>
      <c r="G74" s="331">
        <v>1889.46</v>
      </c>
      <c r="H74" s="332" t="s">
        <v>1006</v>
      </c>
      <c r="I74" s="391">
        <v>1889.46</v>
      </c>
      <c r="J74" s="389">
        <v>1889.46</v>
      </c>
      <c r="K74" s="333">
        <f t="shared" si="1"/>
        <v>0</v>
      </c>
      <c r="L74" s="329"/>
    </row>
    <row r="75" spans="1:16">
      <c r="A75" s="334">
        <v>62</v>
      </c>
      <c r="B75" s="354">
        <v>2095</v>
      </c>
      <c r="C75" s="328" t="s">
        <v>778</v>
      </c>
      <c r="D75" s="338" t="s">
        <v>828</v>
      </c>
      <c r="E75" s="329" t="s">
        <v>852</v>
      </c>
      <c r="F75" s="330"/>
      <c r="G75" s="331">
        <v>648.83000000000004</v>
      </c>
      <c r="H75" s="332" t="s">
        <v>1006</v>
      </c>
      <c r="I75" s="331">
        <v>648.83000000000004</v>
      </c>
      <c r="J75" s="389">
        <v>648.83000000000004</v>
      </c>
      <c r="K75" s="333">
        <f t="shared" si="1"/>
        <v>0</v>
      </c>
      <c r="L75" s="329"/>
    </row>
    <row r="76" spans="1:16">
      <c r="A76" s="334">
        <v>63</v>
      </c>
      <c r="B76" s="354">
        <v>2064</v>
      </c>
      <c r="C76" s="328" t="s">
        <v>778</v>
      </c>
      <c r="D76" s="338" t="s">
        <v>829</v>
      </c>
      <c r="E76" s="341" t="s">
        <v>856</v>
      </c>
      <c r="F76" s="330">
        <v>2</v>
      </c>
      <c r="G76" s="331">
        <v>1682.01</v>
      </c>
      <c r="H76" s="332">
        <v>584.94000000000005</v>
      </c>
      <c r="I76" s="332">
        <f>SUM(G76:H76)</f>
        <v>2266.9499999999998</v>
      </c>
      <c r="J76" s="333">
        <v>2266.9499999999998</v>
      </c>
      <c r="K76" s="333">
        <f t="shared" si="1"/>
        <v>0</v>
      </c>
      <c r="L76" s="329"/>
    </row>
    <row r="77" spans="1:16">
      <c r="A77" s="334"/>
      <c r="B77" s="354">
        <v>2089</v>
      </c>
      <c r="C77" s="328" t="s">
        <v>870</v>
      </c>
      <c r="D77" s="338" t="s">
        <v>1007</v>
      </c>
      <c r="E77" s="329" t="s">
        <v>852</v>
      </c>
      <c r="F77" s="330"/>
      <c r="G77" s="331">
        <v>648.83000000000004</v>
      </c>
      <c r="H77" s="332" t="s">
        <v>1006</v>
      </c>
      <c r="I77" s="331">
        <v>648.83000000000004</v>
      </c>
      <c r="J77" s="389">
        <v>648.83000000000004</v>
      </c>
      <c r="K77" s="333">
        <f t="shared" si="1"/>
        <v>0</v>
      </c>
      <c r="L77" s="329"/>
    </row>
    <row r="78" spans="1:16">
      <c r="A78" s="296"/>
      <c r="B78" s="66"/>
      <c r="C78" s="29"/>
      <c r="D78" s="29"/>
      <c r="E78" s="342"/>
      <c r="F78" s="343"/>
      <c r="G78" s="344"/>
      <c r="H78" s="345">
        <f>SUM(H5:H77)</f>
        <v>2577.04</v>
      </c>
      <c r="I78" s="344"/>
      <c r="J78" s="346"/>
      <c r="K78" s="346"/>
      <c r="L78" s="385"/>
      <c r="M78" s="216"/>
      <c r="O78" s="15"/>
      <c r="P78" s="15"/>
    </row>
    <row r="79" spans="1:16">
      <c r="A79" s="296"/>
      <c r="E79" s="342"/>
      <c r="F79" s="343"/>
      <c r="G79" s="344"/>
      <c r="H79" s="344"/>
      <c r="I79" s="344"/>
      <c r="J79" s="346"/>
      <c r="K79" s="346"/>
      <c r="L79" s="385"/>
      <c r="M79" s="216"/>
      <c r="O79" s="15"/>
      <c r="P79" s="15"/>
    </row>
    <row r="80" spans="1:16">
      <c r="A80" s="438" t="s">
        <v>652</v>
      </c>
      <c r="B80" s="439"/>
      <c r="C80" s="439"/>
      <c r="D80" s="439"/>
      <c r="E80" s="439"/>
      <c r="F80" s="439"/>
      <c r="G80" s="440"/>
      <c r="H80" s="347"/>
      <c r="I80" s="348">
        <f>SUM(I5:I77)</f>
        <v>83964.010000000009</v>
      </c>
      <c r="J80" s="383">
        <f>SUM(J5:J77)</f>
        <v>83963.99</v>
      </c>
      <c r="K80" s="383"/>
      <c r="L80" s="386"/>
    </row>
    <row r="81" spans="1:20">
      <c r="A81" s="441" t="s">
        <v>1028</v>
      </c>
      <c r="B81" s="442"/>
      <c r="C81" s="443"/>
      <c r="D81" s="351"/>
      <c r="E81" s="352" t="s">
        <v>258</v>
      </c>
      <c r="F81" s="334">
        <v>73</v>
      </c>
      <c r="G81" s="329" t="s">
        <v>1029</v>
      </c>
      <c r="H81" s="351"/>
      <c r="I81" s="352" t="s">
        <v>258</v>
      </c>
      <c r="J81" s="343">
        <v>74</v>
      </c>
      <c r="K81" s="343"/>
      <c r="L81" s="161"/>
    </row>
    <row r="82" spans="1:20">
      <c r="A82" s="353"/>
      <c r="B82" s="352"/>
      <c r="C82" s="351"/>
      <c r="D82" s="351"/>
      <c r="E82" s="351" t="s">
        <v>930</v>
      </c>
      <c r="F82" s="330">
        <v>4</v>
      </c>
      <c r="G82" s="329"/>
      <c r="H82" s="351"/>
      <c r="I82" s="351" t="s">
        <v>930</v>
      </c>
      <c r="J82" s="343">
        <v>4</v>
      </c>
      <c r="K82" s="343"/>
      <c r="L82" s="161"/>
    </row>
    <row r="83" spans="1:20">
      <c r="A83" s="441"/>
      <c r="B83" s="442"/>
      <c r="C83" s="443"/>
      <c r="D83" s="351"/>
      <c r="E83" s="352" t="s">
        <v>931</v>
      </c>
      <c r="F83" s="355">
        <v>26</v>
      </c>
      <c r="G83" s="329"/>
      <c r="H83" s="351"/>
      <c r="I83" s="352" t="s">
        <v>931</v>
      </c>
      <c r="J83" s="343">
        <v>26</v>
      </c>
      <c r="K83" s="343"/>
      <c r="L83" s="161"/>
    </row>
    <row r="84" spans="1:20">
      <c r="A84" s="444"/>
      <c r="B84" s="445"/>
      <c r="C84" s="446"/>
      <c r="D84" s="356"/>
      <c r="E84" s="357" t="s">
        <v>246</v>
      </c>
      <c r="F84" s="358">
        <v>103</v>
      </c>
      <c r="G84" s="329"/>
      <c r="H84" s="393"/>
      <c r="I84" s="394" t="s">
        <v>246</v>
      </c>
      <c r="J84" s="395">
        <v>104</v>
      </c>
      <c r="K84" s="395"/>
      <c r="L84" s="161"/>
    </row>
    <row r="85" spans="1:20">
      <c r="A85" s="447" t="s">
        <v>830</v>
      </c>
      <c r="B85" s="448"/>
      <c r="C85" s="448"/>
      <c r="D85" s="448"/>
      <c r="E85" s="448"/>
      <c r="F85" s="448"/>
      <c r="G85" s="448"/>
      <c r="H85" s="381"/>
      <c r="I85" s="381"/>
      <c r="J85" s="396"/>
      <c r="K85" s="396"/>
      <c r="L85" s="392"/>
      <c r="N85" s="15"/>
    </row>
    <row r="86" spans="1:20">
      <c r="A86" s="334"/>
      <c r="B86" s="354">
        <v>2292</v>
      </c>
      <c r="C86" s="328" t="s">
        <v>763</v>
      </c>
      <c r="D86" s="328" t="s">
        <v>1040</v>
      </c>
      <c r="E86" s="329" t="s">
        <v>852</v>
      </c>
      <c r="F86" s="330"/>
      <c r="G86" s="389">
        <v>-567.59</v>
      </c>
      <c r="H86" s="389"/>
      <c r="I86" s="389">
        <v>-567.59</v>
      </c>
      <c r="J86" s="389">
        <v>-567.59</v>
      </c>
      <c r="K86" s="331"/>
      <c r="L86" s="196" t="s">
        <v>1065</v>
      </c>
      <c r="M86" s="362"/>
      <c r="N86" s="363"/>
      <c r="O86" s="362"/>
      <c r="P86" s="362"/>
      <c r="Q86" s="362"/>
      <c r="R86" s="362"/>
      <c r="S86" s="362"/>
      <c r="T86" s="362"/>
    </row>
    <row r="87" spans="1:20">
      <c r="A87" s="334"/>
      <c r="B87" s="354">
        <v>2292</v>
      </c>
      <c r="C87" s="328" t="s">
        <v>763</v>
      </c>
      <c r="D87" s="328" t="s">
        <v>1040</v>
      </c>
      <c r="E87" s="329" t="s">
        <v>852</v>
      </c>
      <c r="F87" s="330"/>
      <c r="G87" s="389">
        <v>-567.59</v>
      </c>
      <c r="H87" s="389"/>
      <c r="I87" s="389">
        <v>-567.59</v>
      </c>
      <c r="J87" s="389">
        <v>-567.59</v>
      </c>
      <c r="K87" s="333"/>
      <c r="L87" s="196" t="s">
        <v>1066</v>
      </c>
      <c r="M87" s="362"/>
      <c r="N87" s="363"/>
      <c r="O87" s="362"/>
      <c r="P87" s="362"/>
      <c r="Q87" s="362"/>
      <c r="R87" s="362"/>
      <c r="S87" s="362"/>
      <c r="T87" s="362"/>
    </row>
    <row r="88" spans="1:20">
      <c r="A88" s="334"/>
      <c r="B88" s="354"/>
      <c r="C88" s="328"/>
      <c r="D88" s="328"/>
      <c r="E88" s="329"/>
      <c r="F88" s="330"/>
      <c r="G88" s="331"/>
      <c r="H88" s="332"/>
      <c r="I88" s="332"/>
      <c r="J88" s="333"/>
      <c r="K88" s="333"/>
      <c r="L88" s="196"/>
      <c r="M88" s="362"/>
      <c r="N88" s="363"/>
      <c r="O88" s="362"/>
      <c r="P88" s="362"/>
      <c r="Q88" s="362"/>
      <c r="R88" s="362"/>
      <c r="S88" s="362"/>
      <c r="T88" s="362"/>
    </row>
    <row r="89" spans="1:20">
      <c r="A89" s="334"/>
      <c r="B89" s="354"/>
      <c r="C89" s="328"/>
      <c r="D89" s="328"/>
      <c r="E89" s="329"/>
      <c r="F89" s="330"/>
      <c r="G89" s="331"/>
      <c r="H89" s="332"/>
      <c r="I89" s="332"/>
      <c r="J89" s="333"/>
      <c r="K89" s="333"/>
      <c r="L89" s="196"/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34"/>
      <c r="B90" s="354"/>
      <c r="C90" s="328"/>
      <c r="D90" s="328"/>
      <c r="E90" s="329"/>
      <c r="F90" s="330"/>
      <c r="G90" s="331"/>
      <c r="H90" s="332"/>
      <c r="I90" s="331"/>
      <c r="J90" s="389"/>
      <c r="K90" s="333"/>
      <c r="L90" s="196"/>
      <c r="M90" s="362"/>
      <c r="N90" s="363"/>
      <c r="O90" s="362"/>
      <c r="P90" s="362"/>
      <c r="Q90" s="362"/>
      <c r="R90" s="362"/>
      <c r="S90" s="362"/>
      <c r="T90" s="362"/>
    </row>
    <row r="91" spans="1:20">
      <c r="A91" s="334"/>
      <c r="B91" s="354"/>
      <c r="C91" s="328"/>
      <c r="D91" s="328"/>
      <c r="E91" s="329"/>
      <c r="F91" s="330"/>
      <c r="G91" s="331"/>
      <c r="H91" s="332"/>
      <c r="I91" s="331"/>
      <c r="J91" s="389"/>
      <c r="K91" s="333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38"/>
      <c r="E92" s="329"/>
      <c r="F92" s="330"/>
      <c r="G92" s="331"/>
      <c r="H92" s="332"/>
      <c r="I92" s="332"/>
      <c r="J92" s="333"/>
      <c r="K92" s="333"/>
      <c r="L92" s="380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38"/>
      <c r="E93" s="329"/>
      <c r="F93" s="330"/>
      <c r="G93" s="331"/>
      <c r="H93" s="332"/>
      <c r="I93" s="332"/>
      <c r="J93" s="333"/>
      <c r="K93" s="333"/>
      <c r="L93" s="380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38"/>
      <c r="E94" s="329"/>
      <c r="F94" s="330"/>
      <c r="G94" s="331"/>
      <c r="H94" s="332"/>
      <c r="I94" s="331"/>
      <c r="J94" s="389"/>
      <c r="K94" s="333"/>
      <c r="L94" s="196"/>
      <c r="N94" s="15"/>
    </row>
    <row r="95" spans="1:20">
      <c r="A95" s="334"/>
      <c r="B95" s="354"/>
      <c r="C95" s="328"/>
      <c r="D95" s="338"/>
      <c r="E95" s="329"/>
      <c r="F95" s="330"/>
      <c r="G95" s="331"/>
      <c r="H95" s="332"/>
      <c r="I95" s="331"/>
      <c r="J95" s="38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38"/>
      <c r="E96" s="329"/>
      <c r="F96" s="330"/>
      <c r="G96" s="331"/>
      <c r="H96" s="332"/>
      <c r="I96" s="332"/>
      <c r="J96" s="333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38"/>
      <c r="E97" s="329"/>
      <c r="F97" s="330"/>
      <c r="G97" s="331"/>
      <c r="H97" s="332"/>
      <c r="I97" s="332"/>
      <c r="J97" s="333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38"/>
      <c r="E98" s="329"/>
      <c r="F98" s="330"/>
      <c r="G98" s="331"/>
      <c r="H98" s="332"/>
      <c r="I98" s="332"/>
      <c r="J98" s="333"/>
      <c r="K98" s="333"/>
      <c r="L98" s="161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28"/>
      <c r="E99" s="329"/>
      <c r="F99" s="330"/>
      <c r="G99" s="331"/>
      <c r="H99" s="332"/>
      <c r="I99" s="332"/>
      <c r="J99" s="333"/>
      <c r="K99" s="333"/>
      <c r="L99" s="161"/>
      <c r="N99" s="15"/>
    </row>
    <row r="100" spans="1:20">
      <c r="A100" s="438" t="s">
        <v>846</v>
      </c>
      <c r="B100" s="439"/>
      <c r="C100" s="439"/>
      <c r="D100" s="439"/>
      <c r="E100" s="439"/>
      <c r="F100" s="439"/>
      <c r="G100" s="440"/>
      <c r="H100" s="348">
        <f>SUM(H86:H97)</f>
        <v>0</v>
      </c>
      <c r="I100" s="347"/>
      <c r="J100" s="348">
        <f>SUM(J86:J99)</f>
        <v>-1135.18</v>
      </c>
      <c r="K100" s="406"/>
      <c r="L100" s="402"/>
    </row>
    <row r="101" spans="1:20">
      <c r="A101" s="365"/>
      <c r="B101" s="366"/>
      <c r="C101" s="366"/>
      <c r="D101" s="366"/>
      <c r="E101" s="366"/>
      <c r="F101" s="367"/>
      <c r="G101" s="368"/>
      <c r="H101" s="368"/>
      <c r="I101" s="368"/>
      <c r="J101" s="349"/>
      <c r="K101" s="383"/>
      <c r="L101" s="364"/>
    </row>
    <row r="102" spans="1:20" ht="16">
      <c r="A102" s="435" t="s">
        <v>881</v>
      </c>
      <c r="B102" s="436"/>
      <c r="C102" s="436"/>
      <c r="D102" s="436"/>
      <c r="E102" s="436"/>
      <c r="F102" s="436"/>
      <c r="G102" s="437"/>
      <c r="H102" s="369"/>
      <c r="I102" s="369"/>
      <c r="J102" s="370">
        <f>SUM(J80,J100)</f>
        <v>82828.810000000012</v>
      </c>
      <c r="K102" s="407"/>
      <c r="L102" s="350"/>
    </row>
    <row r="103" spans="1:20" ht="18">
      <c r="F103" s="3"/>
      <c r="G103" s="371" t="s">
        <v>1013</v>
      </c>
      <c r="H103" s="372">
        <v>45404</v>
      </c>
    </row>
    <row r="104" spans="1:20" ht="18">
      <c r="F104" s="3"/>
      <c r="G104" s="371" t="s">
        <v>1014</v>
      </c>
      <c r="H104" s="373" t="s">
        <v>990</v>
      </c>
      <c r="I104" s="373"/>
    </row>
    <row r="105" spans="1:20">
      <c r="F105" s="3"/>
      <c r="G105" s="216"/>
      <c r="H105" s="216"/>
      <c r="I105" s="216"/>
      <c r="J105" s="3"/>
      <c r="K105" s="3"/>
      <c r="L105" s="15"/>
      <c r="M105" s="216"/>
    </row>
    <row r="106" spans="1:20">
      <c r="F106" s="3"/>
      <c r="G106" s="216"/>
      <c r="H106" s="269"/>
      <c r="I106" s="216"/>
      <c r="J106" s="270"/>
      <c r="K106" s="270"/>
      <c r="L106" s="15"/>
      <c r="M106" s="216"/>
    </row>
    <row r="107" spans="1:20">
      <c r="F107" s="3"/>
      <c r="G107" s="216"/>
      <c r="H107" s="269"/>
      <c r="I107" s="216"/>
      <c r="J107" s="270"/>
      <c r="K107" s="270"/>
      <c r="L107" s="15"/>
      <c r="M107" s="216"/>
    </row>
    <row r="108" spans="1:20">
      <c r="F108" s="3"/>
      <c r="G108" s="216"/>
      <c r="H108" s="388">
        <f>SUM(H78,H100)</f>
        <v>2577.04</v>
      </c>
      <c r="I108" s="269">
        <f>J102-H108</f>
        <v>80251.770000000019</v>
      </c>
      <c r="J108" s="3"/>
      <c r="K108" s="3"/>
      <c r="L108" s="15"/>
      <c r="M108" s="216"/>
    </row>
    <row r="109" spans="1:20">
      <c r="F109" s="3"/>
      <c r="G109" s="216"/>
      <c r="H109" s="216"/>
      <c r="I109" s="216"/>
      <c r="J109" s="3"/>
      <c r="K109" s="3"/>
      <c r="L109" s="15"/>
      <c r="M109" s="216"/>
      <c r="Q109" s="3"/>
      <c r="R109" s="3"/>
      <c r="S109" s="3"/>
      <c r="T109" s="3"/>
    </row>
  </sheetData>
  <mergeCells count="7">
    <mergeCell ref="A102:G102"/>
    <mergeCell ref="A80:G80"/>
    <mergeCell ref="A81:C81"/>
    <mergeCell ref="A83:C83"/>
    <mergeCell ref="A84:C84"/>
    <mergeCell ref="A85:G85"/>
    <mergeCell ref="A100:G100"/>
  </mergeCells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8884-9247-5846-8EA4-764611EBB597}">
  <dimension ref="A1:T114"/>
  <sheetViews>
    <sheetView topLeftCell="A32" zoomScale="130" zoomScaleNormal="130" workbookViewId="0">
      <selection activeCell="E21" sqref="E21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45383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69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>
        <v>6</v>
      </c>
      <c r="B11" s="354">
        <v>1593</v>
      </c>
      <c r="C11" s="328" t="s">
        <v>460</v>
      </c>
      <c r="D11" s="328" t="s">
        <v>426</v>
      </c>
      <c r="E11" s="329" t="s">
        <v>852</v>
      </c>
      <c r="F11" s="330"/>
      <c r="G11" s="331">
        <v>1469.89</v>
      </c>
      <c r="H11" s="332" t="s">
        <v>1006</v>
      </c>
      <c r="I11" s="331">
        <v>1469.89</v>
      </c>
      <c r="J11" s="389">
        <v>1469.89</v>
      </c>
      <c r="K11" s="333">
        <f t="shared" si="0"/>
        <v>0</v>
      </c>
      <c r="L11" s="329"/>
    </row>
    <row r="12" spans="1:20">
      <c r="A12" s="334">
        <v>8</v>
      </c>
      <c r="B12" s="354">
        <v>2131</v>
      </c>
      <c r="C12" s="328" t="s">
        <v>745</v>
      </c>
      <c r="D12" s="338" t="s">
        <v>784</v>
      </c>
      <c r="E12" s="329" t="s">
        <v>852</v>
      </c>
      <c r="F12" s="330"/>
      <c r="G12" s="331">
        <v>648.83000000000004</v>
      </c>
      <c r="H12" s="332" t="s">
        <v>1006</v>
      </c>
      <c r="I12" s="331">
        <v>648.83000000000004</v>
      </c>
      <c r="J12" s="389">
        <v>648.83000000000004</v>
      </c>
      <c r="K12" s="333">
        <f t="shared" si="0"/>
        <v>0</v>
      </c>
      <c r="L12" s="329"/>
      <c r="P12" s="1"/>
      <c r="Q12" s="1"/>
      <c r="R12" s="1"/>
      <c r="S12" s="1"/>
      <c r="T12" s="1"/>
    </row>
    <row r="13" spans="1:20">
      <c r="A13" s="334">
        <v>7</v>
      </c>
      <c r="B13" s="354">
        <v>1751</v>
      </c>
      <c r="C13" s="328" t="s">
        <v>745</v>
      </c>
      <c r="D13" s="339" t="s">
        <v>838</v>
      </c>
      <c r="E13" s="329" t="s">
        <v>852</v>
      </c>
      <c r="F13" s="330"/>
      <c r="G13" s="331">
        <v>885.51</v>
      </c>
      <c r="H13" s="332" t="s">
        <v>1006</v>
      </c>
      <c r="I13" s="331">
        <v>885.51</v>
      </c>
      <c r="J13" s="389">
        <v>885.51</v>
      </c>
      <c r="K13" s="333">
        <f t="shared" si="0"/>
        <v>0</v>
      </c>
      <c r="L13" s="329"/>
    </row>
    <row r="14" spans="1:20">
      <c r="A14" s="334">
        <v>9</v>
      </c>
      <c r="B14" s="354">
        <v>2023</v>
      </c>
      <c r="C14" s="328" t="s">
        <v>745</v>
      </c>
      <c r="D14" s="339" t="s">
        <v>783</v>
      </c>
      <c r="E14" s="329" t="s">
        <v>852</v>
      </c>
      <c r="F14" s="330"/>
      <c r="G14" s="331">
        <v>683.49</v>
      </c>
      <c r="H14" s="332" t="s">
        <v>1006</v>
      </c>
      <c r="I14" s="331">
        <v>683.49</v>
      </c>
      <c r="J14" s="389">
        <v>683.49</v>
      </c>
      <c r="K14" s="333">
        <f t="shared" si="0"/>
        <v>0</v>
      </c>
      <c r="L14" s="328"/>
      <c r="P14" s="1"/>
      <c r="Q14" s="1"/>
      <c r="R14" s="1"/>
      <c r="S14" s="1"/>
      <c r="T14" s="1"/>
    </row>
    <row r="15" spans="1:20">
      <c r="A15" s="334"/>
      <c r="B15" s="374">
        <v>2302</v>
      </c>
      <c r="C15" s="336" t="s">
        <v>806</v>
      </c>
      <c r="D15" s="339" t="s">
        <v>952</v>
      </c>
      <c r="E15" s="329" t="s">
        <v>852</v>
      </c>
      <c r="F15" s="330"/>
      <c r="G15" s="331">
        <v>666.16</v>
      </c>
      <c r="H15" s="332" t="s">
        <v>1006</v>
      </c>
      <c r="I15" s="331">
        <v>666.16</v>
      </c>
      <c r="J15" s="389">
        <v>666.16</v>
      </c>
      <c r="K15" s="333">
        <f t="shared" si="0"/>
        <v>0</v>
      </c>
      <c r="L15" s="340"/>
      <c r="P15" s="1"/>
      <c r="Q15" s="1"/>
      <c r="R15" s="1"/>
      <c r="S15" s="1"/>
      <c r="T15" s="1"/>
    </row>
    <row r="16" spans="1:20">
      <c r="A16" s="334">
        <v>10</v>
      </c>
      <c r="B16" s="375">
        <v>2254</v>
      </c>
      <c r="C16" s="328" t="s">
        <v>840</v>
      </c>
      <c r="D16" s="328" t="s">
        <v>841</v>
      </c>
      <c r="E16" s="341" t="s">
        <v>855</v>
      </c>
      <c r="F16" s="330">
        <v>1</v>
      </c>
      <c r="G16" s="331">
        <v>1262.08</v>
      </c>
      <c r="H16" s="332">
        <v>542.16</v>
      </c>
      <c r="I16" s="332">
        <v>1804.24</v>
      </c>
      <c r="J16" s="333">
        <v>1804.24</v>
      </c>
      <c r="K16" s="333">
        <f t="shared" si="0"/>
        <v>0</v>
      </c>
      <c r="L16" s="329"/>
    </row>
    <row r="17" spans="1:20">
      <c r="A17" s="334"/>
      <c r="B17" s="354">
        <v>2318</v>
      </c>
      <c r="C17" s="328" t="s">
        <v>1018</v>
      </c>
      <c r="D17" s="328" t="s">
        <v>1019</v>
      </c>
      <c r="E17" s="382" t="s">
        <v>851</v>
      </c>
      <c r="F17" s="330"/>
      <c r="G17" s="331">
        <v>790.72</v>
      </c>
      <c r="H17" s="332">
        <v>507.5</v>
      </c>
      <c r="I17" s="332">
        <f>SUM(G17:H17)</f>
        <v>1298.22</v>
      </c>
      <c r="J17" s="333">
        <v>1298.21</v>
      </c>
      <c r="K17" s="333">
        <f t="shared" si="0"/>
        <v>9.9999999999909051E-3</v>
      </c>
      <c r="L17" s="161"/>
    </row>
    <row r="18" spans="1:20">
      <c r="A18" s="334">
        <v>11</v>
      </c>
      <c r="B18" s="354">
        <v>1721</v>
      </c>
      <c r="C18" s="328" t="s">
        <v>746</v>
      </c>
      <c r="D18" s="328" t="s">
        <v>785</v>
      </c>
      <c r="E18" s="329" t="s">
        <v>854</v>
      </c>
      <c r="F18" s="330">
        <v>1</v>
      </c>
      <c r="G18" s="331">
        <v>2065.64</v>
      </c>
      <c r="H18" s="332" t="s">
        <v>1006</v>
      </c>
      <c r="I18" s="331">
        <v>2065.64</v>
      </c>
      <c r="J18" s="389">
        <v>2065.64</v>
      </c>
      <c r="K18" s="333">
        <f t="shared" si="0"/>
        <v>0</v>
      </c>
      <c r="L18" s="161"/>
    </row>
    <row r="19" spans="1:20">
      <c r="A19" s="334">
        <v>12</v>
      </c>
      <c r="B19" s="354">
        <v>2123</v>
      </c>
      <c r="C19" s="328" t="s">
        <v>746</v>
      </c>
      <c r="D19" s="328" t="s">
        <v>786</v>
      </c>
      <c r="E19" s="329" t="s">
        <v>852</v>
      </c>
      <c r="F19" s="330"/>
      <c r="G19" s="331">
        <v>692.16</v>
      </c>
      <c r="H19" s="332" t="s">
        <v>1006</v>
      </c>
      <c r="I19" s="331">
        <v>692.16</v>
      </c>
      <c r="J19" s="389">
        <v>692.16</v>
      </c>
      <c r="K19" s="333">
        <f t="shared" si="0"/>
        <v>0</v>
      </c>
      <c r="L19" s="161"/>
    </row>
    <row r="20" spans="1:20">
      <c r="A20" s="334">
        <v>13</v>
      </c>
      <c r="B20" s="354">
        <v>1970</v>
      </c>
      <c r="C20" s="328" t="s">
        <v>747</v>
      </c>
      <c r="D20" s="338" t="s">
        <v>787</v>
      </c>
      <c r="E20" s="329" t="s">
        <v>854</v>
      </c>
      <c r="F20" s="330">
        <v>1</v>
      </c>
      <c r="G20" s="331">
        <v>1090.42</v>
      </c>
      <c r="H20" s="332" t="s">
        <v>1006</v>
      </c>
      <c r="I20" s="331">
        <v>1090.42</v>
      </c>
      <c r="J20" s="389">
        <v>1090.42</v>
      </c>
      <c r="K20" s="333">
        <f t="shared" si="0"/>
        <v>0</v>
      </c>
      <c r="L20" s="161"/>
    </row>
    <row r="21" spans="1:20">
      <c r="A21" s="334">
        <v>14</v>
      </c>
      <c r="B21" s="376" t="s">
        <v>934</v>
      </c>
      <c r="C21" s="328" t="s">
        <v>932</v>
      </c>
      <c r="D21" s="338" t="s">
        <v>933</v>
      </c>
      <c r="E21" s="329" t="s">
        <v>851</v>
      </c>
      <c r="F21" s="330"/>
      <c r="G21" s="331">
        <v>756.04</v>
      </c>
      <c r="H21" s="332">
        <v>417.6</v>
      </c>
      <c r="I21" s="332">
        <f>SUM(G21:H21)</f>
        <v>1173.6399999999999</v>
      </c>
      <c r="J21" s="333">
        <v>1173.6300000000001</v>
      </c>
      <c r="K21" s="333">
        <f t="shared" si="0"/>
        <v>9.9999999997635314E-3</v>
      </c>
      <c r="L21" s="188"/>
      <c r="M21" s="403" t="s">
        <v>1042</v>
      </c>
    </row>
    <row r="22" spans="1:20">
      <c r="A22" s="334">
        <v>15</v>
      </c>
      <c r="B22" s="354">
        <v>1794</v>
      </c>
      <c r="C22" s="328" t="s">
        <v>466</v>
      </c>
      <c r="D22" s="328" t="s">
        <v>431</v>
      </c>
      <c r="E22" s="329" t="s">
        <v>854</v>
      </c>
      <c r="F22" s="330">
        <v>1</v>
      </c>
      <c r="G22" s="331">
        <v>1551.66</v>
      </c>
      <c r="H22" s="332" t="s">
        <v>1006</v>
      </c>
      <c r="I22" s="331">
        <v>1551.66</v>
      </c>
      <c r="J22" s="389">
        <v>1551.66</v>
      </c>
      <c r="K22" s="333">
        <f t="shared" si="0"/>
        <v>0</v>
      </c>
      <c r="L22" s="161"/>
      <c r="P22" s="1"/>
      <c r="Q22" s="1"/>
      <c r="R22" s="1"/>
      <c r="S22" s="1"/>
      <c r="T22" s="1"/>
    </row>
    <row r="23" spans="1:20">
      <c r="A23" s="334">
        <v>16</v>
      </c>
      <c r="B23" s="354">
        <v>2201</v>
      </c>
      <c r="C23" s="328" t="s">
        <v>748</v>
      </c>
      <c r="D23" s="338" t="s">
        <v>788</v>
      </c>
      <c r="E23" s="329" t="s">
        <v>852</v>
      </c>
      <c r="F23" s="330"/>
      <c r="G23" s="331">
        <v>1263.54</v>
      </c>
      <c r="H23" s="332" t="s">
        <v>1006</v>
      </c>
      <c r="I23" s="331">
        <v>1263.54</v>
      </c>
      <c r="J23" s="389">
        <v>1263.54</v>
      </c>
      <c r="K23" s="333">
        <f t="shared" si="0"/>
        <v>0</v>
      </c>
      <c r="L23" s="161"/>
    </row>
    <row r="24" spans="1:20">
      <c r="A24" s="334">
        <v>17</v>
      </c>
      <c r="B24" s="354">
        <v>2194</v>
      </c>
      <c r="C24" s="328" t="s">
        <v>749</v>
      </c>
      <c r="D24" s="338" t="s">
        <v>789</v>
      </c>
      <c r="E24" s="329" t="s">
        <v>852</v>
      </c>
      <c r="F24" s="330"/>
      <c r="G24" s="331">
        <v>606.04</v>
      </c>
      <c r="H24" s="332" t="s">
        <v>1006</v>
      </c>
      <c r="I24" s="331">
        <v>606.04</v>
      </c>
      <c r="J24" s="389">
        <v>606.04</v>
      </c>
      <c r="K24" s="333">
        <f t="shared" si="0"/>
        <v>0</v>
      </c>
      <c r="L24" s="161"/>
    </row>
    <row r="25" spans="1:20">
      <c r="A25" s="334"/>
      <c r="B25" s="354">
        <v>1961</v>
      </c>
      <c r="C25" s="328" t="s">
        <v>967</v>
      </c>
      <c r="D25" s="338" t="s">
        <v>968</v>
      </c>
      <c r="E25" s="329" t="s">
        <v>852</v>
      </c>
      <c r="F25" s="330"/>
      <c r="G25" s="331">
        <v>1379.98</v>
      </c>
      <c r="H25" s="332" t="s">
        <v>1006</v>
      </c>
      <c r="I25" s="331">
        <v>1379.98</v>
      </c>
      <c r="J25" s="389">
        <v>1379.98</v>
      </c>
      <c r="K25" s="333">
        <f t="shared" si="0"/>
        <v>0</v>
      </c>
      <c r="L25" s="161"/>
    </row>
    <row r="26" spans="1:20">
      <c r="A26" s="334">
        <v>18</v>
      </c>
      <c r="B26" s="354">
        <v>2289</v>
      </c>
      <c r="C26" s="328" t="s">
        <v>750</v>
      </c>
      <c r="D26" s="338" t="s">
        <v>790</v>
      </c>
      <c r="E26" s="329" t="s">
        <v>852</v>
      </c>
      <c r="F26" s="330"/>
      <c r="G26" s="331">
        <v>683.49</v>
      </c>
      <c r="H26" s="332" t="s">
        <v>1006</v>
      </c>
      <c r="I26" s="331">
        <v>683.49</v>
      </c>
      <c r="J26" s="389">
        <v>683.49</v>
      </c>
      <c r="K26" s="333">
        <f t="shared" si="0"/>
        <v>0</v>
      </c>
      <c r="L26" s="161"/>
    </row>
    <row r="27" spans="1:20">
      <c r="A27" s="334"/>
      <c r="B27" s="354">
        <v>2322</v>
      </c>
      <c r="C27" s="328" t="s">
        <v>1023</v>
      </c>
      <c r="D27" s="338" t="s">
        <v>1024</v>
      </c>
      <c r="E27" s="329" t="s">
        <v>852</v>
      </c>
      <c r="F27" s="330"/>
      <c r="G27" s="331">
        <v>541.59</v>
      </c>
      <c r="H27" s="332">
        <v>0</v>
      </c>
      <c r="I27" s="332">
        <v>541.59</v>
      </c>
      <c r="J27" s="335">
        <v>541.59</v>
      </c>
      <c r="K27" s="333">
        <f t="shared" si="0"/>
        <v>0</v>
      </c>
      <c r="L27" s="161"/>
    </row>
    <row r="28" spans="1:20">
      <c r="A28" s="334">
        <v>20</v>
      </c>
      <c r="B28" s="354">
        <v>2250</v>
      </c>
      <c r="C28" s="328" t="s">
        <v>752</v>
      </c>
      <c r="D28" s="328" t="s">
        <v>792</v>
      </c>
      <c r="E28" s="329" t="s">
        <v>853</v>
      </c>
      <c r="F28" s="330">
        <v>2</v>
      </c>
      <c r="G28" s="331">
        <v>1549.34</v>
      </c>
      <c r="H28" s="332" t="s">
        <v>1006</v>
      </c>
      <c r="I28" s="331">
        <v>1549.34</v>
      </c>
      <c r="J28" s="389">
        <v>1549.34</v>
      </c>
      <c r="K28" s="333">
        <f t="shared" si="0"/>
        <v>0</v>
      </c>
      <c r="L28" s="161"/>
    </row>
    <row r="29" spans="1:20">
      <c r="A29" s="334">
        <v>21</v>
      </c>
      <c r="B29" s="354">
        <v>2193</v>
      </c>
      <c r="C29" s="328" t="s">
        <v>753</v>
      </c>
      <c r="D29" s="328" t="s">
        <v>794</v>
      </c>
      <c r="E29" s="329" t="s">
        <v>852</v>
      </c>
      <c r="F29" s="330"/>
      <c r="G29" s="331">
        <v>661.83</v>
      </c>
      <c r="H29" s="332" t="s">
        <v>1006</v>
      </c>
      <c r="I29" s="331">
        <v>661.83</v>
      </c>
      <c r="J29" s="389">
        <v>661.83</v>
      </c>
      <c r="K29" s="333">
        <f t="shared" si="0"/>
        <v>0</v>
      </c>
      <c r="L29" s="161"/>
    </row>
    <row r="30" spans="1:20">
      <c r="A30" s="334"/>
      <c r="B30" s="354">
        <v>2223</v>
      </c>
      <c r="C30" s="328" t="s">
        <v>972</v>
      </c>
      <c r="D30" s="328" t="s">
        <v>973</v>
      </c>
      <c r="E30" s="329" t="s">
        <v>852</v>
      </c>
      <c r="F30" s="330"/>
      <c r="G30" s="331">
        <v>567.59</v>
      </c>
      <c r="H30" s="332"/>
      <c r="I30" s="331">
        <v>567.59</v>
      </c>
      <c r="J30" s="389">
        <v>567.59</v>
      </c>
      <c r="K30" s="333">
        <f t="shared" si="0"/>
        <v>0</v>
      </c>
      <c r="L30" s="161"/>
    </row>
    <row r="31" spans="1:20">
      <c r="A31" s="334">
        <v>22</v>
      </c>
      <c r="B31" s="354">
        <v>640</v>
      </c>
      <c r="C31" s="328" t="s">
        <v>754</v>
      </c>
      <c r="D31" s="339" t="s">
        <v>795</v>
      </c>
      <c r="E31" s="329" t="s">
        <v>852</v>
      </c>
      <c r="F31" s="330"/>
      <c r="G31" s="331">
        <v>1379.98</v>
      </c>
      <c r="H31" s="332" t="s">
        <v>1006</v>
      </c>
      <c r="I31" s="391">
        <v>1379.98</v>
      </c>
      <c r="J31" s="389">
        <v>1379.98</v>
      </c>
      <c r="K31" s="333">
        <f t="shared" si="0"/>
        <v>0</v>
      </c>
      <c r="L31" s="329"/>
    </row>
    <row r="32" spans="1:20">
      <c r="A32" s="334">
        <v>23</v>
      </c>
      <c r="B32" s="354">
        <v>901</v>
      </c>
      <c r="C32" s="328" t="s">
        <v>439</v>
      </c>
      <c r="D32" s="328" t="s">
        <v>505</v>
      </c>
      <c r="E32" s="329" t="s">
        <v>852</v>
      </c>
      <c r="F32" s="330"/>
      <c r="G32" s="331">
        <v>1624.77</v>
      </c>
      <c r="H32" s="332" t="s">
        <v>1006</v>
      </c>
      <c r="I32" s="331">
        <v>1624.77</v>
      </c>
      <c r="J32" s="389">
        <v>1624.77</v>
      </c>
      <c r="K32" s="333">
        <f t="shared" si="0"/>
        <v>0</v>
      </c>
      <c r="L32" s="329"/>
    </row>
    <row r="33" spans="1:20">
      <c r="A33" s="334"/>
      <c r="B33" s="354">
        <v>2320</v>
      </c>
      <c r="C33" s="328" t="s">
        <v>1043</v>
      </c>
      <c r="D33" s="328" t="s">
        <v>1044</v>
      </c>
      <c r="E33" s="329" t="s">
        <v>852</v>
      </c>
      <c r="F33" s="330"/>
      <c r="G33" s="331">
        <v>567.59</v>
      </c>
      <c r="H33" s="332"/>
      <c r="I33" s="331">
        <v>567.59</v>
      </c>
      <c r="J33" s="389">
        <v>567.59</v>
      </c>
      <c r="K33" s="333">
        <f t="shared" si="0"/>
        <v>0</v>
      </c>
      <c r="L33" s="329" t="s">
        <v>1051</v>
      </c>
    </row>
    <row r="34" spans="1:20">
      <c r="A34" s="334">
        <v>24</v>
      </c>
      <c r="B34" s="376" t="s">
        <v>675</v>
      </c>
      <c r="C34" s="328" t="s">
        <v>755</v>
      </c>
      <c r="D34" s="328" t="s">
        <v>796</v>
      </c>
      <c r="E34" s="329" t="s">
        <v>852</v>
      </c>
      <c r="F34" s="330"/>
      <c r="G34" s="331">
        <v>717.61</v>
      </c>
      <c r="H34" s="332" t="s">
        <v>1006</v>
      </c>
      <c r="I34" s="332">
        <v>717.61</v>
      </c>
      <c r="J34" s="333">
        <v>717.61</v>
      </c>
      <c r="K34" s="333">
        <f t="shared" si="0"/>
        <v>0</v>
      </c>
      <c r="L34" s="329"/>
    </row>
    <row r="35" spans="1:20">
      <c r="A35" s="334">
        <v>26</v>
      </c>
      <c r="B35" s="354">
        <v>1741</v>
      </c>
      <c r="C35" s="328" t="s">
        <v>755</v>
      </c>
      <c r="D35" s="328" t="s">
        <v>797</v>
      </c>
      <c r="E35" s="329" t="s">
        <v>852</v>
      </c>
      <c r="F35" s="330"/>
      <c r="G35" s="331">
        <v>1156.3</v>
      </c>
      <c r="H35" s="332" t="s">
        <v>1006</v>
      </c>
      <c r="I35" s="331">
        <v>1156.3</v>
      </c>
      <c r="J35" s="389">
        <v>1156.3</v>
      </c>
      <c r="K35" s="333">
        <f t="shared" si="0"/>
        <v>0</v>
      </c>
      <c r="L35" s="329"/>
    </row>
    <row r="36" spans="1:20">
      <c r="A36" s="334">
        <v>25</v>
      </c>
      <c r="B36" s="354">
        <v>1757</v>
      </c>
      <c r="C36" s="328" t="s">
        <v>755</v>
      </c>
      <c r="D36" s="338" t="s">
        <v>798</v>
      </c>
      <c r="E36" s="329" t="s">
        <v>853</v>
      </c>
      <c r="F36" s="330">
        <v>2</v>
      </c>
      <c r="G36" s="331">
        <v>1956.43</v>
      </c>
      <c r="H36" s="332" t="s">
        <v>1006</v>
      </c>
      <c r="I36" s="331">
        <v>1956.43</v>
      </c>
      <c r="J36" s="389">
        <v>1956.43</v>
      </c>
      <c r="K36" s="333">
        <f t="shared" si="0"/>
        <v>0</v>
      </c>
      <c r="L36" s="329"/>
      <c r="N36" s="12"/>
      <c r="O36" s="12"/>
      <c r="P36" s="12"/>
      <c r="Q36" s="12"/>
      <c r="R36" s="12"/>
      <c r="S36" s="12"/>
      <c r="T36" s="12"/>
    </row>
    <row r="37" spans="1:20">
      <c r="A37" s="334">
        <v>27</v>
      </c>
      <c r="B37" s="354">
        <v>2057</v>
      </c>
      <c r="C37" s="328" t="s">
        <v>756</v>
      </c>
      <c r="D37" s="338" t="s">
        <v>799</v>
      </c>
      <c r="E37" s="329" t="s">
        <v>852</v>
      </c>
      <c r="F37" s="330"/>
      <c r="G37" s="331">
        <v>1624.77</v>
      </c>
      <c r="H37" s="332" t="s">
        <v>1006</v>
      </c>
      <c r="I37" s="331">
        <v>1624.77</v>
      </c>
      <c r="J37" s="389">
        <v>1624.77</v>
      </c>
      <c r="K37" s="333">
        <f t="shared" si="0"/>
        <v>0</v>
      </c>
      <c r="L37" s="329"/>
    </row>
    <row r="38" spans="1:20">
      <c r="A38" s="334">
        <v>28</v>
      </c>
      <c r="B38" s="354">
        <v>1210</v>
      </c>
      <c r="C38" s="328" t="s">
        <v>756</v>
      </c>
      <c r="D38" s="338" t="s">
        <v>800</v>
      </c>
      <c r="E38" s="329" t="s">
        <v>852</v>
      </c>
      <c r="F38" s="330"/>
      <c r="G38" s="331">
        <v>1598.79</v>
      </c>
      <c r="H38" s="332" t="s">
        <v>1006</v>
      </c>
      <c r="I38" s="331">
        <v>1598.79</v>
      </c>
      <c r="J38" s="389">
        <v>1598.79</v>
      </c>
      <c r="K38" s="333">
        <f t="shared" si="0"/>
        <v>0</v>
      </c>
      <c r="L38" s="329"/>
    </row>
    <row r="39" spans="1:20">
      <c r="A39" s="334"/>
      <c r="B39" s="354">
        <v>2310</v>
      </c>
      <c r="C39" s="328" t="s">
        <v>756</v>
      </c>
      <c r="D39" s="338" t="s">
        <v>977</v>
      </c>
      <c r="E39" s="329" t="s">
        <v>852</v>
      </c>
      <c r="F39" s="330"/>
      <c r="G39" s="331">
        <v>923.96</v>
      </c>
      <c r="H39" s="332" t="s">
        <v>1006</v>
      </c>
      <c r="I39" s="331">
        <v>923.96</v>
      </c>
      <c r="J39" s="389">
        <v>923.96</v>
      </c>
      <c r="K39" s="333">
        <f t="shared" si="0"/>
        <v>0</v>
      </c>
      <c r="L39" s="329"/>
    </row>
    <row r="40" spans="1:20">
      <c r="A40" s="334"/>
      <c r="B40" s="354">
        <v>2325</v>
      </c>
      <c r="C40" s="328" t="s">
        <v>444</v>
      </c>
      <c r="D40" s="328" t="s">
        <v>1035</v>
      </c>
      <c r="E40" s="329" t="s">
        <v>852</v>
      </c>
      <c r="F40" s="330"/>
      <c r="G40" s="331">
        <v>1598.79</v>
      </c>
      <c r="H40" s="332">
        <v>0</v>
      </c>
      <c r="I40" s="331">
        <v>1598.79</v>
      </c>
      <c r="J40" s="331">
        <v>1598.79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852</v>
      </c>
      <c r="F43" s="330"/>
      <c r="G43" s="331">
        <v>657.5</v>
      </c>
      <c r="H43" s="332">
        <v>0</v>
      </c>
      <c r="I43" s="331">
        <v>657.5</v>
      </c>
      <c r="J43" s="389">
        <v>657.5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/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 t="s">
        <v>1051</v>
      </c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854</v>
      </c>
      <c r="F45" s="330">
        <v>1</v>
      </c>
      <c r="G45" s="331">
        <v>1094.75</v>
      </c>
      <c r="H45" s="332" t="s">
        <v>1006</v>
      </c>
      <c r="I45" s="331">
        <v>1094.75</v>
      </c>
      <c r="J45" s="389">
        <v>1094.75</v>
      </c>
      <c r="K45" s="333">
        <f t="shared" si="0"/>
        <v>0</v>
      </c>
      <c r="L45" s="329"/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328" t="s">
        <v>759</v>
      </c>
      <c r="D51" s="338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>
        <v>661.83</v>
      </c>
      <c r="K51" s="333">
        <f t="shared" si="0"/>
        <v>0</v>
      </c>
      <c r="L51" s="329" t="s">
        <v>1063</v>
      </c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/>
      <c r="B55" s="354">
        <v>2292</v>
      </c>
      <c r="C55" s="328" t="s">
        <v>763</v>
      </c>
      <c r="D55" s="328" t="s">
        <v>1040</v>
      </c>
      <c r="E55" s="329" t="s">
        <v>852</v>
      </c>
      <c r="F55" s="330"/>
      <c r="G55" s="331">
        <v>0</v>
      </c>
      <c r="H55" s="332"/>
      <c r="I55" s="331">
        <v>0</v>
      </c>
      <c r="J55" s="389">
        <v>567.59</v>
      </c>
      <c r="K55" s="333">
        <f t="shared" si="0"/>
        <v>-567.59</v>
      </c>
      <c r="L55" s="329" t="s">
        <v>1064</v>
      </c>
    </row>
    <row r="56" spans="1:12">
      <c r="A56" s="334">
        <v>41</v>
      </c>
      <c r="B56" s="354">
        <v>2203</v>
      </c>
      <c r="C56" s="328" t="s">
        <v>763</v>
      </c>
      <c r="D56" s="328" t="s">
        <v>811</v>
      </c>
      <c r="E56" s="329" t="s">
        <v>852</v>
      </c>
      <c r="F56" s="330"/>
      <c r="G56" s="331">
        <v>666.16</v>
      </c>
      <c r="H56" s="332" t="s">
        <v>1006</v>
      </c>
      <c r="I56" s="331">
        <v>666.16</v>
      </c>
      <c r="J56" s="389">
        <v>666.16</v>
      </c>
      <c r="K56" s="333">
        <f t="shared" si="0"/>
        <v>0</v>
      </c>
      <c r="L56" s="329"/>
    </row>
    <row r="57" spans="1:12">
      <c r="A57" s="334">
        <v>42</v>
      </c>
      <c r="B57" s="354">
        <v>2235</v>
      </c>
      <c r="C57" s="328" t="s">
        <v>764</v>
      </c>
      <c r="D57" s="328" t="s">
        <v>812</v>
      </c>
      <c r="E57" s="329" t="s">
        <v>854</v>
      </c>
      <c r="F57" s="330">
        <v>1</v>
      </c>
      <c r="G57" s="331">
        <v>1350.93</v>
      </c>
      <c r="H57" s="332" t="s">
        <v>1006</v>
      </c>
      <c r="I57" s="331">
        <v>1350.93</v>
      </c>
      <c r="J57" s="389">
        <v>1350.93</v>
      </c>
      <c r="K57" s="333">
        <f t="shared" si="0"/>
        <v>0</v>
      </c>
      <c r="L57" s="329"/>
    </row>
    <row r="58" spans="1:12">
      <c r="A58" s="334">
        <v>43</v>
      </c>
      <c r="B58" s="354">
        <v>2245</v>
      </c>
      <c r="C58" s="328" t="s">
        <v>765</v>
      </c>
      <c r="D58" s="328" t="s">
        <v>813</v>
      </c>
      <c r="E58" s="329" t="s">
        <v>854</v>
      </c>
      <c r="F58" s="330">
        <v>1</v>
      </c>
      <c r="G58" s="331">
        <v>1584.89</v>
      </c>
      <c r="H58" s="332" t="s">
        <v>1006</v>
      </c>
      <c r="I58" s="331">
        <v>1584.89</v>
      </c>
      <c r="J58" s="389">
        <v>1584.89</v>
      </c>
      <c r="K58" s="333">
        <f t="shared" si="0"/>
        <v>0</v>
      </c>
      <c r="L58" s="329"/>
    </row>
    <row r="59" spans="1:12">
      <c r="A59" s="334">
        <v>44</v>
      </c>
      <c r="B59" s="354">
        <v>2001</v>
      </c>
      <c r="C59" s="328" t="s">
        <v>766</v>
      </c>
      <c r="D59" s="338" t="s">
        <v>814</v>
      </c>
      <c r="E59" s="329" t="s">
        <v>852</v>
      </c>
      <c r="F59" s="330"/>
      <c r="G59" s="331">
        <v>1319.87</v>
      </c>
      <c r="H59" s="332" t="s">
        <v>1006</v>
      </c>
      <c r="I59" s="331">
        <v>1319.87</v>
      </c>
      <c r="J59" s="389">
        <v>1319.87</v>
      </c>
      <c r="K59" s="333">
        <f t="shared" si="0"/>
        <v>0</v>
      </c>
      <c r="L59" s="329"/>
    </row>
    <row r="60" spans="1:12">
      <c r="A60" s="334">
        <v>45</v>
      </c>
      <c r="B60" s="354">
        <v>2160</v>
      </c>
      <c r="C60" s="328" t="s">
        <v>767</v>
      </c>
      <c r="D60" s="338" t="s">
        <v>815</v>
      </c>
      <c r="E60" s="329" t="s">
        <v>854</v>
      </c>
      <c r="F60" s="330">
        <v>1</v>
      </c>
      <c r="G60" s="331">
        <v>1921.57</v>
      </c>
      <c r="H60" s="332" t="s">
        <v>1006</v>
      </c>
      <c r="I60" s="331">
        <v>1921.57</v>
      </c>
      <c r="J60" s="389">
        <v>1921.57</v>
      </c>
      <c r="K60" s="333">
        <f t="shared" si="0"/>
        <v>0</v>
      </c>
      <c r="L60" s="329"/>
    </row>
    <row r="61" spans="1:12">
      <c r="A61" s="334">
        <v>47</v>
      </c>
      <c r="B61" s="354">
        <v>2279</v>
      </c>
      <c r="C61" s="328" t="s">
        <v>769</v>
      </c>
      <c r="D61" s="328" t="s">
        <v>843</v>
      </c>
      <c r="E61" s="329" t="s">
        <v>852</v>
      </c>
      <c r="F61" s="330"/>
      <c r="G61" s="331">
        <v>554.59</v>
      </c>
      <c r="H61" s="332" t="s">
        <v>1006</v>
      </c>
      <c r="I61" s="331">
        <v>554.59</v>
      </c>
      <c r="J61" s="389">
        <v>554.59</v>
      </c>
      <c r="K61" s="333">
        <f t="shared" si="0"/>
        <v>0</v>
      </c>
      <c r="L61" s="161"/>
    </row>
    <row r="62" spans="1:12">
      <c r="A62" s="334">
        <v>48</v>
      </c>
      <c r="B62" s="354">
        <v>2246</v>
      </c>
      <c r="C62" s="328" t="s">
        <v>769</v>
      </c>
      <c r="D62" s="338" t="s">
        <v>817</v>
      </c>
      <c r="E62" s="329" t="s">
        <v>852</v>
      </c>
      <c r="F62" s="330"/>
      <c r="G62" s="331">
        <v>648.83000000000004</v>
      </c>
      <c r="H62" s="332" t="s">
        <v>1006</v>
      </c>
      <c r="I62" s="331">
        <v>648.83000000000004</v>
      </c>
      <c r="J62" s="389">
        <v>648.83000000000004</v>
      </c>
      <c r="K62" s="333">
        <f t="shared" si="0"/>
        <v>0</v>
      </c>
      <c r="L62" s="188"/>
    </row>
    <row r="63" spans="1:12">
      <c r="A63" s="334">
        <v>49</v>
      </c>
      <c r="B63" s="354">
        <v>2018</v>
      </c>
      <c r="C63" s="328" t="s">
        <v>770</v>
      </c>
      <c r="D63" s="328" t="s">
        <v>818</v>
      </c>
      <c r="E63" s="329" t="s">
        <v>852</v>
      </c>
      <c r="F63" s="330"/>
      <c r="G63" s="331">
        <v>1624.77</v>
      </c>
      <c r="H63" s="332" t="s">
        <v>1006</v>
      </c>
      <c r="I63" s="331">
        <v>1624.77</v>
      </c>
      <c r="J63" s="389">
        <v>1624.77</v>
      </c>
      <c r="K63" s="333">
        <f t="shared" si="0"/>
        <v>0</v>
      </c>
      <c r="L63" s="161"/>
    </row>
    <row r="64" spans="1:12">
      <c r="A64" s="334">
        <v>50</v>
      </c>
      <c r="B64" s="354">
        <v>1692</v>
      </c>
      <c r="C64" s="328" t="s">
        <v>771</v>
      </c>
      <c r="D64" s="338" t="s">
        <v>819</v>
      </c>
      <c r="E64" s="329" t="s">
        <v>852</v>
      </c>
      <c r="F64" s="330"/>
      <c r="G64" s="331">
        <v>1379.98</v>
      </c>
      <c r="H64" s="332" t="s">
        <v>1006</v>
      </c>
      <c r="I64" s="331">
        <v>1379.98</v>
      </c>
      <c r="J64" s="333">
        <v>1379.98</v>
      </c>
      <c r="K64" s="333">
        <f t="shared" si="0"/>
        <v>0</v>
      </c>
      <c r="L64" s="329"/>
    </row>
    <row r="65" spans="1:16">
      <c r="A65" s="334"/>
      <c r="B65" s="354">
        <v>2027</v>
      </c>
      <c r="C65" s="328" t="s">
        <v>771</v>
      </c>
      <c r="D65" s="338" t="s">
        <v>982</v>
      </c>
      <c r="E65" s="329" t="s">
        <v>852</v>
      </c>
      <c r="F65" s="330"/>
      <c r="G65" s="331">
        <v>661.83</v>
      </c>
      <c r="H65" s="332" t="s">
        <v>1006</v>
      </c>
      <c r="I65" s="331">
        <v>661.83</v>
      </c>
      <c r="J65" s="389">
        <v>661.83</v>
      </c>
      <c r="K65" s="333">
        <f t="shared" si="0"/>
        <v>0</v>
      </c>
      <c r="L65" s="329"/>
    </row>
    <row r="66" spans="1:16">
      <c r="A66" s="334"/>
      <c r="B66" s="354">
        <v>2288</v>
      </c>
      <c r="C66" s="328" t="s">
        <v>772</v>
      </c>
      <c r="D66" s="338" t="s">
        <v>820</v>
      </c>
      <c r="E66" s="329" t="s">
        <v>852</v>
      </c>
      <c r="F66" s="330"/>
      <c r="G66" s="331">
        <v>588.71</v>
      </c>
      <c r="H66" s="332"/>
      <c r="I66" s="331">
        <v>588.71</v>
      </c>
      <c r="J66" s="389">
        <v>588.71</v>
      </c>
      <c r="K66" s="333">
        <f t="shared" si="0"/>
        <v>0</v>
      </c>
      <c r="L66" s="329" t="s">
        <v>1051</v>
      </c>
    </row>
    <row r="67" spans="1:16">
      <c r="A67" s="334">
        <v>52</v>
      </c>
      <c r="B67" s="354">
        <v>2060</v>
      </c>
      <c r="C67" s="328" t="s">
        <v>487</v>
      </c>
      <c r="D67" s="328" t="s">
        <v>516</v>
      </c>
      <c r="E67" s="329" t="s">
        <v>852</v>
      </c>
      <c r="F67" s="330"/>
      <c r="G67" s="331">
        <v>1057.19</v>
      </c>
      <c r="H67" s="332" t="s">
        <v>1006</v>
      </c>
      <c r="I67" s="331">
        <v>1057.19</v>
      </c>
      <c r="J67" s="389">
        <v>1057.19</v>
      </c>
      <c r="K67" s="333">
        <f t="shared" si="0"/>
        <v>0</v>
      </c>
      <c r="L67" s="329"/>
    </row>
    <row r="68" spans="1:16">
      <c r="A68" s="334">
        <v>54</v>
      </c>
      <c r="B68" s="354">
        <v>1050</v>
      </c>
      <c r="C68" s="328" t="s">
        <v>773</v>
      </c>
      <c r="D68" s="328" t="s">
        <v>821</v>
      </c>
      <c r="E68" s="329" t="s">
        <v>852</v>
      </c>
      <c r="F68" s="330"/>
      <c r="G68" s="331">
        <v>1624.77</v>
      </c>
      <c r="H68" s="332" t="s">
        <v>1006</v>
      </c>
      <c r="I68" s="331">
        <v>1624.77</v>
      </c>
      <c r="J68" s="389">
        <v>1624.77</v>
      </c>
      <c r="K68" s="333">
        <f t="shared" si="0"/>
        <v>0</v>
      </c>
      <c r="L68" s="329"/>
    </row>
    <row r="69" spans="1:16">
      <c r="A69" s="334">
        <v>55</v>
      </c>
      <c r="B69" s="354">
        <v>1964</v>
      </c>
      <c r="C69" s="328" t="s">
        <v>491</v>
      </c>
      <c r="D69" s="328" t="s">
        <v>456</v>
      </c>
      <c r="E69" s="329" t="s">
        <v>852</v>
      </c>
      <c r="F69" s="330"/>
      <c r="G69" s="331">
        <v>846.51</v>
      </c>
      <c r="H69" s="332" t="s">
        <v>1006</v>
      </c>
      <c r="I69" s="331">
        <v>846.51</v>
      </c>
      <c r="J69" s="389">
        <v>846.51</v>
      </c>
      <c r="K69" s="333">
        <f t="shared" si="0"/>
        <v>0</v>
      </c>
      <c r="L69" s="329"/>
    </row>
    <row r="70" spans="1:16">
      <c r="A70" s="334">
        <v>57</v>
      </c>
      <c r="B70" s="354">
        <v>1981</v>
      </c>
      <c r="C70" s="328" t="s">
        <v>774</v>
      </c>
      <c r="D70" s="338" t="s">
        <v>822</v>
      </c>
      <c r="E70" s="329" t="s">
        <v>852</v>
      </c>
      <c r="F70" s="330"/>
      <c r="G70" s="331">
        <v>683.49</v>
      </c>
      <c r="H70" s="332" t="s">
        <v>1006</v>
      </c>
      <c r="I70" s="331">
        <v>683.49</v>
      </c>
      <c r="J70" s="389">
        <v>683.49</v>
      </c>
      <c r="K70" s="333">
        <f t="shared" ref="K70:K78" si="1">I70-J70</f>
        <v>0</v>
      </c>
      <c r="L70" s="329"/>
    </row>
    <row r="71" spans="1:16">
      <c r="A71" s="334">
        <v>56</v>
      </c>
      <c r="B71" s="354">
        <v>1662</v>
      </c>
      <c r="C71" s="328" t="s">
        <v>774</v>
      </c>
      <c r="D71" s="328" t="s">
        <v>823</v>
      </c>
      <c r="E71" s="329" t="s">
        <v>852</v>
      </c>
      <c r="F71" s="330"/>
      <c r="G71" s="331">
        <v>885.51</v>
      </c>
      <c r="H71" s="332" t="s">
        <v>1006</v>
      </c>
      <c r="I71" s="331">
        <v>885.51</v>
      </c>
      <c r="J71" s="389">
        <v>885.51</v>
      </c>
      <c r="K71" s="333">
        <f t="shared" si="1"/>
        <v>0</v>
      </c>
      <c r="L71" s="329"/>
    </row>
    <row r="72" spans="1:16">
      <c r="A72" s="334"/>
      <c r="B72" s="354">
        <v>1708</v>
      </c>
      <c r="C72" s="328" t="s">
        <v>775</v>
      </c>
      <c r="D72" s="328" t="s">
        <v>791</v>
      </c>
      <c r="E72" s="329" t="s">
        <v>852</v>
      </c>
      <c r="F72" s="330"/>
      <c r="G72" s="331">
        <v>1624.77</v>
      </c>
      <c r="H72" s="332" t="s">
        <v>1006</v>
      </c>
      <c r="I72" s="331">
        <v>1624.77</v>
      </c>
      <c r="J72" s="389">
        <v>1624.77</v>
      </c>
      <c r="K72" s="333">
        <f t="shared" si="1"/>
        <v>0</v>
      </c>
      <c r="L72" s="329"/>
    </row>
    <row r="73" spans="1:16">
      <c r="A73" s="334">
        <v>58</v>
      </c>
      <c r="B73" s="354">
        <v>1630</v>
      </c>
      <c r="C73" s="328" t="s">
        <v>775</v>
      </c>
      <c r="D73" s="338" t="s">
        <v>824</v>
      </c>
      <c r="E73" s="329" t="s">
        <v>852</v>
      </c>
      <c r="F73" s="330"/>
      <c r="G73" s="331">
        <v>1207.76</v>
      </c>
      <c r="H73" s="332" t="s">
        <v>1006</v>
      </c>
      <c r="I73" s="331">
        <v>1207.76</v>
      </c>
      <c r="J73" s="389">
        <v>1207.76</v>
      </c>
      <c r="K73" s="333">
        <f t="shared" si="1"/>
        <v>0</v>
      </c>
      <c r="L73" s="329"/>
    </row>
    <row r="74" spans="1:16">
      <c r="A74" s="334">
        <v>61</v>
      </c>
      <c r="B74" s="354">
        <v>2010</v>
      </c>
      <c r="C74" s="328" t="s">
        <v>777</v>
      </c>
      <c r="D74" s="328" t="s">
        <v>826</v>
      </c>
      <c r="E74" s="329" t="s">
        <v>852</v>
      </c>
      <c r="F74" s="330"/>
      <c r="G74" s="331">
        <v>1010.07</v>
      </c>
      <c r="H74" s="332" t="s">
        <v>1006</v>
      </c>
      <c r="I74" s="331">
        <v>1010.07</v>
      </c>
      <c r="J74" s="389">
        <v>1010.07</v>
      </c>
      <c r="K74" s="333">
        <f t="shared" si="1"/>
        <v>0</v>
      </c>
      <c r="L74" s="329"/>
    </row>
    <row r="75" spans="1:16">
      <c r="A75" s="334">
        <v>60</v>
      </c>
      <c r="B75" s="354">
        <v>2187</v>
      </c>
      <c r="C75" s="328" t="s">
        <v>777</v>
      </c>
      <c r="D75" s="328" t="s">
        <v>827</v>
      </c>
      <c r="E75" s="329" t="s">
        <v>853</v>
      </c>
      <c r="F75" s="330">
        <v>2</v>
      </c>
      <c r="G75" s="331">
        <v>1889.46</v>
      </c>
      <c r="H75" s="332" t="s">
        <v>1006</v>
      </c>
      <c r="I75" s="391">
        <v>1889.46</v>
      </c>
      <c r="J75" s="389">
        <v>1889.46</v>
      </c>
      <c r="K75" s="333">
        <f t="shared" si="1"/>
        <v>0</v>
      </c>
      <c r="L75" s="329"/>
    </row>
    <row r="76" spans="1:16">
      <c r="A76" s="334">
        <v>62</v>
      </c>
      <c r="B76" s="354">
        <v>2095</v>
      </c>
      <c r="C76" s="328" t="s">
        <v>778</v>
      </c>
      <c r="D76" s="338" t="s">
        <v>828</v>
      </c>
      <c r="E76" s="329" t="s">
        <v>852</v>
      </c>
      <c r="F76" s="330"/>
      <c r="G76" s="331">
        <v>648.83000000000004</v>
      </c>
      <c r="H76" s="332" t="s">
        <v>1006</v>
      </c>
      <c r="I76" s="331">
        <v>648.83000000000004</v>
      </c>
      <c r="J76" s="389">
        <v>648.83000000000004</v>
      </c>
      <c r="K76" s="333">
        <f t="shared" si="1"/>
        <v>0</v>
      </c>
      <c r="L76" s="329"/>
    </row>
    <row r="77" spans="1:16">
      <c r="A77" s="334">
        <v>63</v>
      </c>
      <c r="B77" s="354">
        <v>2064</v>
      </c>
      <c r="C77" s="328" t="s">
        <v>778</v>
      </c>
      <c r="D77" s="338" t="s">
        <v>829</v>
      </c>
      <c r="E77" s="341" t="s">
        <v>856</v>
      </c>
      <c r="F77" s="330">
        <v>2</v>
      </c>
      <c r="G77" s="331">
        <v>1682.01</v>
      </c>
      <c r="H77" s="332">
        <v>584.94000000000005</v>
      </c>
      <c r="I77" s="332">
        <f>SUM(G77:H77)</f>
        <v>2266.9499999999998</v>
      </c>
      <c r="J77" s="333">
        <v>2266.9499999999998</v>
      </c>
      <c r="K77" s="333">
        <f t="shared" si="1"/>
        <v>0</v>
      </c>
      <c r="L77" s="329"/>
    </row>
    <row r="78" spans="1:16">
      <c r="A78" s="334"/>
      <c r="B78" s="354">
        <v>2089</v>
      </c>
      <c r="C78" s="328" t="s">
        <v>870</v>
      </c>
      <c r="D78" s="338" t="s">
        <v>1007</v>
      </c>
      <c r="E78" s="329" t="s">
        <v>852</v>
      </c>
      <c r="F78" s="330"/>
      <c r="G78" s="331">
        <v>648.83000000000004</v>
      </c>
      <c r="H78" s="332" t="s">
        <v>1006</v>
      </c>
      <c r="I78" s="331">
        <v>648.83000000000004</v>
      </c>
      <c r="J78" s="389">
        <v>648.83000000000004</v>
      </c>
      <c r="K78" s="333">
        <f t="shared" si="1"/>
        <v>0</v>
      </c>
      <c r="L78" s="329"/>
    </row>
    <row r="79" spans="1:16">
      <c r="A79" s="296"/>
      <c r="B79" s="66"/>
      <c r="C79" s="29"/>
      <c r="D79" s="29"/>
      <c r="E79" s="342"/>
      <c r="F79" s="343"/>
      <c r="G79" s="344"/>
      <c r="H79" s="345">
        <f>SUM(H5:H78)</f>
        <v>2577.04</v>
      </c>
      <c r="I79" s="344"/>
      <c r="J79" s="346"/>
      <c r="K79" s="346"/>
      <c r="L79" s="385"/>
      <c r="M79" s="216"/>
      <c r="O79" s="15"/>
      <c r="P79" s="15"/>
    </row>
    <row r="80" spans="1:16">
      <c r="A80" s="296"/>
      <c r="E80" s="342"/>
      <c r="F80" s="343"/>
      <c r="G80" s="344"/>
      <c r="H80" s="344"/>
      <c r="I80" s="344"/>
      <c r="J80" s="346"/>
      <c r="K80" s="346"/>
      <c r="L80" s="385"/>
      <c r="M80" s="216"/>
      <c r="O80" s="15"/>
      <c r="P80" s="15"/>
    </row>
    <row r="81" spans="1:20">
      <c r="A81" s="438" t="s">
        <v>652</v>
      </c>
      <c r="B81" s="439"/>
      <c r="C81" s="439"/>
      <c r="D81" s="439"/>
      <c r="E81" s="439"/>
      <c r="F81" s="439"/>
      <c r="G81" s="440"/>
      <c r="H81" s="347"/>
      <c r="I81" s="348">
        <f>SUM(I5:I78)</f>
        <v>83964.010000000009</v>
      </c>
      <c r="J81" s="383">
        <f>SUM(J5:J78)</f>
        <v>84531.58</v>
      </c>
      <c r="K81" s="383"/>
      <c r="L81" s="386"/>
    </row>
    <row r="82" spans="1:20">
      <c r="A82" s="441" t="s">
        <v>1028</v>
      </c>
      <c r="B82" s="442"/>
      <c r="C82" s="443"/>
      <c r="D82" s="351"/>
      <c r="E82" s="352" t="s">
        <v>258</v>
      </c>
      <c r="F82" s="334">
        <v>73</v>
      </c>
      <c r="G82" s="329" t="s">
        <v>1029</v>
      </c>
      <c r="H82" s="351"/>
      <c r="I82" s="352" t="s">
        <v>258</v>
      </c>
      <c r="J82" s="343">
        <v>74</v>
      </c>
      <c r="K82" s="343"/>
      <c r="L82" s="161"/>
    </row>
    <row r="83" spans="1:20">
      <c r="A83" s="353"/>
      <c r="B83" s="352"/>
      <c r="C83" s="351"/>
      <c r="D83" s="351"/>
      <c r="E83" s="351" t="s">
        <v>930</v>
      </c>
      <c r="F83" s="330">
        <v>4</v>
      </c>
      <c r="G83" s="329"/>
      <c r="H83" s="351"/>
      <c r="I83" s="351" t="s">
        <v>930</v>
      </c>
      <c r="J83" s="343">
        <v>4</v>
      </c>
      <c r="K83" s="343"/>
      <c r="L83" s="161"/>
    </row>
    <row r="84" spans="1:20">
      <c r="A84" s="441"/>
      <c r="B84" s="442"/>
      <c r="C84" s="443"/>
      <c r="D84" s="351"/>
      <c r="E84" s="352" t="s">
        <v>931</v>
      </c>
      <c r="F84" s="355">
        <v>26</v>
      </c>
      <c r="G84" s="329"/>
      <c r="H84" s="351"/>
      <c r="I84" s="352" t="s">
        <v>931</v>
      </c>
      <c r="J84" s="343">
        <v>26</v>
      </c>
      <c r="K84" s="343"/>
      <c r="L84" s="161"/>
    </row>
    <row r="85" spans="1:20">
      <c r="A85" s="444"/>
      <c r="B85" s="445"/>
      <c r="C85" s="446"/>
      <c r="D85" s="356"/>
      <c r="E85" s="357" t="s">
        <v>246</v>
      </c>
      <c r="F85" s="358">
        <v>103</v>
      </c>
      <c r="G85" s="329"/>
      <c r="H85" s="393"/>
      <c r="I85" s="394" t="s">
        <v>246</v>
      </c>
      <c r="J85" s="395">
        <v>104</v>
      </c>
      <c r="K85" s="395"/>
      <c r="L85" s="161"/>
    </row>
    <row r="86" spans="1:20">
      <c r="A86" s="447" t="s">
        <v>830</v>
      </c>
      <c r="B86" s="448"/>
      <c r="C86" s="448"/>
      <c r="D86" s="448"/>
      <c r="E86" s="448"/>
      <c r="F86" s="448"/>
      <c r="G86" s="448"/>
      <c r="H86" s="381"/>
      <c r="I86" s="381"/>
      <c r="J86" s="396"/>
      <c r="K86" s="396"/>
      <c r="L86" s="392"/>
      <c r="N86" s="15"/>
    </row>
    <row r="87" spans="1:20">
      <c r="A87" s="361"/>
      <c r="B87" s="354">
        <v>2320</v>
      </c>
      <c r="C87" s="328" t="s">
        <v>1043</v>
      </c>
      <c r="D87" s="328" t="s">
        <v>1044</v>
      </c>
      <c r="E87" s="329" t="s">
        <v>852</v>
      </c>
      <c r="F87" s="330"/>
      <c r="G87" s="331">
        <v>567.59</v>
      </c>
      <c r="H87" s="332"/>
      <c r="I87" s="331">
        <v>567.59</v>
      </c>
      <c r="J87" s="389">
        <v>567.59</v>
      </c>
      <c r="K87" s="331"/>
      <c r="L87" s="196" t="s">
        <v>1061</v>
      </c>
      <c r="M87" s="362"/>
      <c r="N87" s="363"/>
      <c r="O87" s="362"/>
      <c r="P87" s="362"/>
      <c r="Q87" s="362"/>
      <c r="R87" s="362"/>
      <c r="S87" s="362"/>
      <c r="T87" s="362"/>
    </row>
    <row r="88" spans="1:20">
      <c r="A88" s="361"/>
      <c r="B88" s="354">
        <v>2320</v>
      </c>
      <c r="C88" s="328" t="s">
        <v>1043</v>
      </c>
      <c r="D88" s="328" t="s">
        <v>1044</v>
      </c>
      <c r="E88" s="329" t="s">
        <v>852</v>
      </c>
      <c r="F88" s="330"/>
      <c r="G88" s="331">
        <v>567.59</v>
      </c>
      <c r="H88" s="332"/>
      <c r="I88" s="331">
        <v>567.59</v>
      </c>
      <c r="J88" s="389">
        <v>567.59</v>
      </c>
      <c r="K88" s="331"/>
      <c r="L88" s="196" t="s">
        <v>1062</v>
      </c>
      <c r="M88" s="362"/>
      <c r="N88" s="363"/>
      <c r="O88" s="362"/>
      <c r="P88" s="362"/>
      <c r="Q88" s="362"/>
      <c r="R88" s="362"/>
      <c r="S88" s="362"/>
      <c r="T88" s="362"/>
    </row>
    <row r="89" spans="1:20">
      <c r="A89" s="361"/>
      <c r="B89" s="354">
        <v>2082</v>
      </c>
      <c r="C89" s="328" t="s">
        <v>759</v>
      </c>
      <c r="D89" s="338" t="s">
        <v>806</v>
      </c>
      <c r="E89" s="329" t="s">
        <v>852</v>
      </c>
      <c r="F89" s="330"/>
      <c r="G89" s="331">
        <v>661.83</v>
      </c>
      <c r="H89" s="332" t="s">
        <v>1006</v>
      </c>
      <c r="I89" s="331">
        <v>661.83</v>
      </c>
      <c r="J89" s="333">
        <v>661.83</v>
      </c>
      <c r="K89" s="397"/>
      <c r="L89" s="196" t="s">
        <v>1061</v>
      </c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61"/>
      <c r="B90" s="354">
        <v>2082</v>
      </c>
      <c r="C90" s="328" t="s">
        <v>759</v>
      </c>
      <c r="D90" s="338" t="s">
        <v>806</v>
      </c>
      <c r="E90" s="329" t="s">
        <v>852</v>
      </c>
      <c r="F90" s="330"/>
      <c r="G90" s="331">
        <v>661.83</v>
      </c>
      <c r="H90" s="332" t="s">
        <v>1006</v>
      </c>
      <c r="I90" s="331">
        <v>661.83</v>
      </c>
      <c r="J90" s="333">
        <v>661.83</v>
      </c>
      <c r="K90" s="331"/>
      <c r="L90" s="196" t="s">
        <v>1062</v>
      </c>
      <c r="N90" s="378"/>
      <c r="O90" s="216"/>
      <c r="P90" s="3"/>
      <c r="Q90" s="269"/>
      <c r="R90" s="270"/>
      <c r="S90" s="270"/>
      <c r="T90" s="379"/>
    </row>
    <row r="91" spans="1:20">
      <c r="A91" s="334"/>
      <c r="B91" s="354"/>
      <c r="C91" s="328"/>
      <c r="D91" s="338"/>
      <c r="E91" s="329"/>
      <c r="F91" s="330"/>
      <c r="G91" s="331"/>
      <c r="H91" s="332"/>
      <c r="I91" s="331"/>
      <c r="J91" s="331"/>
      <c r="K91" s="331"/>
      <c r="L91" s="196"/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/>
      <c r="C92" s="328"/>
      <c r="D92" s="338"/>
      <c r="E92" s="329"/>
      <c r="F92" s="330"/>
      <c r="G92" s="331"/>
      <c r="H92" s="332"/>
      <c r="I92" s="331"/>
      <c r="J92" s="331"/>
      <c r="K92" s="333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/>
      <c r="C93" s="328"/>
      <c r="D93" s="328"/>
      <c r="E93" s="329"/>
      <c r="F93" s="330"/>
      <c r="G93" s="331"/>
      <c r="H93" s="332"/>
      <c r="I93" s="332"/>
      <c r="J93" s="333"/>
      <c r="K93" s="333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/>
      <c r="C94" s="328"/>
      <c r="D94" s="328"/>
      <c r="E94" s="329"/>
      <c r="F94" s="330"/>
      <c r="G94" s="331"/>
      <c r="H94" s="332"/>
      <c r="I94" s="332"/>
      <c r="J94" s="333"/>
      <c r="K94" s="333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/>
      <c r="C95" s="328"/>
      <c r="D95" s="328"/>
      <c r="E95" s="329"/>
      <c r="F95" s="330"/>
      <c r="G95" s="331"/>
      <c r="H95" s="332"/>
      <c r="I95" s="331"/>
      <c r="J95" s="389"/>
      <c r="K95" s="333"/>
      <c r="L95" s="196"/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29"/>
      <c r="F96" s="330"/>
      <c r="G96" s="331"/>
      <c r="H96" s="332"/>
      <c r="I96" s="331"/>
      <c r="J96" s="389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38"/>
      <c r="E97" s="329"/>
      <c r="F97" s="330"/>
      <c r="G97" s="331"/>
      <c r="H97" s="332"/>
      <c r="I97" s="332"/>
      <c r="J97" s="333"/>
      <c r="K97" s="333"/>
      <c r="L97" s="380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38"/>
      <c r="E98" s="329"/>
      <c r="F98" s="330"/>
      <c r="G98" s="331"/>
      <c r="H98" s="332"/>
      <c r="I98" s="332"/>
      <c r="J98" s="333"/>
      <c r="K98" s="333"/>
      <c r="L98" s="380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38"/>
      <c r="E99" s="329"/>
      <c r="F99" s="330"/>
      <c r="G99" s="331"/>
      <c r="H99" s="332"/>
      <c r="I99" s="331"/>
      <c r="J99" s="389"/>
      <c r="K99" s="333"/>
      <c r="L99" s="196"/>
      <c r="N99" s="15"/>
    </row>
    <row r="100" spans="1:20">
      <c r="A100" s="334"/>
      <c r="B100" s="354"/>
      <c r="C100" s="328"/>
      <c r="D100" s="338"/>
      <c r="E100" s="329"/>
      <c r="F100" s="330"/>
      <c r="G100" s="331"/>
      <c r="H100" s="332"/>
      <c r="I100" s="331"/>
      <c r="J100" s="389"/>
      <c r="K100" s="333"/>
      <c r="L100" s="196"/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/>
      <c r="C101" s="328"/>
      <c r="D101" s="338"/>
      <c r="E101" s="329"/>
      <c r="F101" s="330"/>
      <c r="G101" s="331"/>
      <c r="H101" s="332"/>
      <c r="I101" s="332"/>
      <c r="J101" s="333"/>
      <c r="K101" s="333"/>
      <c r="L101" s="196"/>
      <c r="M101" s="362"/>
      <c r="N101" s="363"/>
      <c r="O101" s="362"/>
      <c r="P101" s="362"/>
      <c r="Q101" s="362"/>
      <c r="R101" s="362"/>
      <c r="S101" s="362"/>
      <c r="T101" s="362"/>
    </row>
    <row r="102" spans="1:20">
      <c r="A102" s="334"/>
      <c r="B102" s="354"/>
      <c r="C102" s="328"/>
      <c r="D102" s="338"/>
      <c r="E102" s="329"/>
      <c r="F102" s="330"/>
      <c r="G102" s="331"/>
      <c r="H102" s="332"/>
      <c r="I102" s="332"/>
      <c r="J102" s="333"/>
      <c r="K102" s="333"/>
      <c r="L102" s="196"/>
      <c r="M102" s="362"/>
      <c r="N102" s="363"/>
      <c r="O102" s="362"/>
      <c r="P102" s="362"/>
      <c r="Q102" s="362"/>
      <c r="R102" s="362"/>
      <c r="S102" s="362"/>
      <c r="T102" s="362"/>
    </row>
    <row r="103" spans="1:20">
      <c r="A103" s="334"/>
      <c r="B103" s="354"/>
      <c r="C103" s="328"/>
      <c r="D103" s="338"/>
      <c r="E103" s="329"/>
      <c r="F103" s="330"/>
      <c r="G103" s="331"/>
      <c r="H103" s="332"/>
      <c r="I103" s="332"/>
      <c r="J103" s="333"/>
      <c r="K103" s="333"/>
      <c r="L103" s="161"/>
      <c r="M103" s="362"/>
      <c r="N103" s="363"/>
      <c r="O103" s="362"/>
      <c r="P103" s="362"/>
      <c r="Q103" s="362"/>
      <c r="R103" s="362"/>
      <c r="S103" s="362"/>
      <c r="T103" s="362"/>
    </row>
    <row r="104" spans="1:20">
      <c r="A104" s="334"/>
      <c r="B104" s="354"/>
      <c r="C104" s="328"/>
      <c r="D104" s="328"/>
      <c r="E104" s="329"/>
      <c r="F104" s="330"/>
      <c r="G104" s="331"/>
      <c r="H104" s="332"/>
      <c r="I104" s="332"/>
      <c r="J104" s="333"/>
      <c r="K104" s="333"/>
      <c r="L104" s="161"/>
      <c r="N104" s="15"/>
    </row>
    <row r="105" spans="1:20">
      <c r="A105" s="438" t="s">
        <v>846</v>
      </c>
      <c r="B105" s="439"/>
      <c r="C105" s="439"/>
      <c r="D105" s="439"/>
      <c r="E105" s="439"/>
      <c r="F105" s="439"/>
      <c r="G105" s="440"/>
      <c r="H105" s="348">
        <f>SUM(H87:H102)</f>
        <v>0</v>
      </c>
      <c r="I105" s="347"/>
      <c r="J105" s="348">
        <f>SUM(J87:J104)</f>
        <v>2458.84</v>
      </c>
      <c r="K105" s="406"/>
      <c r="L105" s="402"/>
    </row>
    <row r="106" spans="1:20">
      <c r="A106" s="365"/>
      <c r="B106" s="366"/>
      <c r="C106" s="366"/>
      <c r="D106" s="366"/>
      <c r="E106" s="366"/>
      <c r="F106" s="367"/>
      <c r="G106" s="368"/>
      <c r="H106" s="368"/>
      <c r="I106" s="368"/>
      <c r="J106" s="349"/>
      <c r="K106" s="383"/>
      <c r="L106" s="364"/>
    </row>
    <row r="107" spans="1:20" ht="16">
      <c r="A107" s="435" t="s">
        <v>881</v>
      </c>
      <c r="B107" s="436"/>
      <c r="C107" s="436"/>
      <c r="D107" s="436"/>
      <c r="E107" s="436"/>
      <c r="F107" s="436"/>
      <c r="G107" s="437"/>
      <c r="H107" s="369"/>
      <c r="I107" s="369"/>
      <c r="J107" s="370">
        <f>SUM(J81,J105)</f>
        <v>86990.42</v>
      </c>
      <c r="K107" s="407"/>
      <c r="L107" s="350"/>
    </row>
    <row r="108" spans="1:20" ht="18">
      <c r="F108" s="3"/>
      <c r="G108" s="371" t="s">
        <v>1013</v>
      </c>
      <c r="H108" s="372">
        <v>45372</v>
      </c>
    </row>
    <row r="109" spans="1:20" ht="18">
      <c r="F109" s="3"/>
      <c r="G109" s="371" t="s">
        <v>1014</v>
      </c>
      <c r="H109" s="373" t="s">
        <v>990</v>
      </c>
      <c r="I109" s="373"/>
    </row>
    <row r="110" spans="1:20">
      <c r="F110" s="3"/>
      <c r="G110" s="216"/>
      <c r="H110" s="216"/>
      <c r="I110" s="216"/>
      <c r="J110" s="3"/>
      <c r="K110" s="3"/>
      <c r="L110" s="15"/>
      <c r="M110" s="216"/>
    </row>
    <row r="111" spans="1:20">
      <c r="F111" s="3"/>
      <c r="G111" s="216"/>
      <c r="H111" s="269"/>
      <c r="I111" s="216"/>
      <c r="J111" s="270"/>
      <c r="K111" s="270"/>
      <c r="L111" s="15"/>
      <c r="M111" s="216"/>
    </row>
    <row r="112" spans="1:20">
      <c r="F112" s="3"/>
      <c r="G112" s="216"/>
      <c r="H112" s="269"/>
      <c r="I112" s="216"/>
      <c r="J112" s="270"/>
      <c r="K112" s="270"/>
      <c r="L112" s="15"/>
      <c r="M112" s="216"/>
    </row>
    <row r="113" spans="6:20">
      <c r="F113" s="3"/>
      <c r="G113" s="216"/>
      <c r="H113" s="388">
        <f>SUM(H79,H105)</f>
        <v>2577.04</v>
      </c>
      <c r="I113" s="269">
        <f>J107-H113</f>
        <v>84413.38</v>
      </c>
      <c r="J113" s="3"/>
      <c r="K113" s="3"/>
      <c r="L113" s="15"/>
      <c r="M113" s="216"/>
    </row>
    <row r="114" spans="6:20">
      <c r="F114" s="3"/>
      <c r="G114" s="216"/>
      <c r="H114" s="216"/>
      <c r="I114" s="216"/>
      <c r="J114" s="3"/>
      <c r="K114" s="3"/>
      <c r="L114" s="15"/>
      <c r="M114" s="216"/>
      <c r="Q114" s="3"/>
      <c r="R114" s="3"/>
      <c r="S114" s="3"/>
      <c r="T114" s="3"/>
    </row>
  </sheetData>
  <mergeCells count="7">
    <mergeCell ref="A107:G107"/>
    <mergeCell ref="A81:G81"/>
    <mergeCell ref="A82:C82"/>
    <mergeCell ref="A84:C84"/>
    <mergeCell ref="A85:C85"/>
    <mergeCell ref="A86:G86"/>
    <mergeCell ref="A105:G105"/>
  </mergeCells>
  <pageMargins left="0.7" right="0.7" top="0.75" bottom="0.75" header="0.3" footer="0.3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F455-8A40-B64A-936F-D938FFA6A40D}">
  <dimension ref="A1:T114"/>
  <sheetViews>
    <sheetView topLeftCell="A77" zoomScale="119" zoomScaleNormal="160" workbookViewId="0">
      <selection activeCell="A76" sqref="A1:XFD1048576"/>
    </sheetView>
  </sheetViews>
  <sheetFormatPr baseColWidth="10" defaultColWidth="11.5" defaultRowHeight="13"/>
  <cols>
    <col min="1" max="1" width="4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45352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1049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68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>
        <v>6</v>
      </c>
      <c r="B11" s="354">
        <v>1593</v>
      </c>
      <c r="C11" s="328" t="s">
        <v>460</v>
      </c>
      <c r="D11" s="328" t="s">
        <v>426</v>
      </c>
      <c r="E11" s="329" t="s">
        <v>852</v>
      </c>
      <c r="F11" s="330"/>
      <c r="G11" s="331">
        <v>1469.89</v>
      </c>
      <c r="H11" s="332" t="s">
        <v>1006</v>
      </c>
      <c r="I11" s="331">
        <v>1469.89</v>
      </c>
      <c r="J11" s="389">
        <v>1469.89</v>
      </c>
      <c r="K11" s="333">
        <f t="shared" si="0"/>
        <v>0</v>
      </c>
      <c r="L11" s="329"/>
    </row>
    <row r="12" spans="1:20">
      <c r="A12" s="334">
        <v>8</v>
      </c>
      <c r="B12" s="354">
        <v>2131</v>
      </c>
      <c r="C12" s="328" t="s">
        <v>745</v>
      </c>
      <c r="D12" s="338" t="s">
        <v>784</v>
      </c>
      <c r="E12" s="329" t="s">
        <v>852</v>
      </c>
      <c r="F12" s="330"/>
      <c r="G12" s="331">
        <v>648.83000000000004</v>
      </c>
      <c r="H12" s="332" t="s">
        <v>1006</v>
      </c>
      <c r="I12" s="331">
        <v>648.83000000000004</v>
      </c>
      <c r="J12" s="389">
        <v>648.83000000000004</v>
      </c>
      <c r="K12" s="333">
        <f t="shared" si="0"/>
        <v>0</v>
      </c>
      <c r="L12" s="329"/>
      <c r="P12" s="1"/>
      <c r="Q12" s="1"/>
      <c r="R12" s="1"/>
      <c r="S12" s="1"/>
      <c r="T12" s="1"/>
    </row>
    <row r="13" spans="1:20">
      <c r="A13" s="334">
        <v>7</v>
      </c>
      <c r="B13" s="354">
        <v>1751</v>
      </c>
      <c r="C13" s="328" t="s">
        <v>745</v>
      </c>
      <c r="D13" s="339" t="s">
        <v>838</v>
      </c>
      <c r="E13" s="329" t="s">
        <v>852</v>
      </c>
      <c r="F13" s="330"/>
      <c r="G13" s="331">
        <v>885.51</v>
      </c>
      <c r="H13" s="332" t="s">
        <v>1006</v>
      </c>
      <c r="I13" s="331">
        <v>885.51</v>
      </c>
      <c r="J13" s="389">
        <v>885.51</v>
      </c>
      <c r="K13" s="333">
        <f t="shared" si="0"/>
        <v>0</v>
      </c>
      <c r="L13" s="329"/>
    </row>
    <row r="14" spans="1:20">
      <c r="A14" s="334">
        <v>9</v>
      </c>
      <c r="B14" s="354">
        <v>2023</v>
      </c>
      <c r="C14" s="328" t="s">
        <v>745</v>
      </c>
      <c r="D14" s="339" t="s">
        <v>783</v>
      </c>
      <c r="E14" s="329" t="s">
        <v>852</v>
      </c>
      <c r="F14" s="330"/>
      <c r="G14" s="331">
        <v>683.49</v>
      </c>
      <c r="H14" s="332" t="s">
        <v>1006</v>
      </c>
      <c r="I14" s="331">
        <v>683.49</v>
      </c>
      <c r="J14" s="389">
        <v>683.49</v>
      </c>
      <c r="K14" s="333">
        <f t="shared" si="0"/>
        <v>0</v>
      </c>
      <c r="L14" s="328"/>
      <c r="P14" s="1"/>
      <c r="Q14" s="1"/>
      <c r="R14" s="1"/>
      <c r="S14" s="1"/>
      <c r="T14" s="1"/>
    </row>
    <row r="15" spans="1:20">
      <c r="A15" s="334"/>
      <c r="B15" s="374">
        <v>2302</v>
      </c>
      <c r="C15" s="336" t="s">
        <v>806</v>
      </c>
      <c r="D15" s="339" t="s">
        <v>952</v>
      </c>
      <c r="E15" s="329" t="s">
        <v>852</v>
      </c>
      <c r="F15" s="330"/>
      <c r="G15" s="331">
        <v>666.16</v>
      </c>
      <c r="H15" s="332" t="s">
        <v>1006</v>
      </c>
      <c r="I15" s="331">
        <v>666.16</v>
      </c>
      <c r="J15" s="389">
        <v>666.16</v>
      </c>
      <c r="K15" s="333">
        <f t="shared" si="0"/>
        <v>0</v>
      </c>
      <c r="L15" s="340"/>
      <c r="P15" s="1"/>
      <c r="Q15" s="1"/>
      <c r="R15" s="1"/>
      <c r="S15" s="1"/>
      <c r="T15" s="1"/>
    </row>
    <row r="16" spans="1:20">
      <c r="A16" s="334">
        <v>10</v>
      </c>
      <c r="B16" s="375">
        <v>2254</v>
      </c>
      <c r="C16" s="328" t="s">
        <v>840</v>
      </c>
      <c r="D16" s="328" t="s">
        <v>841</v>
      </c>
      <c r="E16" s="341" t="s">
        <v>855</v>
      </c>
      <c r="F16" s="330">
        <v>1</v>
      </c>
      <c r="G16" s="331">
        <v>1262.08</v>
      </c>
      <c r="H16" s="332">
        <v>542.16</v>
      </c>
      <c r="I16" s="332">
        <v>1804.24</v>
      </c>
      <c r="J16" s="333">
        <v>1804.24</v>
      </c>
      <c r="K16" s="333">
        <f t="shared" si="0"/>
        <v>0</v>
      </c>
      <c r="L16" s="329"/>
    </row>
    <row r="17" spans="1:20">
      <c r="A17" s="334"/>
      <c r="B17" s="354">
        <v>2318</v>
      </c>
      <c r="C17" s="328" t="s">
        <v>1018</v>
      </c>
      <c r="D17" s="328" t="s">
        <v>1019</v>
      </c>
      <c r="E17" s="382" t="s">
        <v>851</v>
      </c>
      <c r="F17" s="330"/>
      <c r="G17" s="331">
        <v>790.72</v>
      </c>
      <c r="H17" s="332">
        <v>507.5</v>
      </c>
      <c r="I17" s="332">
        <f>SUM(G17:H17)</f>
        <v>1298.22</v>
      </c>
      <c r="J17" s="333">
        <v>1298.21</v>
      </c>
      <c r="K17" s="333">
        <f t="shared" si="0"/>
        <v>9.9999999999909051E-3</v>
      </c>
      <c r="L17" s="161"/>
    </row>
    <row r="18" spans="1:20">
      <c r="A18" s="334">
        <v>11</v>
      </c>
      <c r="B18" s="354">
        <v>1721</v>
      </c>
      <c r="C18" s="328" t="s">
        <v>746</v>
      </c>
      <c r="D18" s="328" t="s">
        <v>785</v>
      </c>
      <c r="E18" s="329" t="s">
        <v>854</v>
      </c>
      <c r="F18" s="330">
        <v>1</v>
      </c>
      <c r="G18" s="331">
        <v>2065.64</v>
      </c>
      <c r="H18" s="332" t="s">
        <v>1006</v>
      </c>
      <c r="I18" s="331">
        <v>2065.64</v>
      </c>
      <c r="J18" s="389">
        <v>2065.64</v>
      </c>
      <c r="K18" s="333">
        <f t="shared" si="0"/>
        <v>0</v>
      </c>
      <c r="L18" s="161"/>
    </row>
    <row r="19" spans="1:20">
      <c r="A19" s="334">
        <v>12</v>
      </c>
      <c r="B19" s="354">
        <v>2123</v>
      </c>
      <c r="C19" s="328" t="s">
        <v>746</v>
      </c>
      <c r="D19" s="328" t="s">
        <v>786</v>
      </c>
      <c r="E19" s="329" t="s">
        <v>852</v>
      </c>
      <c r="F19" s="330"/>
      <c r="G19" s="331">
        <v>692.16</v>
      </c>
      <c r="H19" s="332" t="s">
        <v>1006</v>
      </c>
      <c r="I19" s="331">
        <v>692.16</v>
      </c>
      <c r="J19" s="389">
        <v>692.16</v>
      </c>
      <c r="K19" s="333">
        <f t="shared" si="0"/>
        <v>0</v>
      </c>
      <c r="L19" s="161"/>
    </row>
    <row r="20" spans="1:20">
      <c r="A20" s="334">
        <v>13</v>
      </c>
      <c r="B20" s="354">
        <v>1970</v>
      </c>
      <c r="C20" s="328" t="s">
        <v>747</v>
      </c>
      <c r="D20" s="338" t="s">
        <v>787</v>
      </c>
      <c r="E20" s="329" t="s">
        <v>854</v>
      </c>
      <c r="F20" s="330">
        <v>1</v>
      </c>
      <c r="G20" s="331">
        <v>1090.42</v>
      </c>
      <c r="H20" s="332" t="s">
        <v>1006</v>
      </c>
      <c r="I20" s="331">
        <v>1090.42</v>
      </c>
      <c r="J20" s="389">
        <v>1090.42</v>
      </c>
      <c r="K20" s="333">
        <f t="shared" si="0"/>
        <v>0</v>
      </c>
      <c r="L20" s="161"/>
    </row>
    <row r="21" spans="1:20">
      <c r="A21" s="334">
        <v>14</v>
      </c>
      <c r="B21" s="376" t="s">
        <v>934</v>
      </c>
      <c r="C21" s="328" t="s">
        <v>932</v>
      </c>
      <c r="D21" s="338" t="s">
        <v>933</v>
      </c>
      <c r="E21" s="329" t="s">
        <v>851</v>
      </c>
      <c r="F21" s="330"/>
      <c r="G21" s="331">
        <v>756.04</v>
      </c>
      <c r="H21" s="332">
        <v>417.6</v>
      </c>
      <c r="I21" s="332">
        <f>SUM(G21:H21)</f>
        <v>1173.6399999999999</v>
      </c>
      <c r="J21" s="333">
        <v>1173.6300000000001</v>
      </c>
      <c r="K21" s="333">
        <f t="shared" si="0"/>
        <v>9.9999999997635314E-3</v>
      </c>
      <c r="L21" s="188"/>
      <c r="M21" s="403" t="s">
        <v>1042</v>
      </c>
    </row>
    <row r="22" spans="1:20">
      <c r="A22" s="334">
        <v>15</v>
      </c>
      <c r="B22" s="354">
        <v>1794</v>
      </c>
      <c r="C22" s="328" t="s">
        <v>466</v>
      </c>
      <c r="D22" s="328" t="s">
        <v>431</v>
      </c>
      <c r="E22" s="329" t="s">
        <v>854</v>
      </c>
      <c r="F22" s="330">
        <v>1</v>
      </c>
      <c r="G22" s="331">
        <v>1551.66</v>
      </c>
      <c r="H22" s="332" t="s">
        <v>1006</v>
      </c>
      <c r="I22" s="331">
        <v>1551.66</v>
      </c>
      <c r="J22" s="389">
        <v>1551.66</v>
      </c>
      <c r="K22" s="333">
        <f t="shared" si="0"/>
        <v>0</v>
      </c>
      <c r="L22" s="161"/>
      <c r="P22" s="1"/>
      <c r="Q22" s="1"/>
      <c r="R22" s="1"/>
      <c r="S22" s="1"/>
      <c r="T22" s="1"/>
    </row>
    <row r="23" spans="1:20">
      <c r="A23" s="334">
        <v>16</v>
      </c>
      <c r="B23" s="354">
        <v>2201</v>
      </c>
      <c r="C23" s="328" t="s">
        <v>748</v>
      </c>
      <c r="D23" s="338" t="s">
        <v>788</v>
      </c>
      <c r="E23" s="329" t="s">
        <v>852</v>
      </c>
      <c r="F23" s="330"/>
      <c r="G23" s="331">
        <v>1263.54</v>
      </c>
      <c r="H23" s="332" t="s">
        <v>1006</v>
      </c>
      <c r="I23" s="331">
        <v>1263.54</v>
      </c>
      <c r="J23" s="389">
        <v>1263.54</v>
      </c>
      <c r="K23" s="333">
        <f t="shared" si="0"/>
        <v>0</v>
      </c>
      <c r="L23" s="161"/>
    </row>
    <row r="24" spans="1:20">
      <c r="A24" s="334">
        <v>17</v>
      </c>
      <c r="B24" s="354">
        <v>2194</v>
      </c>
      <c r="C24" s="328" t="s">
        <v>749</v>
      </c>
      <c r="D24" s="338" t="s">
        <v>789</v>
      </c>
      <c r="E24" s="329" t="s">
        <v>852</v>
      </c>
      <c r="F24" s="330"/>
      <c r="G24" s="331">
        <v>606.04</v>
      </c>
      <c r="H24" s="332" t="s">
        <v>1006</v>
      </c>
      <c r="I24" s="331">
        <v>606.04</v>
      </c>
      <c r="J24" s="389">
        <v>606.04</v>
      </c>
      <c r="K24" s="333">
        <f t="shared" si="0"/>
        <v>0</v>
      </c>
      <c r="L24" s="161"/>
    </row>
    <row r="25" spans="1:20">
      <c r="A25" s="334"/>
      <c r="B25" s="354">
        <v>1961</v>
      </c>
      <c r="C25" s="328" t="s">
        <v>967</v>
      </c>
      <c r="D25" s="338" t="s">
        <v>968</v>
      </c>
      <c r="E25" s="329" t="s">
        <v>852</v>
      </c>
      <c r="F25" s="330"/>
      <c r="G25" s="331">
        <v>1379.98</v>
      </c>
      <c r="H25" s="332" t="s">
        <v>1006</v>
      </c>
      <c r="I25" s="331">
        <v>1379.98</v>
      </c>
      <c r="J25" s="389">
        <v>1379.98</v>
      </c>
      <c r="K25" s="333">
        <f t="shared" si="0"/>
        <v>0</v>
      </c>
      <c r="L25" s="161"/>
    </row>
    <row r="26" spans="1:20">
      <c r="A26" s="334">
        <v>18</v>
      </c>
      <c r="B26" s="354">
        <v>2289</v>
      </c>
      <c r="C26" s="328" t="s">
        <v>750</v>
      </c>
      <c r="D26" s="338" t="s">
        <v>790</v>
      </c>
      <c r="E26" s="329" t="s">
        <v>852</v>
      </c>
      <c r="F26" s="330"/>
      <c r="G26" s="331">
        <v>683.49</v>
      </c>
      <c r="H26" s="332" t="s">
        <v>1006</v>
      </c>
      <c r="I26" s="331">
        <v>683.49</v>
      </c>
      <c r="J26" s="389">
        <v>683.49</v>
      </c>
      <c r="K26" s="333">
        <f t="shared" si="0"/>
        <v>0</v>
      </c>
      <c r="L26" s="161"/>
    </row>
    <row r="27" spans="1:20">
      <c r="A27" s="334"/>
      <c r="B27" s="354">
        <v>2322</v>
      </c>
      <c r="C27" s="328" t="s">
        <v>1023</v>
      </c>
      <c r="D27" s="338" t="s">
        <v>1024</v>
      </c>
      <c r="E27" s="329" t="s">
        <v>852</v>
      </c>
      <c r="F27" s="330"/>
      <c r="G27" s="331">
        <v>541.59</v>
      </c>
      <c r="H27" s="332">
        <v>0</v>
      </c>
      <c r="I27" s="332">
        <v>541.59</v>
      </c>
      <c r="J27" s="335">
        <v>541.59</v>
      </c>
      <c r="K27" s="333">
        <f t="shared" si="0"/>
        <v>0</v>
      </c>
      <c r="L27" s="161"/>
    </row>
    <row r="28" spans="1:20">
      <c r="A28" s="334">
        <v>20</v>
      </c>
      <c r="B28" s="354">
        <v>2250</v>
      </c>
      <c r="C28" s="328" t="s">
        <v>752</v>
      </c>
      <c r="D28" s="328" t="s">
        <v>792</v>
      </c>
      <c r="E28" s="329" t="s">
        <v>853</v>
      </c>
      <c r="F28" s="330">
        <v>2</v>
      </c>
      <c r="G28" s="331">
        <v>1549.34</v>
      </c>
      <c r="H28" s="332" t="s">
        <v>1006</v>
      </c>
      <c r="I28" s="331">
        <v>1549.34</v>
      </c>
      <c r="J28" s="389">
        <v>1549.34</v>
      </c>
      <c r="K28" s="333">
        <f t="shared" si="0"/>
        <v>0</v>
      </c>
      <c r="L28" s="161"/>
    </row>
    <row r="29" spans="1:20">
      <c r="A29" s="334">
        <v>21</v>
      </c>
      <c r="B29" s="354">
        <v>2193</v>
      </c>
      <c r="C29" s="328" t="s">
        <v>753</v>
      </c>
      <c r="D29" s="328" t="s">
        <v>794</v>
      </c>
      <c r="E29" s="329" t="s">
        <v>852</v>
      </c>
      <c r="F29" s="330"/>
      <c r="G29" s="331">
        <v>661.83</v>
      </c>
      <c r="H29" s="332" t="s">
        <v>1006</v>
      </c>
      <c r="I29" s="331">
        <v>661.83</v>
      </c>
      <c r="J29" s="389">
        <v>661.83</v>
      </c>
      <c r="K29" s="333">
        <f t="shared" si="0"/>
        <v>0</v>
      </c>
      <c r="L29" s="161"/>
    </row>
    <row r="30" spans="1:20">
      <c r="A30" s="334"/>
      <c r="B30" s="354">
        <v>2223</v>
      </c>
      <c r="C30" s="328" t="s">
        <v>972</v>
      </c>
      <c r="D30" s="328" t="s">
        <v>973</v>
      </c>
      <c r="E30" s="329" t="s">
        <v>852</v>
      </c>
      <c r="F30" s="330"/>
      <c r="G30" s="331">
        <v>567.59</v>
      </c>
      <c r="H30" s="332"/>
      <c r="I30" s="331">
        <v>567.59</v>
      </c>
      <c r="J30" s="389">
        <v>567.59</v>
      </c>
      <c r="K30" s="333">
        <f t="shared" si="0"/>
        <v>0</v>
      </c>
      <c r="L30" s="161"/>
    </row>
    <row r="31" spans="1:20">
      <c r="A31" s="334">
        <v>22</v>
      </c>
      <c r="B31" s="354">
        <v>640</v>
      </c>
      <c r="C31" s="328" t="s">
        <v>754</v>
      </c>
      <c r="D31" s="339" t="s">
        <v>795</v>
      </c>
      <c r="E31" s="329" t="s">
        <v>852</v>
      </c>
      <c r="F31" s="330"/>
      <c r="G31" s="331">
        <v>1379.98</v>
      </c>
      <c r="H31" s="332" t="s">
        <v>1006</v>
      </c>
      <c r="I31" s="391">
        <v>1379.98</v>
      </c>
      <c r="J31" s="389">
        <v>1379.98</v>
      </c>
      <c r="K31" s="333">
        <f t="shared" si="0"/>
        <v>0</v>
      </c>
      <c r="L31" s="329"/>
    </row>
    <row r="32" spans="1:20">
      <c r="A32" s="334">
        <v>23</v>
      </c>
      <c r="B32" s="354">
        <v>901</v>
      </c>
      <c r="C32" s="328" t="s">
        <v>439</v>
      </c>
      <c r="D32" s="328" t="s">
        <v>505</v>
      </c>
      <c r="E32" s="329" t="s">
        <v>852</v>
      </c>
      <c r="F32" s="330"/>
      <c r="G32" s="331">
        <v>1624.77</v>
      </c>
      <c r="H32" s="332" t="s">
        <v>1006</v>
      </c>
      <c r="I32" s="331">
        <v>1624.77</v>
      </c>
      <c r="J32" s="389">
        <v>1624.77</v>
      </c>
      <c r="K32" s="333">
        <f t="shared" si="0"/>
        <v>0</v>
      </c>
      <c r="L32" s="329"/>
    </row>
    <row r="33" spans="1:20">
      <c r="A33" s="334"/>
      <c r="B33" s="354">
        <v>2320</v>
      </c>
      <c r="C33" s="328" t="s">
        <v>1043</v>
      </c>
      <c r="D33" s="328" t="s">
        <v>1044</v>
      </c>
      <c r="E33" s="329" t="s">
        <v>852</v>
      </c>
      <c r="F33" s="330"/>
      <c r="G33" s="331"/>
      <c r="H33" s="332"/>
      <c r="I33" s="331">
        <v>567.59</v>
      </c>
      <c r="J33" s="389"/>
      <c r="K33" s="333"/>
      <c r="L33" s="329" t="s">
        <v>1036</v>
      </c>
    </row>
    <row r="34" spans="1:20">
      <c r="A34" s="334">
        <v>24</v>
      </c>
      <c r="B34" s="376" t="s">
        <v>675</v>
      </c>
      <c r="C34" s="328" t="s">
        <v>755</v>
      </c>
      <c r="D34" s="328" t="s">
        <v>796</v>
      </c>
      <c r="E34" s="329" t="s">
        <v>852</v>
      </c>
      <c r="F34" s="330"/>
      <c r="G34" s="331">
        <v>717.61</v>
      </c>
      <c r="H34" s="332" t="s">
        <v>1006</v>
      </c>
      <c r="I34" s="332">
        <v>717.61</v>
      </c>
      <c r="J34" s="333">
        <v>717.61</v>
      </c>
      <c r="K34" s="333">
        <f t="shared" si="0"/>
        <v>0</v>
      </c>
      <c r="L34" s="329"/>
    </row>
    <row r="35" spans="1:20">
      <c r="A35" s="334">
        <v>26</v>
      </c>
      <c r="B35" s="354">
        <v>1741</v>
      </c>
      <c r="C35" s="328" t="s">
        <v>755</v>
      </c>
      <c r="D35" s="328" t="s">
        <v>797</v>
      </c>
      <c r="E35" s="329" t="s">
        <v>852</v>
      </c>
      <c r="F35" s="330"/>
      <c r="G35" s="331">
        <v>1156.3</v>
      </c>
      <c r="H35" s="332" t="s">
        <v>1006</v>
      </c>
      <c r="I35" s="331">
        <v>1156.3</v>
      </c>
      <c r="J35" s="389">
        <v>1156.3</v>
      </c>
      <c r="K35" s="333">
        <f t="shared" si="0"/>
        <v>0</v>
      </c>
      <c r="L35" s="329"/>
    </row>
    <row r="36" spans="1:20">
      <c r="A36" s="334">
        <v>25</v>
      </c>
      <c r="B36" s="354">
        <v>1757</v>
      </c>
      <c r="C36" s="328" t="s">
        <v>755</v>
      </c>
      <c r="D36" s="338" t="s">
        <v>798</v>
      </c>
      <c r="E36" s="329" t="s">
        <v>853</v>
      </c>
      <c r="F36" s="330">
        <v>2</v>
      </c>
      <c r="G36" s="331">
        <v>1956.43</v>
      </c>
      <c r="H36" s="332" t="s">
        <v>1006</v>
      </c>
      <c r="I36" s="331">
        <v>1956.43</v>
      </c>
      <c r="J36" s="389">
        <v>1956.43</v>
      </c>
      <c r="K36" s="333">
        <f t="shared" si="0"/>
        <v>0</v>
      </c>
      <c r="L36" s="329"/>
      <c r="N36" s="12"/>
      <c r="O36" s="12"/>
      <c r="P36" s="12"/>
      <c r="Q36" s="12"/>
      <c r="R36" s="12"/>
      <c r="S36" s="12"/>
      <c r="T36" s="12"/>
    </row>
    <row r="37" spans="1:20">
      <c r="A37" s="334">
        <v>27</v>
      </c>
      <c r="B37" s="354">
        <v>2057</v>
      </c>
      <c r="C37" s="328" t="s">
        <v>756</v>
      </c>
      <c r="D37" s="338" t="s">
        <v>799</v>
      </c>
      <c r="E37" s="329" t="s">
        <v>852</v>
      </c>
      <c r="F37" s="330"/>
      <c r="G37" s="331">
        <v>1624.77</v>
      </c>
      <c r="H37" s="332" t="s">
        <v>1006</v>
      </c>
      <c r="I37" s="331">
        <v>1624.77</v>
      </c>
      <c r="J37" s="389">
        <v>1624.77</v>
      </c>
      <c r="K37" s="333">
        <f t="shared" si="0"/>
        <v>0</v>
      </c>
      <c r="L37" s="329"/>
    </row>
    <row r="38" spans="1:20">
      <c r="A38" s="334">
        <v>28</v>
      </c>
      <c r="B38" s="354">
        <v>1210</v>
      </c>
      <c r="C38" s="328" t="s">
        <v>756</v>
      </c>
      <c r="D38" s="338" t="s">
        <v>800</v>
      </c>
      <c r="E38" s="329" t="s">
        <v>852</v>
      </c>
      <c r="F38" s="330"/>
      <c r="G38" s="331">
        <v>1598.79</v>
      </c>
      <c r="H38" s="332" t="s">
        <v>1006</v>
      </c>
      <c r="I38" s="331">
        <v>1598.79</v>
      </c>
      <c r="J38" s="389">
        <v>1598.79</v>
      </c>
      <c r="K38" s="333">
        <f t="shared" si="0"/>
        <v>0</v>
      </c>
      <c r="L38" s="329"/>
    </row>
    <row r="39" spans="1:20">
      <c r="A39" s="334"/>
      <c r="B39" s="354">
        <v>2310</v>
      </c>
      <c r="C39" s="328" t="s">
        <v>756</v>
      </c>
      <c r="D39" s="338" t="s">
        <v>977</v>
      </c>
      <c r="E39" s="329" t="s">
        <v>852</v>
      </c>
      <c r="F39" s="330"/>
      <c r="G39" s="331">
        <v>923.96</v>
      </c>
      <c r="H39" s="332" t="s">
        <v>1006</v>
      </c>
      <c r="I39" s="331">
        <v>923.96</v>
      </c>
      <c r="J39" s="389">
        <v>923.96</v>
      </c>
      <c r="K39" s="333">
        <f t="shared" si="0"/>
        <v>0</v>
      </c>
      <c r="L39" s="329"/>
    </row>
    <row r="40" spans="1:20">
      <c r="A40" s="334"/>
      <c r="B40" s="354">
        <v>2325</v>
      </c>
      <c r="C40" s="328" t="s">
        <v>444</v>
      </c>
      <c r="D40" s="328" t="s">
        <v>1035</v>
      </c>
      <c r="E40" s="329" t="s">
        <v>852</v>
      </c>
      <c r="F40" s="330"/>
      <c r="G40" s="331">
        <v>1598.79</v>
      </c>
      <c r="H40" s="332">
        <v>0</v>
      </c>
      <c r="I40" s="331">
        <v>1598.79</v>
      </c>
      <c r="J40" s="331">
        <v>1598.79</v>
      </c>
      <c r="K40" s="333">
        <f t="shared" si="0"/>
        <v>0</v>
      </c>
      <c r="L40" s="329"/>
    </row>
    <row r="41" spans="1:20">
      <c r="A41" s="334">
        <v>29</v>
      </c>
      <c r="B41" s="354">
        <v>1460</v>
      </c>
      <c r="C41" s="328" t="s">
        <v>444</v>
      </c>
      <c r="D41" s="328" t="s">
        <v>506</v>
      </c>
      <c r="E41" s="329" t="s">
        <v>852</v>
      </c>
      <c r="F41" s="330"/>
      <c r="G41" s="331">
        <v>967.29</v>
      </c>
      <c r="H41" s="332" t="s">
        <v>1006</v>
      </c>
      <c r="I41" s="331">
        <v>967.29</v>
      </c>
      <c r="J41" s="389">
        <v>967.29</v>
      </c>
      <c r="K41" s="333">
        <f t="shared" si="0"/>
        <v>0</v>
      </c>
      <c r="L41" s="329"/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852</v>
      </c>
      <c r="F43" s="330"/>
      <c r="G43" s="331">
        <v>657.5</v>
      </c>
      <c r="H43" s="332">
        <v>0</v>
      </c>
      <c r="I43" s="331">
        <v>657.5</v>
      </c>
      <c r="J43" s="389">
        <v>657.5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/>
      <c r="G44" s="331">
        <v>1613.6</v>
      </c>
      <c r="H44" s="332">
        <v>0</v>
      </c>
      <c r="I44" s="331">
        <v>1613.6</v>
      </c>
      <c r="J44" s="389">
        <v>1613.6</v>
      </c>
      <c r="K44" s="333">
        <f t="shared" si="0"/>
        <v>0</v>
      </c>
      <c r="L44" s="329" t="s">
        <v>1051</v>
      </c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854</v>
      </c>
      <c r="F45" s="330">
        <v>1</v>
      </c>
      <c r="G45" s="331">
        <v>1094.75</v>
      </c>
      <c r="H45" s="332" t="s">
        <v>1006</v>
      </c>
      <c r="I45" s="331">
        <v>1094.75</v>
      </c>
      <c r="J45" s="389">
        <v>1094.75</v>
      </c>
      <c r="K45" s="333">
        <f t="shared" si="0"/>
        <v>0</v>
      </c>
      <c r="L45" s="329"/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400" t="s">
        <v>759</v>
      </c>
      <c r="D51" s="401" t="s">
        <v>806</v>
      </c>
      <c r="E51" s="329" t="s">
        <v>852</v>
      </c>
      <c r="F51" s="330"/>
      <c r="G51" s="331">
        <v>661.83</v>
      </c>
      <c r="H51" s="332" t="s">
        <v>1006</v>
      </c>
      <c r="I51" s="331">
        <v>661.83</v>
      </c>
      <c r="J51" s="333"/>
      <c r="K51" s="333">
        <f t="shared" si="0"/>
        <v>661.83</v>
      </c>
      <c r="L51" s="329" t="s">
        <v>1058</v>
      </c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606.04</v>
      </c>
      <c r="H53" s="332" t="s">
        <v>1006</v>
      </c>
      <c r="I53" s="331">
        <v>606.04</v>
      </c>
      <c r="J53" s="389">
        <v>606.04</v>
      </c>
      <c r="K53" s="333">
        <f t="shared" si="0"/>
        <v>0</v>
      </c>
      <c r="L53" s="329"/>
    </row>
    <row r="54" spans="1:12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1103.42</v>
      </c>
      <c r="H54" s="332" t="s">
        <v>1006</v>
      </c>
      <c r="I54" s="331">
        <v>1103.42</v>
      </c>
      <c r="J54" s="389">
        <v>1103.42</v>
      </c>
      <c r="K54" s="333">
        <f t="shared" si="0"/>
        <v>0</v>
      </c>
      <c r="L54" s="329"/>
    </row>
    <row r="55" spans="1:12">
      <c r="A55" s="334"/>
      <c r="B55" s="354">
        <v>2292</v>
      </c>
      <c r="C55" s="328" t="s">
        <v>763</v>
      </c>
      <c r="D55" s="328" t="s">
        <v>1040</v>
      </c>
      <c r="E55" s="329" t="s">
        <v>852</v>
      </c>
      <c r="F55" s="330"/>
      <c r="G55" s="331">
        <v>567.59</v>
      </c>
      <c r="H55" s="332"/>
      <c r="I55" s="331">
        <v>567.59</v>
      </c>
      <c r="J55" s="389">
        <v>567.59</v>
      </c>
      <c r="K55" s="333">
        <f t="shared" si="0"/>
        <v>0</v>
      </c>
      <c r="L55" s="329"/>
    </row>
    <row r="56" spans="1:12">
      <c r="A56" s="334">
        <v>41</v>
      </c>
      <c r="B56" s="354">
        <v>2203</v>
      </c>
      <c r="C56" s="328" t="s">
        <v>763</v>
      </c>
      <c r="D56" s="328" t="s">
        <v>811</v>
      </c>
      <c r="E56" s="329" t="s">
        <v>852</v>
      </c>
      <c r="F56" s="330"/>
      <c r="G56" s="331">
        <v>666.16</v>
      </c>
      <c r="H56" s="332" t="s">
        <v>1006</v>
      </c>
      <c r="I56" s="331">
        <v>666.16</v>
      </c>
      <c r="J56" s="389">
        <v>666.16</v>
      </c>
      <c r="K56" s="333">
        <f t="shared" si="0"/>
        <v>0</v>
      </c>
      <c r="L56" s="329"/>
    </row>
    <row r="57" spans="1:12">
      <c r="A57" s="334">
        <v>42</v>
      </c>
      <c r="B57" s="354">
        <v>2235</v>
      </c>
      <c r="C57" s="328" t="s">
        <v>764</v>
      </c>
      <c r="D57" s="328" t="s">
        <v>812</v>
      </c>
      <c r="E57" s="329" t="s">
        <v>854</v>
      </c>
      <c r="F57" s="330">
        <v>1</v>
      </c>
      <c r="G57" s="331">
        <v>1350.93</v>
      </c>
      <c r="H57" s="332" t="s">
        <v>1006</v>
      </c>
      <c r="I57" s="331">
        <v>1350.93</v>
      </c>
      <c r="J57" s="389">
        <v>1350.93</v>
      </c>
      <c r="K57" s="333">
        <f t="shared" si="0"/>
        <v>0</v>
      </c>
      <c r="L57" s="329"/>
    </row>
    <row r="58" spans="1:12">
      <c r="A58" s="334">
        <v>43</v>
      </c>
      <c r="B58" s="354">
        <v>2245</v>
      </c>
      <c r="C58" s="328" t="s">
        <v>765</v>
      </c>
      <c r="D58" s="328" t="s">
        <v>813</v>
      </c>
      <c r="E58" s="329" t="s">
        <v>854</v>
      </c>
      <c r="F58" s="330">
        <v>1</v>
      </c>
      <c r="G58" s="331">
        <v>1584.89</v>
      </c>
      <c r="H58" s="332" t="s">
        <v>1006</v>
      </c>
      <c r="I58" s="331">
        <v>1584.89</v>
      </c>
      <c r="J58" s="389">
        <v>1584.89</v>
      </c>
      <c r="K58" s="333">
        <f t="shared" si="0"/>
        <v>0</v>
      </c>
      <c r="L58" s="329"/>
    </row>
    <row r="59" spans="1:12">
      <c r="A59" s="334">
        <v>44</v>
      </c>
      <c r="B59" s="354">
        <v>2001</v>
      </c>
      <c r="C59" s="328" t="s">
        <v>766</v>
      </c>
      <c r="D59" s="338" t="s">
        <v>814</v>
      </c>
      <c r="E59" s="329" t="s">
        <v>852</v>
      </c>
      <c r="F59" s="330"/>
      <c r="G59" s="331">
        <v>1319.87</v>
      </c>
      <c r="H59" s="332" t="s">
        <v>1006</v>
      </c>
      <c r="I59" s="331">
        <v>1319.87</v>
      </c>
      <c r="J59" s="389">
        <v>1319.87</v>
      </c>
      <c r="K59" s="333">
        <f t="shared" si="0"/>
        <v>0</v>
      </c>
      <c r="L59" s="329"/>
    </row>
    <row r="60" spans="1:12">
      <c r="A60" s="334">
        <v>45</v>
      </c>
      <c r="B60" s="354">
        <v>2160</v>
      </c>
      <c r="C60" s="328" t="s">
        <v>767</v>
      </c>
      <c r="D60" s="338" t="s">
        <v>815</v>
      </c>
      <c r="E60" s="329" t="s">
        <v>854</v>
      </c>
      <c r="F60" s="330">
        <v>1</v>
      </c>
      <c r="G60" s="331">
        <v>1921.57</v>
      </c>
      <c r="H60" s="332" t="s">
        <v>1006</v>
      </c>
      <c r="I60" s="331">
        <v>1921.57</v>
      </c>
      <c r="J60" s="389">
        <v>1921.57</v>
      </c>
      <c r="K60" s="333">
        <f t="shared" si="0"/>
        <v>0</v>
      </c>
      <c r="L60" s="329"/>
    </row>
    <row r="61" spans="1:12">
      <c r="A61" s="334">
        <v>47</v>
      </c>
      <c r="B61" s="354">
        <v>2279</v>
      </c>
      <c r="C61" s="328" t="s">
        <v>769</v>
      </c>
      <c r="D61" s="328" t="s">
        <v>843</v>
      </c>
      <c r="E61" s="329" t="s">
        <v>852</v>
      </c>
      <c r="F61" s="330"/>
      <c r="G61" s="331">
        <v>554.59</v>
      </c>
      <c r="H61" s="332" t="s">
        <v>1006</v>
      </c>
      <c r="I61" s="331">
        <v>554.59</v>
      </c>
      <c r="J61" s="389">
        <v>554.59</v>
      </c>
      <c r="K61" s="333">
        <f t="shared" si="0"/>
        <v>0</v>
      </c>
      <c r="L61" s="161"/>
    </row>
    <row r="62" spans="1:12">
      <c r="A62" s="334">
        <v>48</v>
      </c>
      <c r="B62" s="354">
        <v>2246</v>
      </c>
      <c r="C62" s="328" t="s">
        <v>769</v>
      </c>
      <c r="D62" s="338" t="s">
        <v>817</v>
      </c>
      <c r="E62" s="329" t="s">
        <v>852</v>
      </c>
      <c r="F62" s="330"/>
      <c r="G62" s="331">
        <v>648.83000000000004</v>
      </c>
      <c r="H62" s="332" t="s">
        <v>1006</v>
      </c>
      <c r="I62" s="331">
        <v>648.83000000000004</v>
      </c>
      <c r="J62" s="389">
        <v>648.83000000000004</v>
      </c>
      <c r="K62" s="333">
        <f t="shared" si="0"/>
        <v>0</v>
      </c>
      <c r="L62" s="188"/>
    </row>
    <row r="63" spans="1:12">
      <c r="A63" s="334">
        <v>49</v>
      </c>
      <c r="B63" s="354">
        <v>2018</v>
      </c>
      <c r="C63" s="328" t="s">
        <v>770</v>
      </c>
      <c r="D63" s="328" t="s">
        <v>818</v>
      </c>
      <c r="E63" s="329" t="s">
        <v>852</v>
      </c>
      <c r="F63" s="330"/>
      <c r="G63" s="331">
        <v>1624.77</v>
      </c>
      <c r="H63" s="332" t="s">
        <v>1006</v>
      </c>
      <c r="I63" s="331">
        <v>1624.77</v>
      </c>
      <c r="J63" s="389">
        <v>1624.77</v>
      </c>
      <c r="K63" s="333">
        <f t="shared" si="0"/>
        <v>0</v>
      </c>
      <c r="L63" s="161"/>
    </row>
    <row r="64" spans="1:12">
      <c r="A64" s="334">
        <v>50</v>
      </c>
      <c r="B64" s="354">
        <v>1692</v>
      </c>
      <c r="C64" s="328" t="s">
        <v>771</v>
      </c>
      <c r="D64" s="338" t="s">
        <v>819</v>
      </c>
      <c r="E64" s="329" t="s">
        <v>852</v>
      </c>
      <c r="F64" s="330"/>
      <c r="G64" s="331">
        <v>1379.98</v>
      </c>
      <c r="H64" s="332" t="s">
        <v>1006</v>
      </c>
      <c r="I64" s="331">
        <v>1379.98</v>
      </c>
      <c r="J64" s="333">
        <v>1379.98</v>
      </c>
      <c r="K64" s="333">
        <f t="shared" si="0"/>
        <v>0</v>
      </c>
      <c r="L64" s="329"/>
    </row>
    <row r="65" spans="1:16">
      <c r="A65" s="334"/>
      <c r="B65" s="354">
        <v>2027</v>
      </c>
      <c r="C65" s="328" t="s">
        <v>771</v>
      </c>
      <c r="D65" s="338" t="s">
        <v>982</v>
      </c>
      <c r="E65" s="329" t="s">
        <v>852</v>
      </c>
      <c r="F65" s="330"/>
      <c r="G65" s="331">
        <v>661.83</v>
      </c>
      <c r="H65" s="332" t="s">
        <v>1006</v>
      </c>
      <c r="I65" s="331">
        <v>661.83</v>
      </c>
      <c r="J65" s="389">
        <v>661.83</v>
      </c>
      <c r="K65" s="333">
        <f t="shared" si="0"/>
        <v>0</v>
      </c>
      <c r="L65" s="329"/>
    </row>
    <row r="66" spans="1:16">
      <c r="A66" s="334"/>
      <c r="B66" s="354">
        <v>2288</v>
      </c>
      <c r="C66" s="328" t="s">
        <v>772</v>
      </c>
      <c r="D66" s="338" t="s">
        <v>820</v>
      </c>
      <c r="E66" s="329" t="s">
        <v>852</v>
      </c>
      <c r="F66" s="330"/>
      <c r="G66" s="331">
        <v>588.71</v>
      </c>
      <c r="H66" s="332"/>
      <c r="I66" s="331">
        <v>588.71</v>
      </c>
      <c r="J66" s="389">
        <v>588.71</v>
      </c>
      <c r="K66" s="333">
        <f t="shared" si="0"/>
        <v>0</v>
      </c>
      <c r="L66" s="329" t="s">
        <v>1051</v>
      </c>
    </row>
    <row r="67" spans="1:16">
      <c r="A67" s="334">
        <v>52</v>
      </c>
      <c r="B67" s="354">
        <v>2060</v>
      </c>
      <c r="C67" s="328" t="s">
        <v>487</v>
      </c>
      <c r="D67" s="328" t="s">
        <v>516</v>
      </c>
      <c r="E67" s="329" t="s">
        <v>852</v>
      </c>
      <c r="F67" s="330"/>
      <c r="G67" s="331">
        <v>1057.19</v>
      </c>
      <c r="H67" s="332" t="s">
        <v>1006</v>
      </c>
      <c r="I67" s="331">
        <v>1057.19</v>
      </c>
      <c r="J67" s="389">
        <v>1057.19</v>
      </c>
      <c r="K67" s="333">
        <f t="shared" si="0"/>
        <v>0</v>
      </c>
      <c r="L67" s="329"/>
    </row>
    <row r="68" spans="1:16">
      <c r="A68" s="334">
        <v>54</v>
      </c>
      <c r="B68" s="354">
        <v>1050</v>
      </c>
      <c r="C68" s="328" t="s">
        <v>773</v>
      </c>
      <c r="D68" s="328" t="s">
        <v>821</v>
      </c>
      <c r="E68" s="329" t="s">
        <v>852</v>
      </c>
      <c r="F68" s="330"/>
      <c r="G68" s="331">
        <v>1624.77</v>
      </c>
      <c r="H68" s="332" t="s">
        <v>1006</v>
      </c>
      <c r="I68" s="331">
        <v>1624.77</v>
      </c>
      <c r="J68" s="389">
        <v>1624.77</v>
      </c>
      <c r="K68" s="333">
        <f t="shared" si="0"/>
        <v>0</v>
      </c>
      <c r="L68" s="329"/>
    </row>
    <row r="69" spans="1:16">
      <c r="A69" s="334">
        <v>55</v>
      </c>
      <c r="B69" s="354">
        <v>1964</v>
      </c>
      <c r="C69" s="328" t="s">
        <v>491</v>
      </c>
      <c r="D69" s="328" t="s">
        <v>456</v>
      </c>
      <c r="E69" s="329" t="s">
        <v>852</v>
      </c>
      <c r="F69" s="330"/>
      <c r="G69" s="331">
        <v>846.51</v>
      </c>
      <c r="H69" s="332" t="s">
        <v>1006</v>
      </c>
      <c r="I69" s="331">
        <v>846.51</v>
      </c>
      <c r="J69" s="389">
        <v>846.51</v>
      </c>
      <c r="K69" s="333">
        <f t="shared" ref="K69:K78" si="1">I69-J69</f>
        <v>0</v>
      </c>
      <c r="L69" s="329"/>
    </row>
    <row r="70" spans="1:16">
      <c r="A70" s="334">
        <v>57</v>
      </c>
      <c r="B70" s="354">
        <v>1981</v>
      </c>
      <c r="C70" s="328" t="s">
        <v>774</v>
      </c>
      <c r="D70" s="338" t="s">
        <v>822</v>
      </c>
      <c r="E70" s="329" t="s">
        <v>852</v>
      </c>
      <c r="F70" s="330"/>
      <c r="G70" s="331">
        <v>683.49</v>
      </c>
      <c r="H70" s="332" t="s">
        <v>1006</v>
      </c>
      <c r="I70" s="331">
        <v>683.49</v>
      </c>
      <c r="J70" s="389">
        <v>683.49</v>
      </c>
      <c r="K70" s="333">
        <f t="shared" si="1"/>
        <v>0</v>
      </c>
      <c r="L70" s="329"/>
    </row>
    <row r="71" spans="1:16">
      <c r="A71" s="334">
        <v>56</v>
      </c>
      <c r="B71" s="354">
        <v>1662</v>
      </c>
      <c r="C71" s="328" t="s">
        <v>774</v>
      </c>
      <c r="D71" s="328" t="s">
        <v>823</v>
      </c>
      <c r="E71" s="329" t="s">
        <v>852</v>
      </c>
      <c r="F71" s="330"/>
      <c r="G71" s="331">
        <v>885.51</v>
      </c>
      <c r="H71" s="332" t="s">
        <v>1006</v>
      </c>
      <c r="I71" s="331">
        <v>885.51</v>
      </c>
      <c r="J71" s="389">
        <v>885.51</v>
      </c>
      <c r="K71" s="333">
        <f t="shared" si="1"/>
        <v>0</v>
      </c>
      <c r="L71" s="329"/>
    </row>
    <row r="72" spans="1:16">
      <c r="A72" s="334"/>
      <c r="B72" s="354">
        <v>1708</v>
      </c>
      <c r="C72" s="328" t="s">
        <v>775</v>
      </c>
      <c r="D72" s="328" t="s">
        <v>791</v>
      </c>
      <c r="E72" s="329" t="s">
        <v>852</v>
      </c>
      <c r="F72" s="330"/>
      <c r="G72" s="331">
        <v>1624.77</v>
      </c>
      <c r="H72" s="332" t="s">
        <v>1006</v>
      </c>
      <c r="I72" s="331">
        <v>1624.77</v>
      </c>
      <c r="J72" s="389">
        <v>1624.77</v>
      </c>
      <c r="K72" s="333">
        <f t="shared" si="1"/>
        <v>0</v>
      </c>
      <c r="L72" s="329"/>
    </row>
    <row r="73" spans="1:16">
      <c r="A73" s="334">
        <v>58</v>
      </c>
      <c r="B73" s="354">
        <v>1630</v>
      </c>
      <c r="C73" s="328" t="s">
        <v>775</v>
      </c>
      <c r="D73" s="338" t="s">
        <v>824</v>
      </c>
      <c r="E73" s="329" t="s">
        <v>852</v>
      </c>
      <c r="F73" s="330"/>
      <c r="G73" s="331">
        <v>1207.76</v>
      </c>
      <c r="H73" s="332" t="s">
        <v>1006</v>
      </c>
      <c r="I73" s="331">
        <v>1207.76</v>
      </c>
      <c r="J73" s="389">
        <v>1207.76</v>
      </c>
      <c r="K73" s="333">
        <f t="shared" si="1"/>
        <v>0</v>
      </c>
      <c r="L73" s="329"/>
    </row>
    <row r="74" spans="1:16">
      <c r="A74" s="334">
        <v>61</v>
      </c>
      <c r="B74" s="354">
        <v>2010</v>
      </c>
      <c r="C74" s="328" t="s">
        <v>777</v>
      </c>
      <c r="D74" s="328" t="s">
        <v>826</v>
      </c>
      <c r="E74" s="329" t="s">
        <v>852</v>
      </c>
      <c r="F74" s="330"/>
      <c r="G74" s="331">
        <v>1010.07</v>
      </c>
      <c r="H74" s="332" t="s">
        <v>1006</v>
      </c>
      <c r="I74" s="331">
        <v>1010.07</v>
      </c>
      <c r="J74" s="389">
        <v>1010.07</v>
      </c>
      <c r="K74" s="333">
        <f t="shared" si="1"/>
        <v>0</v>
      </c>
      <c r="L74" s="329"/>
    </row>
    <row r="75" spans="1:16">
      <c r="A75" s="334">
        <v>60</v>
      </c>
      <c r="B75" s="354">
        <v>2187</v>
      </c>
      <c r="C75" s="328" t="s">
        <v>777</v>
      </c>
      <c r="D75" s="328" t="s">
        <v>827</v>
      </c>
      <c r="E75" s="329" t="s">
        <v>853</v>
      </c>
      <c r="F75" s="330">
        <v>2</v>
      </c>
      <c r="G75" s="331">
        <v>1889.46</v>
      </c>
      <c r="H75" s="332" t="s">
        <v>1006</v>
      </c>
      <c r="I75" s="391">
        <v>1889.46</v>
      </c>
      <c r="J75" s="389">
        <v>1889.46</v>
      </c>
      <c r="K75" s="333">
        <f t="shared" si="1"/>
        <v>0</v>
      </c>
      <c r="L75" s="329"/>
    </row>
    <row r="76" spans="1:16">
      <c r="A76" s="334">
        <v>62</v>
      </c>
      <c r="B76" s="354">
        <v>2095</v>
      </c>
      <c r="C76" s="328" t="s">
        <v>778</v>
      </c>
      <c r="D76" s="338" t="s">
        <v>828</v>
      </c>
      <c r="E76" s="329" t="s">
        <v>852</v>
      </c>
      <c r="F76" s="330"/>
      <c r="G76" s="331">
        <v>648.83000000000004</v>
      </c>
      <c r="H76" s="332" t="s">
        <v>1006</v>
      </c>
      <c r="I76" s="331">
        <v>648.83000000000004</v>
      </c>
      <c r="J76" s="389">
        <v>648.83000000000004</v>
      </c>
      <c r="K76" s="333">
        <f t="shared" si="1"/>
        <v>0</v>
      </c>
      <c r="L76" s="329"/>
    </row>
    <row r="77" spans="1:16">
      <c r="A77" s="334">
        <v>63</v>
      </c>
      <c r="B77" s="354">
        <v>2064</v>
      </c>
      <c r="C77" s="328" t="s">
        <v>778</v>
      </c>
      <c r="D77" s="338" t="s">
        <v>829</v>
      </c>
      <c r="E77" s="341" t="s">
        <v>856</v>
      </c>
      <c r="F77" s="330">
        <v>2</v>
      </c>
      <c r="G77" s="331">
        <v>1682.01</v>
      </c>
      <c r="H77" s="332">
        <v>584.94000000000005</v>
      </c>
      <c r="I77" s="332">
        <f>SUM(G77:H77)</f>
        <v>2266.9499999999998</v>
      </c>
      <c r="J77" s="333">
        <v>2266.9499999999998</v>
      </c>
      <c r="K77" s="333">
        <f t="shared" si="1"/>
        <v>0</v>
      </c>
      <c r="L77" s="329"/>
    </row>
    <row r="78" spans="1:16">
      <c r="A78" s="334"/>
      <c r="B78" s="354">
        <v>2089</v>
      </c>
      <c r="C78" s="328" t="s">
        <v>870</v>
      </c>
      <c r="D78" s="338" t="s">
        <v>1007</v>
      </c>
      <c r="E78" s="329" t="s">
        <v>852</v>
      </c>
      <c r="F78" s="330"/>
      <c r="G78" s="331">
        <v>648.83000000000004</v>
      </c>
      <c r="H78" s="332" t="s">
        <v>1006</v>
      </c>
      <c r="I78" s="331">
        <v>648.83000000000004</v>
      </c>
      <c r="J78" s="389">
        <v>648.83000000000004</v>
      </c>
      <c r="K78" s="333">
        <f t="shared" si="1"/>
        <v>0</v>
      </c>
      <c r="L78" s="329"/>
    </row>
    <row r="79" spans="1:16">
      <c r="A79" s="296"/>
      <c r="B79" s="66"/>
      <c r="C79" s="29"/>
      <c r="D79" s="29"/>
      <c r="E79" s="342"/>
      <c r="F79" s="343"/>
      <c r="G79" s="344"/>
      <c r="H79" s="345">
        <f>SUM(H5:H78)</f>
        <v>2577.04</v>
      </c>
      <c r="I79" s="344"/>
      <c r="J79" s="346"/>
      <c r="K79" s="346"/>
      <c r="L79" s="385"/>
      <c r="M79" s="216"/>
      <c r="O79" s="15"/>
      <c r="P79" s="15"/>
    </row>
    <row r="80" spans="1:16">
      <c r="A80" s="296"/>
      <c r="E80" s="342"/>
      <c r="F80" s="343"/>
      <c r="G80" s="344"/>
      <c r="H80" s="344"/>
      <c r="I80" s="344"/>
      <c r="J80" s="346"/>
      <c r="K80" s="346"/>
      <c r="L80" s="385"/>
      <c r="M80" s="216"/>
      <c r="O80" s="15"/>
      <c r="P80" s="15"/>
    </row>
    <row r="81" spans="1:20">
      <c r="A81" s="438" t="s">
        <v>652</v>
      </c>
      <c r="B81" s="439"/>
      <c r="C81" s="439"/>
      <c r="D81" s="439"/>
      <c r="E81" s="439"/>
      <c r="F81" s="439"/>
      <c r="G81" s="440"/>
      <c r="H81" s="347"/>
      <c r="I81" s="348">
        <f>SUM(I5:I78)</f>
        <v>84531.6</v>
      </c>
      <c r="J81" s="383">
        <f>SUM(J5:J78)</f>
        <v>83302.16</v>
      </c>
      <c r="K81" s="383"/>
      <c r="L81" s="386"/>
    </row>
    <row r="82" spans="1:20">
      <c r="A82" s="441" t="s">
        <v>1028</v>
      </c>
      <c r="B82" s="442"/>
      <c r="C82" s="443"/>
      <c r="D82" s="351"/>
      <c r="E82" s="352" t="s">
        <v>258</v>
      </c>
      <c r="F82" s="334">
        <v>74</v>
      </c>
      <c r="G82" s="329" t="s">
        <v>1029</v>
      </c>
      <c r="H82" s="351"/>
      <c r="I82" s="352" t="s">
        <v>258</v>
      </c>
      <c r="J82" s="343">
        <v>72</v>
      </c>
      <c r="K82" s="343"/>
      <c r="L82" s="161"/>
    </row>
    <row r="83" spans="1:20">
      <c r="A83" s="353"/>
      <c r="B83" s="352"/>
      <c r="C83" s="351"/>
      <c r="D83" s="351"/>
      <c r="E83" s="351" t="s">
        <v>930</v>
      </c>
      <c r="F83" s="330">
        <v>4</v>
      </c>
      <c r="G83" s="329"/>
      <c r="H83" s="351"/>
      <c r="I83" s="351" t="s">
        <v>930</v>
      </c>
      <c r="J83" s="343">
        <v>4</v>
      </c>
      <c r="K83" s="343"/>
      <c r="L83" s="161"/>
    </row>
    <row r="84" spans="1:20">
      <c r="A84" s="441"/>
      <c r="B84" s="442"/>
      <c r="C84" s="443"/>
      <c r="D84" s="351"/>
      <c r="E84" s="352" t="s">
        <v>931</v>
      </c>
      <c r="F84" s="355">
        <v>26</v>
      </c>
      <c r="G84" s="329"/>
      <c r="H84" s="351"/>
      <c r="I84" s="352" t="s">
        <v>931</v>
      </c>
      <c r="J84" s="343">
        <v>26</v>
      </c>
      <c r="K84" s="343"/>
      <c r="L84" s="161"/>
    </row>
    <row r="85" spans="1:20">
      <c r="A85" s="444"/>
      <c r="B85" s="445"/>
      <c r="C85" s="446"/>
      <c r="D85" s="356"/>
      <c r="E85" s="357" t="s">
        <v>246</v>
      </c>
      <c r="F85" s="358">
        <v>104</v>
      </c>
      <c r="G85" s="329"/>
      <c r="H85" s="393"/>
      <c r="I85" s="394" t="s">
        <v>246</v>
      </c>
      <c r="J85" s="395">
        <v>102</v>
      </c>
      <c r="K85" s="395"/>
      <c r="L85" s="161"/>
    </row>
    <row r="86" spans="1:20">
      <c r="A86" s="447" t="s">
        <v>830</v>
      </c>
      <c r="B86" s="448"/>
      <c r="C86" s="448"/>
      <c r="D86" s="448"/>
      <c r="E86" s="448"/>
      <c r="F86" s="448"/>
      <c r="G86" s="448"/>
      <c r="H86" s="381"/>
      <c r="I86" s="381"/>
      <c r="J86" s="396"/>
      <c r="K86" s="396"/>
      <c r="L86" s="392"/>
      <c r="N86" s="15"/>
    </row>
    <row r="87" spans="1:20">
      <c r="A87" s="361"/>
      <c r="B87" s="354">
        <v>2274</v>
      </c>
      <c r="C87" s="390" t="s">
        <v>834</v>
      </c>
      <c r="D87" s="390" t="s">
        <v>835</v>
      </c>
      <c r="E87" s="329" t="s">
        <v>1050</v>
      </c>
      <c r="F87" s="330"/>
      <c r="G87" s="331"/>
      <c r="H87" s="332"/>
      <c r="I87" s="331"/>
      <c r="J87" s="331">
        <v>-674.83</v>
      </c>
      <c r="K87" s="331"/>
      <c r="L87" s="196" t="s">
        <v>1052</v>
      </c>
      <c r="M87" s="362"/>
      <c r="N87" s="363"/>
      <c r="O87" s="362"/>
      <c r="P87" s="362"/>
      <c r="Q87" s="362"/>
      <c r="R87" s="362"/>
      <c r="S87" s="362"/>
      <c r="T87" s="362"/>
    </row>
    <row r="88" spans="1:20">
      <c r="A88" s="361"/>
      <c r="B88" s="354">
        <v>2274</v>
      </c>
      <c r="C88" s="390" t="s">
        <v>834</v>
      </c>
      <c r="D88" s="390" t="s">
        <v>835</v>
      </c>
      <c r="E88" s="329" t="s">
        <v>1050</v>
      </c>
      <c r="F88" s="330"/>
      <c r="G88" s="331"/>
      <c r="H88" s="332"/>
      <c r="I88" s="331"/>
      <c r="J88" s="331">
        <v>-674.83</v>
      </c>
      <c r="K88" s="331"/>
      <c r="L88" s="196" t="s">
        <v>1053</v>
      </c>
      <c r="M88" s="362"/>
      <c r="N88" s="363"/>
      <c r="O88" s="362"/>
      <c r="P88" s="362"/>
      <c r="Q88" s="362"/>
      <c r="R88" s="362"/>
      <c r="S88" s="362"/>
      <c r="T88" s="362"/>
    </row>
    <row r="89" spans="1:20">
      <c r="A89" s="361"/>
      <c r="B89" s="354">
        <v>1300</v>
      </c>
      <c r="C89" s="328" t="s">
        <v>757</v>
      </c>
      <c r="D89" s="328" t="s">
        <v>1037</v>
      </c>
      <c r="E89" s="382" t="s">
        <v>854</v>
      </c>
      <c r="F89" s="330"/>
      <c r="G89" s="331">
        <v>1613.6</v>
      </c>
      <c r="H89" s="332">
        <v>0</v>
      </c>
      <c r="I89" s="331">
        <v>1613.6</v>
      </c>
      <c r="J89" s="409">
        <v>1613.6</v>
      </c>
      <c r="K89" s="397"/>
      <c r="L89" s="196" t="s">
        <v>1054</v>
      </c>
      <c r="M89" s="362"/>
      <c r="N89" s="363"/>
      <c r="O89" s="362"/>
      <c r="P89" s="362"/>
      <c r="Q89" s="362"/>
      <c r="R89" s="362"/>
      <c r="S89" s="362"/>
      <c r="T89" s="362"/>
    </row>
    <row r="90" spans="1:20">
      <c r="A90" s="361"/>
      <c r="B90" s="354">
        <v>1300</v>
      </c>
      <c r="C90" s="328" t="s">
        <v>757</v>
      </c>
      <c r="D90" s="328" t="s">
        <v>1037</v>
      </c>
      <c r="E90" s="382" t="s">
        <v>854</v>
      </c>
      <c r="F90" s="330"/>
      <c r="G90" s="331">
        <v>1613.6</v>
      </c>
      <c r="H90" s="332">
        <v>0</v>
      </c>
      <c r="I90" s="331">
        <v>1613.6</v>
      </c>
      <c r="J90" s="409">
        <v>1613.6</v>
      </c>
      <c r="K90" s="331"/>
      <c r="L90" s="196" t="s">
        <v>1055</v>
      </c>
      <c r="N90" s="378"/>
      <c r="O90" s="216"/>
      <c r="P90" s="3"/>
      <c r="Q90" s="269"/>
      <c r="R90" s="270"/>
      <c r="S90" s="270"/>
      <c r="T90" s="379"/>
    </row>
    <row r="91" spans="1:20">
      <c r="A91" s="334"/>
      <c r="B91" s="354">
        <v>2082</v>
      </c>
      <c r="C91" s="400" t="s">
        <v>759</v>
      </c>
      <c r="D91" s="401" t="s">
        <v>806</v>
      </c>
      <c r="E91" s="329" t="s">
        <v>852</v>
      </c>
      <c r="F91" s="330"/>
      <c r="G91" s="331">
        <v>661.83</v>
      </c>
      <c r="H91" s="332" t="s">
        <v>1006</v>
      </c>
      <c r="I91" s="331">
        <v>661.83</v>
      </c>
      <c r="J91" s="331">
        <v>-661.83</v>
      </c>
      <c r="K91" s="331"/>
      <c r="L91" s="196" t="s">
        <v>1056</v>
      </c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34"/>
      <c r="B92" s="354">
        <v>2082</v>
      </c>
      <c r="C92" s="400" t="s">
        <v>759</v>
      </c>
      <c r="D92" s="401" t="s">
        <v>806</v>
      </c>
      <c r="E92" s="329" t="s">
        <v>852</v>
      </c>
      <c r="F92" s="330"/>
      <c r="G92" s="331">
        <v>661.83</v>
      </c>
      <c r="H92" s="332" t="s">
        <v>1006</v>
      </c>
      <c r="I92" s="331">
        <v>661.83</v>
      </c>
      <c r="J92" s="331">
        <v>-661.83</v>
      </c>
      <c r="K92" s="333"/>
      <c r="L92" s="196" t="s">
        <v>1057</v>
      </c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34"/>
      <c r="B93" s="354">
        <v>2315</v>
      </c>
      <c r="C93" s="328" t="s">
        <v>1004</v>
      </c>
      <c r="D93" s="328" t="s">
        <v>1005</v>
      </c>
      <c r="E93" s="329" t="s">
        <v>852</v>
      </c>
      <c r="F93" s="330"/>
      <c r="G93" s="331"/>
      <c r="H93" s="332" t="s">
        <v>1006</v>
      </c>
      <c r="I93" s="332"/>
      <c r="J93" s="333">
        <v>-674.83</v>
      </c>
      <c r="K93" s="333"/>
      <c r="L93" s="196" t="s">
        <v>1052</v>
      </c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34"/>
      <c r="B94" s="354">
        <v>2315</v>
      </c>
      <c r="C94" s="328" t="s">
        <v>1004</v>
      </c>
      <c r="D94" s="328" t="s">
        <v>1005</v>
      </c>
      <c r="E94" s="329" t="s">
        <v>852</v>
      </c>
      <c r="F94" s="330"/>
      <c r="G94" s="331"/>
      <c r="H94" s="332" t="s">
        <v>1006</v>
      </c>
      <c r="I94" s="332"/>
      <c r="J94" s="333">
        <v>-674.83</v>
      </c>
      <c r="K94" s="333"/>
      <c r="L94" s="196" t="s">
        <v>1053</v>
      </c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34"/>
      <c r="B95" s="354">
        <v>2292</v>
      </c>
      <c r="C95" s="328" t="s">
        <v>763</v>
      </c>
      <c r="D95" s="328" t="s">
        <v>1040</v>
      </c>
      <c r="E95" s="329" t="s">
        <v>852</v>
      </c>
      <c r="F95" s="330"/>
      <c r="G95" s="331">
        <v>567.59</v>
      </c>
      <c r="H95" s="332"/>
      <c r="I95" s="331">
        <v>567.59</v>
      </c>
      <c r="J95" s="389">
        <v>567.59</v>
      </c>
      <c r="K95" s="333"/>
      <c r="L95" s="196" t="s">
        <v>1054</v>
      </c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>
        <v>2292</v>
      </c>
      <c r="C96" s="328" t="s">
        <v>763</v>
      </c>
      <c r="D96" s="328" t="s">
        <v>1040</v>
      </c>
      <c r="E96" s="329" t="s">
        <v>852</v>
      </c>
      <c r="F96" s="330"/>
      <c r="G96" s="331">
        <v>567.59</v>
      </c>
      <c r="H96" s="332"/>
      <c r="I96" s="331">
        <v>567.59</v>
      </c>
      <c r="J96" s="389">
        <v>567.59</v>
      </c>
      <c r="K96" s="333"/>
      <c r="L96" s="196" t="s">
        <v>1055</v>
      </c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>
        <v>1692</v>
      </c>
      <c r="C97" s="328" t="s">
        <v>771</v>
      </c>
      <c r="D97" s="338" t="s">
        <v>819</v>
      </c>
      <c r="E97" s="329" t="s">
        <v>852</v>
      </c>
      <c r="F97" s="330"/>
      <c r="G97" s="331"/>
      <c r="H97" s="332"/>
      <c r="I97" s="332"/>
      <c r="J97" s="333">
        <v>-543.76</v>
      </c>
      <c r="K97" s="333"/>
      <c r="L97" s="380" t="s">
        <v>1059</v>
      </c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>
        <v>1692</v>
      </c>
      <c r="C98" s="328" t="s">
        <v>771</v>
      </c>
      <c r="D98" s="338" t="s">
        <v>819</v>
      </c>
      <c r="E98" s="329" t="s">
        <v>852</v>
      </c>
      <c r="F98" s="330"/>
      <c r="G98" s="331"/>
      <c r="H98" s="332"/>
      <c r="I98" s="332"/>
      <c r="J98" s="333">
        <v>-543.76</v>
      </c>
      <c r="K98" s="333"/>
      <c r="L98" s="380" t="s">
        <v>1060</v>
      </c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>
        <v>2288</v>
      </c>
      <c r="C99" s="328" t="s">
        <v>772</v>
      </c>
      <c r="D99" s="338" t="s">
        <v>820</v>
      </c>
      <c r="E99" s="329" t="s">
        <v>852</v>
      </c>
      <c r="F99" s="330"/>
      <c r="G99" s="331">
        <v>588.71</v>
      </c>
      <c r="H99" s="332"/>
      <c r="I99" s="331">
        <v>588.71</v>
      </c>
      <c r="J99" s="389">
        <v>588.71</v>
      </c>
      <c r="K99" s="333"/>
      <c r="L99" s="196" t="s">
        <v>1054</v>
      </c>
      <c r="N99" s="15"/>
    </row>
    <row r="100" spans="1:20">
      <c r="A100" s="334"/>
      <c r="B100" s="354">
        <v>2288</v>
      </c>
      <c r="C100" s="328" t="s">
        <v>772</v>
      </c>
      <c r="D100" s="338" t="s">
        <v>820</v>
      </c>
      <c r="E100" s="329" t="s">
        <v>852</v>
      </c>
      <c r="F100" s="330"/>
      <c r="G100" s="331">
        <v>588.71</v>
      </c>
      <c r="H100" s="332"/>
      <c r="I100" s="331">
        <v>588.71</v>
      </c>
      <c r="J100" s="389">
        <v>588.71</v>
      </c>
      <c r="K100" s="333"/>
      <c r="L100" s="196" t="s">
        <v>1055</v>
      </c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>
        <v>2212</v>
      </c>
      <c r="C101" s="400" t="s">
        <v>776</v>
      </c>
      <c r="D101" s="401" t="s">
        <v>825</v>
      </c>
      <c r="E101" s="329" t="s">
        <v>852</v>
      </c>
      <c r="F101" s="330"/>
      <c r="G101" s="331"/>
      <c r="H101" s="332" t="s">
        <v>1006</v>
      </c>
      <c r="I101" s="332"/>
      <c r="J101" s="333">
        <v>-657.5</v>
      </c>
      <c r="K101" s="333"/>
      <c r="L101" s="196" t="s">
        <v>1052</v>
      </c>
      <c r="M101" s="362"/>
      <c r="N101" s="363"/>
      <c r="O101" s="362"/>
      <c r="P101" s="362"/>
      <c r="Q101" s="362"/>
      <c r="R101" s="362"/>
      <c r="S101" s="362"/>
      <c r="T101" s="362"/>
    </row>
    <row r="102" spans="1:20">
      <c r="A102" s="334"/>
      <c r="B102" s="354">
        <v>2212</v>
      </c>
      <c r="C102" s="400" t="s">
        <v>776</v>
      </c>
      <c r="D102" s="401" t="s">
        <v>825</v>
      </c>
      <c r="E102" s="329" t="s">
        <v>852</v>
      </c>
      <c r="F102" s="330"/>
      <c r="G102" s="331"/>
      <c r="H102" s="332" t="s">
        <v>1006</v>
      </c>
      <c r="I102" s="332"/>
      <c r="J102" s="333">
        <v>-657.5</v>
      </c>
      <c r="K102" s="333"/>
      <c r="L102" s="196" t="s">
        <v>1053</v>
      </c>
      <c r="M102" s="362"/>
      <c r="N102" s="363"/>
      <c r="O102" s="362"/>
      <c r="P102" s="362"/>
      <c r="Q102" s="362"/>
      <c r="R102" s="362"/>
      <c r="S102" s="362"/>
      <c r="T102" s="362"/>
    </row>
    <row r="103" spans="1:20">
      <c r="A103" s="334"/>
      <c r="B103" s="354"/>
      <c r="C103" s="328"/>
      <c r="D103" s="338"/>
      <c r="E103" s="329"/>
      <c r="F103" s="330"/>
      <c r="G103" s="331"/>
      <c r="H103" s="332"/>
      <c r="I103" s="332"/>
      <c r="J103" s="333"/>
      <c r="K103" s="333"/>
      <c r="L103" s="161"/>
      <c r="M103" s="362"/>
      <c r="N103" s="363"/>
      <c r="O103" s="362"/>
      <c r="P103" s="362"/>
      <c r="Q103" s="362"/>
      <c r="R103" s="362"/>
      <c r="S103" s="362"/>
      <c r="T103" s="362"/>
    </row>
    <row r="104" spans="1:20">
      <c r="A104" s="334"/>
      <c r="B104" s="354"/>
      <c r="C104" s="328"/>
      <c r="D104" s="328"/>
      <c r="E104" s="329"/>
      <c r="F104" s="330"/>
      <c r="G104" s="331"/>
      <c r="H104" s="332"/>
      <c r="I104" s="332"/>
      <c r="J104" s="333"/>
      <c r="K104" s="333"/>
      <c r="L104" s="161"/>
      <c r="N104" s="15"/>
    </row>
    <row r="105" spans="1:20">
      <c r="A105" s="438" t="s">
        <v>846</v>
      </c>
      <c r="B105" s="439"/>
      <c r="C105" s="439"/>
      <c r="D105" s="439"/>
      <c r="E105" s="439"/>
      <c r="F105" s="439"/>
      <c r="G105" s="440"/>
      <c r="H105" s="348">
        <f>SUM(H87:H102)</f>
        <v>0</v>
      </c>
      <c r="I105" s="347"/>
      <c r="J105" s="348">
        <f>SUM(J87:J104)</f>
        <v>-885.70000000000039</v>
      </c>
      <c r="K105" s="406"/>
      <c r="L105" s="402"/>
    </row>
    <row r="106" spans="1:20">
      <c r="A106" s="365"/>
      <c r="B106" s="366"/>
      <c r="C106" s="366"/>
      <c r="D106" s="366"/>
      <c r="E106" s="366"/>
      <c r="F106" s="367"/>
      <c r="G106" s="368"/>
      <c r="H106" s="368"/>
      <c r="I106" s="368"/>
      <c r="J106" s="349"/>
      <c r="K106" s="383"/>
      <c r="L106" s="364"/>
    </row>
    <row r="107" spans="1:20" ht="16">
      <c r="A107" s="435" t="s">
        <v>881</v>
      </c>
      <c r="B107" s="436"/>
      <c r="C107" s="436"/>
      <c r="D107" s="436"/>
      <c r="E107" s="436"/>
      <c r="F107" s="436"/>
      <c r="G107" s="437"/>
      <c r="H107" s="369"/>
      <c r="I107" s="369"/>
      <c r="J107" s="370">
        <f>SUM(J81,J105)</f>
        <v>82416.460000000006</v>
      </c>
      <c r="K107" s="407"/>
      <c r="L107" s="350"/>
    </row>
    <row r="108" spans="1:20" ht="18">
      <c r="F108" s="3"/>
      <c r="G108" s="371" t="s">
        <v>1013</v>
      </c>
      <c r="H108" s="372">
        <v>45348</v>
      </c>
    </row>
    <row r="109" spans="1:20" ht="18">
      <c r="F109" s="3"/>
      <c r="G109" s="371" t="s">
        <v>1014</v>
      </c>
      <c r="H109" s="373" t="s">
        <v>990</v>
      </c>
      <c r="I109" s="373"/>
    </row>
    <row r="110" spans="1:20">
      <c r="F110" s="3"/>
      <c r="G110" s="216"/>
      <c r="H110" s="216"/>
      <c r="I110" s="216"/>
      <c r="J110" s="3"/>
      <c r="K110" s="3"/>
      <c r="L110" s="15"/>
      <c r="M110" s="216"/>
    </row>
    <row r="111" spans="1:20">
      <c r="F111" s="3"/>
      <c r="G111" s="216"/>
      <c r="H111" s="269"/>
      <c r="I111" s="216"/>
      <c r="J111" s="270"/>
      <c r="K111" s="270"/>
      <c r="L111" s="15"/>
      <c r="M111" s="216"/>
    </row>
    <row r="112" spans="1:20">
      <c r="F112" s="3"/>
      <c r="G112" s="216"/>
      <c r="H112" s="269"/>
      <c r="I112" s="216"/>
      <c r="J112" s="270"/>
      <c r="K112" s="270"/>
      <c r="L112" s="15"/>
      <c r="M112" s="216"/>
    </row>
    <row r="113" spans="6:20">
      <c r="F113" s="3"/>
      <c r="G113" s="216"/>
      <c r="H113" s="388">
        <f>SUM(H79,H105)</f>
        <v>2577.04</v>
      </c>
      <c r="I113" s="269">
        <f>J107-H113</f>
        <v>79839.420000000013</v>
      </c>
      <c r="J113" s="3"/>
      <c r="K113" s="3"/>
      <c r="L113" s="15"/>
      <c r="M113" s="216"/>
    </row>
    <row r="114" spans="6:20">
      <c r="F114" s="3"/>
      <c r="G114" s="216"/>
      <c r="H114" s="216"/>
      <c r="I114" s="216"/>
      <c r="J114" s="3"/>
      <c r="K114" s="3"/>
      <c r="L114" s="15"/>
      <c r="M114" s="216"/>
      <c r="Q114" s="3"/>
      <c r="R114" s="3"/>
      <c r="S114" s="3"/>
      <c r="T114" s="3"/>
    </row>
  </sheetData>
  <mergeCells count="7">
    <mergeCell ref="A107:G107"/>
    <mergeCell ref="A81:G81"/>
    <mergeCell ref="A82:C82"/>
    <mergeCell ref="A84:C84"/>
    <mergeCell ref="A85:C85"/>
    <mergeCell ref="A86:G86"/>
    <mergeCell ref="A105:G105"/>
  </mergeCells>
  <pageMargins left="0.7" right="0.7" top="0.75" bottom="0.75" header="0.3" footer="0.3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6158-F2F4-134C-88A3-8D6F96A5B7B7}">
  <dimension ref="A1:T114"/>
  <sheetViews>
    <sheetView zoomScale="150" zoomScaleNormal="150" workbookViewId="0">
      <selection sqref="A1:XFD1048576"/>
    </sheetView>
  </sheetViews>
  <sheetFormatPr baseColWidth="10" defaultColWidth="11.5" defaultRowHeight="13"/>
  <cols>
    <col min="1" max="1" width="6.33203125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45323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832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70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>
        <v>5</v>
      </c>
      <c r="B11" s="354">
        <v>2274</v>
      </c>
      <c r="C11" s="390" t="s">
        <v>834</v>
      </c>
      <c r="D11" s="390" t="s">
        <v>835</v>
      </c>
      <c r="E11" s="329"/>
      <c r="F11" s="330"/>
      <c r="G11" s="331"/>
      <c r="H11" s="332" t="s">
        <v>1006</v>
      </c>
      <c r="I11" s="332"/>
      <c r="J11" s="333">
        <v>674.83</v>
      </c>
      <c r="K11" s="333">
        <f t="shared" si="0"/>
        <v>-674.83</v>
      </c>
      <c r="L11" s="329" t="s">
        <v>1030</v>
      </c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1469.89</v>
      </c>
      <c r="H12" s="332" t="s">
        <v>1006</v>
      </c>
      <c r="I12" s="331">
        <v>1469.89</v>
      </c>
      <c r="J12" s="389">
        <v>1469.89</v>
      </c>
      <c r="K12" s="333">
        <f t="shared" si="0"/>
        <v>0</v>
      </c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648.83000000000004</v>
      </c>
      <c r="H13" s="332" t="s">
        <v>1006</v>
      </c>
      <c r="I13" s="331">
        <v>648.83000000000004</v>
      </c>
      <c r="J13" s="389">
        <v>648.83000000000004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885.51</v>
      </c>
      <c r="H14" s="332" t="s">
        <v>1006</v>
      </c>
      <c r="I14" s="331">
        <v>885.51</v>
      </c>
      <c r="J14" s="389">
        <v>885.51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683.49</v>
      </c>
      <c r="H15" s="332" t="s">
        <v>1006</v>
      </c>
      <c r="I15" s="331">
        <v>683.49</v>
      </c>
      <c r="J15" s="389">
        <v>683.49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666.16</v>
      </c>
      <c r="H16" s="332" t="s">
        <v>1006</v>
      </c>
      <c r="I16" s="331">
        <v>666.16</v>
      </c>
      <c r="J16" s="389">
        <v>666.16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1262.08</v>
      </c>
      <c r="H17" s="332">
        <v>542.16</v>
      </c>
      <c r="I17" s="332">
        <v>1804.24</v>
      </c>
      <c r="J17" s="333">
        <v>1804.24</v>
      </c>
      <c r="K17" s="333">
        <f t="shared" si="0"/>
        <v>0</v>
      </c>
      <c r="L17" s="329"/>
    </row>
    <row r="18" spans="1:20">
      <c r="A18" s="334"/>
      <c r="B18" s="354">
        <v>2318</v>
      </c>
      <c r="C18" s="328" t="s">
        <v>1018</v>
      </c>
      <c r="D18" s="328" t="s">
        <v>1019</v>
      </c>
      <c r="E18" s="382" t="s">
        <v>851</v>
      </c>
      <c r="F18" s="330"/>
      <c r="G18" s="331">
        <v>790.72</v>
      </c>
      <c r="H18" s="332">
        <v>507.5</v>
      </c>
      <c r="I18" s="332">
        <f>SUM(G18:H18)</f>
        <v>1298.22</v>
      </c>
      <c r="J18" s="333">
        <v>1298.21</v>
      </c>
      <c r="K18" s="333">
        <f t="shared" si="0"/>
        <v>9.9999999999909051E-3</v>
      </c>
      <c r="L18" s="161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2065.64</v>
      </c>
      <c r="H19" s="332" t="s">
        <v>1006</v>
      </c>
      <c r="I19" s="331">
        <v>2065.64</v>
      </c>
      <c r="J19" s="389">
        <v>2065.64</v>
      </c>
      <c r="K19" s="333">
        <f t="shared" si="0"/>
        <v>0</v>
      </c>
      <c r="L19" s="161"/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692.16</v>
      </c>
      <c r="H20" s="332" t="s">
        <v>1006</v>
      </c>
      <c r="I20" s="331">
        <v>692.16</v>
      </c>
      <c r="J20" s="389">
        <v>692.16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1090.42</v>
      </c>
      <c r="H21" s="332" t="s">
        <v>1006</v>
      </c>
      <c r="I21" s="331">
        <v>1090.42</v>
      </c>
      <c r="J21" s="389">
        <v>1090.42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756.04</v>
      </c>
      <c r="H22" s="332">
        <v>417.6</v>
      </c>
      <c r="I22" s="332">
        <f>SUM(G22:H22)</f>
        <v>1173.6399999999999</v>
      </c>
      <c r="J22" s="333">
        <v>1173.6300000000001</v>
      </c>
      <c r="K22" s="333">
        <f t="shared" si="0"/>
        <v>9.9999999997635314E-3</v>
      </c>
      <c r="L22" s="188"/>
      <c r="M22" s="403" t="s">
        <v>1042</v>
      </c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1551.66</v>
      </c>
      <c r="H23" s="332" t="s">
        <v>1006</v>
      </c>
      <c r="I23" s="331">
        <v>1551.66</v>
      </c>
      <c r="J23" s="389">
        <v>1551.66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1263.54</v>
      </c>
      <c r="H24" s="332" t="s">
        <v>1006</v>
      </c>
      <c r="I24" s="331">
        <v>1263.54</v>
      </c>
      <c r="J24" s="389">
        <v>1263.54</v>
      </c>
      <c r="K24" s="333">
        <f t="shared" si="0"/>
        <v>0</v>
      </c>
      <c r="L24" s="161"/>
    </row>
    <row r="25" spans="1:20">
      <c r="A25" s="334">
        <v>17</v>
      </c>
      <c r="B25" s="354">
        <v>2194</v>
      </c>
      <c r="C25" s="328" t="s">
        <v>749</v>
      </c>
      <c r="D25" s="338" t="s">
        <v>789</v>
      </c>
      <c r="E25" s="329" t="s">
        <v>852</v>
      </c>
      <c r="F25" s="330"/>
      <c r="G25" s="331">
        <v>606.04</v>
      </c>
      <c r="H25" s="332" t="s">
        <v>1006</v>
      </c>
      <c r="I25" s="331">
        <v>606.04</v>
      </c>
      <c r="J25" s="389">
        <v>606.04</v>
      </c>
      <c r="K25" s="333">
        <f t="shared" si="0"/>
        <v>0</v>
      </c>
      <c r="L25" s="161"/>
    </row>
    <row r="26" spans="1:20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331">
        <v>1379.98</v>
      </c>
      <c r="H26" s="332" t="s">
        <v>1006</v>
      </c>
      <c r="I26" s="331">
        <v>1379.98</v>
      </c>
      <c r="J26" s="389">
        <v>1379.98</v>
      </c>
      <c r="K26" s="333">
        <f t="shared" si="0"/>
        <v>0</v>
      </c>
      <c r="L26" s="161"/>
    </row>
    <row r="27" spans="1:20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683.49</v>
      </c>
      <c r="H27" s="332" t="s">
        <v>1006</v>
      </c>
      <c r="I27" s="331">
        <v>683.49</v>
      </c>
      <c r="J27" s="389">
        <v>683.49</v>
      </c>
      <c r="K27" s="333">
        <f t="shared" si="0"/>
        <v>0</v>
      </c>
      <c r="L27" s="161"/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541.59</v>
      </c>
      <c r="H28" s="332">
        <v>0</v>
      </c>
      <c r="I28" s="332">
        <v>541.59</v>
      </c>
      <c r="J28" s="335">
        <v>541.59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1549.34</v>
      </c>
      <c r="H29" s="332" t="s">
        <v>1006</v>
      </c>
      <c r="I29" s="331">
        <v>1549.34</v>
      </c>
      <c r="J29" s="389">
        <v>1549.34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661.83</v>
      </c>
      <c r="H30" s="332" t="s">
        <v>1006</v>
      </c>
      <c r="I30" s="331">
        <v>661.83</v>
      </c>
      <c r="J30" s="389">
        <v>661.83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567.59</v>
      </c>
      <c r="H31" s="332"/>
      <c r="I31" s="331">
        <v>567.59</v>
      </c>
      <c r="J31" s="389">
        <v>567.59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1379.98</v>
      </c>
      <c r="H32" s="332" t="s">
        <v>1006</v>
      </c>
      <c r="I32" s="391">
        <v>1379.98</v>
      </c>
      <c r="J32" s="389">
        <v>1379.98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1624.77</v>
      </c>
      <c r="H33" s="332" t="s">
        <v>1006</v>
      </c>
      <c r="I33" s="331">
        <v>1624.77</v>
      </c>
      <c r="J33" s="389">
        <v>1624.77</v>
      </c>
      <c r="K33" s="333">
        <f t="shared" si="0"/>
        <v>0</v>
      </c>
      <c r="L33" s="329"/>
    </row>
    <row r="34" spans="1:20">
      <c r="A34" s="334"/>
      <c r="B34" s="354">
        <v>2320</v>
      </c>
      <c r="C34" s="328" t="s">
        <v>1043</v>
      </c>
      <c r="D34" s="328" t="s">
        <v>1044</v>
      </c>
      <c r="E34" s="329" t="s">
        <v>852</v>
      </c>
      <c r="F34" s="330"/>
      <c r="G34" s="331"/>
      <c r="H34" s="332"/>
      <c r="I34" s="331">
        <v>567.59</v>
      </c>
      <c r="J34" s="389"/>
      <c r="K34" s="333"/>
      <c r="L34" s="329" t="s">
        <v>1036</v>
      </c>
    </row>
    <row r="35" spans="1:20">
      <c r="A35" s="334">
        <v>24</v>
      </c>
      <c r="B35" s="376" t="s">
        <v>675</v>
      </c>
      <c r="C35" s="328" t="s">
        <v>755</v>
      </c>
      <c r="D35" s="328" t="s">
        <v>796</v>
      </c>
      <c r="E35" s="329" t="s">
        <v>852</v>
      </c>
      <c r="F35" s="330"/>
      <c r="G35" s="331">
        <v>717.61</v>
      </c>
      <c r="H35" s="332" t="s">
        <v>1006</v>
      </c>
      <c r="I35" s="332">
        <v>717.61</v>
      </c>
      <c r="J35" s="333">
        <v>717.61</v>
      </c>
      <c r="K35" s="333">
        <f t="shared" si="0"/>
        <v>0</v>
      </c>
      <c r="L35" s="329"/>
    </row>
    <row r="36" spans="1:20">
      <c r="A36" s="334">
        <v>26</v>
      </c>
      <c r="B36" s="354">
        <v>1741</v>
      </c>
      <c r="C36" s="328" t="s">
        <v>755</v>
      </c>
      <c r="D36" s="328" t="s">
        <v>797</v>
      </c>
      <c r="E36" s="329" t="s">
        <v>852</v>
      </c>
      <c r="F36" s="330"/>
      <c r="G36" s="331">
        <v>1156.3</v>
      </c>
      <c r="H36" s="332" t="s">
        <v>1006</v>
      </c>
      <c r="I36" s="331">
        <v>1156.3</v>
      </c>
      <c r="J36" s="389">
        <v>1156.3</v>
      </c>
      <c r="K36" s="333">
        <f t="shared" si="0"/>
        <v>0</v>
      </c>
      <c r="L36" s="329"/>
    </row>
    <row r="37" spans="1:20">
      <c r="A37" s="334">
        <v>25</v>
      </c>
      <c r="B37" s="354">
        <v>1757</v>
      </c>
      <c r="C37" s="328" t="s">
        <v>755</v>
      </c>
      <c r="D37" s="338" t="s">
        <v>798</v>
      </c>
      <c r="E37" s="329" t="s">
        <v>853</v>
      </c>
      <c r="F37" s="330">
        <v>2</v>
      </c>
      <c r="G37" s="331">
        <v>1956.43</v>
      </c>
      <c r="H37" s="332" t="s">
        <v>1006</v>
      </c>
      <c r="I37" s="331">
        <v>1956.43</v>
      </c>
      <c r="J37" s="389">
        <v>1956.43</v>
      </c>
      <c r="K37" s="333">
        <f t="shared" si="0"/>
        <v>0</v>
      </c>
      <c r="L37" s="329"/>
      <c r="N37" s="12"/>
      <c r="O37" s="12"/>
      <c r="P37" s="12"/>
      <c r="Q37" s="12"/>
      <c r="R37" s="12"/>
      <c r="S37" s="12"/>
      <c r="T37" s="12"/>
    </row>
    <row r="38" spans="1:20">
      <c r="A38" s="334">
        <v>27</v>
      </c>
      <c r="B38" s="354">
        <v>2057</v>
      </c>
      <c r="C38" s="328" t="s">
        <v>756</v>
      </c>
      <c r="D38" s="338" t="s">
        <v>799</v>
      </c>
      <c r="E38" s="329" t="s">
        <v>852</v>
      </c>
      <c r="F38" s="330"/>
      <c r="G38" s="331">
        <v>1624.77</v>
      </c>
      <c r="H38" s="332" t="s">
        <v>1006</v>
      </c>
      <c r="I38" s="331">
        <v>1624.77</v>
      </c>
      <c r="J38" s="389">
        <v>1624.77</v>
      </c>
      <c r="K38" s="333">
        <f t="shared" si="0"/>
        <v>0</v>
      </c>
      <c r="L38" s="329"/>
    </row>
    <row r="39" spans="1:20">
      <c r="A39" s="334">
        <v>28</v>
      </c>
      <c r="B39" s="354">
        <v>1210</v>
      </c>
      <c r="C39" s="328" t="s">
        <v>756</v>
      </c>
      <c r="D39" s="338" t="s">
        <v>800</v>
      </c>
      <c r="E39" s="329" t="s">
        <v>852</v>
      </c>
      <c r="F39" s="330"/>
      <c r="G39" s="331">
        <v>1598.79</v>
      </c>
      <c r="H39" s="332" t="s">
        <v>1006</v>
      </c>
      <c r="I39" s="331">
        <v>1598.79</v>
      </c>
      <c r="J39" s="389">
        <v>1598.79</v>
      </c>
      <c r="K39" s="333">
        <f t="shared" si="0"/>
        <v>0</v>
      </c>
      <c r="L39" s="329"/>
    </row>
    <row r="40" spans="1:20">
      <c r="A40" s="334"/>
      <c r="B40" s="354">
        <v>2310</v>
      </c>
      <c r="C40" s="328" t="s">
        <v>756</v>
      </c>
      <c r="D40" s="338" t="s">
        <v>977</v>
      </c>
      <c r="E40" s="329" t="s">
        <v>852</v>
      </c>
      <c r="F40" s="330"/>
      <c r="G40" s="331">
        <v>923.96</v>
      </c>
      <c r="H40" s="332" t="s">
        <v>1006</v>
      </c>
      <c r="I40" s="331">
        <v>923.96</v>
      </c>
      <c r="J40" s="389">
        <v>923.96</v>
      </c>
      <c r="K40" s="333">
        <f t="shared" si="0"/>
        <v>0</v>
      </c>
      <c r="L40" s="329"/>
    </row>
    <row r="41" spans="1:20">
      <c r="A41" s="334"/>
      <c r="B41" s="354">
        <v>2325</v>
      </c>
      <c r="C41" s="328" t="s">
        <v>444</v>
      </c>
      <c r="D41" s="328" t="s">
        <v>1035</v>
      </c>
      <c r="E41" s="329" t="s">
        <v>852</v>
      </c>
      <c r="F41" s="330"/>
      <c r="G41" s="331">
        <v>1598.79</v>
      </c>
      <c r="H41" s="332">
        <v>0</v>
      </c>
      <c r="I41" s="331">
        <v>1598.79</v>
      </c>
      <c r="J41" s="331">
        <v>1598.79</v>
      </c>
      <c r="K41" s="333">
        <f t="shared" ref="K41" si="1">I41-J41</f>
        <v>0</v>
      </c>
      <c r="L41" s="329" t="s">
        <v>1047</v>
      </c>
    </row>
    <row r="42" spans="1:20">
      <c r="A42" s="334">
        <v>29</v>
      </c>
      <c r="B42" s="354">
        <v>1460</v>
      </c>
      <c r="C42" s="328" t="s">
        <v>444</v>
      </c>
      <c r="D42" s="328" t="s">
        <v>506</v>
      </c>
      <c r="E42" s="329" t="s">
        <v>852</v>
      </c>
      <c r="F42" s="330"/>
      <c r="G42" s="331">
        <v>967.29</v>
      </c>
      <c r="H42" s="332" t="s">
        <v>1006</v>
      </c>
      <c r="I42" s="331">
        <v>967.29</v>
      </c>
      <c r="J42" s="389">
        <v>967.29</v>
      </c>
      <c r="K42" s="333">
        <f t="shared" si="0"/>
        <v>0</v>
      </c>
      <c r="L42" s="329"/>
    </row>
    <row r="43" spans="1:20">
      <c r="A43" s="334">
        <v>32</v>
      </c>
      <c r="B43" s="354">
        <v>2248</v>
      </c>
      <c r="C43" s="328" t="s">
        <v>757</v>
      </c>
      <c r="D43" s="328" t="s">
        <v>801</v>
      </c>
      <c r="E43" s="341" t="s">
        <v>856</v>
      </c>
      <c r="F43" s="330">
        <v>2</v>
      </c>
      <c r="G43" s="331">
        <v>1669</v>
      </c>
      <c r="H43" s="332">
        <v>524.84</v>
      </c>
      <c r="I43" s="332">
        <f>SUM(G43:H43)</f>
        <v>2193.84</v>
      </c>
      <c r="J43" s="333">
        <v>2193.84</v>
      </c>
      <c r="K43" s="333">
        <f t="shared" si="0"/>
        <v>0</v>
      </c>
      <c r="L43" s="329"/>
    </row>
    <row r="44" spans="1:20">
      <c r="A44" s="334"/>
      <c r="B44" s="354">
        <v>2319</v>
      </c>
      <c r="C44" s="328" t="s">
        <v>757</v>
      </c>
      <c r="D44" s="328" t="s">
        <v>1026</v>
      </c>
      <c r="E44" s="382" t="s">
        <v>852</v>
      </c>
      <c r="F44" s="330"/>
      <c r="G44" s="331">
        <v>657.5</v>
      </c>
      <c r="H44" s="332">
        <v>0</v>
      </c>
      <c r="I44" s="331">
        <v>657.5</v>
      </c>
      <c r="J44" s="389">
        <v>657.5</v>
      </c>
      <c r="K44" s="333">
        <f t="shared" si="0"/>
        <v>0</v>
      </c>
      <c r="L44" s="329"/>
    </row>
    <row r="45" spans="1:20">
      <c r="A45" s="334"/>
      <c r="B45" s="354">
        <v>1300</v>
      </c>
      <c r="C45" s="328" t="s">
        <v>757</v>
      </c>
      <c r="D45" s="328" t="s">
        <v>1037</v>
      </c>
      <c r="E45" s="382" t="s">
        <v>854</v>
      </c>
      <c r="F45" s="330"/>
      <c r="G45" s="331"/>
      <c r="H45" s="332"/>
      <c r="I45" s="331"/>
      <c r="J45" s="389"/>
      <c r="K45" s="333">
        <f t="shared" si="0"/>
        <v>0</v>
      </c>
      <c r="L45" s="329" t="s">
        <v>1036</v>
      </c>
    </row>
    <row r="46" spans="1:20">
      <c r="A46" s="334">
        <v>30</v>
      </c>
      <c r="B46" s="354">
        <v>2062</v>
      </c>
      <c r="C46" s="328" t="s">
        <v>757</v>
      </c>
      <c r="D46" s="328" t="s">
        <v>802</v>
      </c>
      <c r="E46" s="329" t="s">
        <v>854</v>
      </c>
      <c r="F46" s="330">
        <v>1</v>
      </c>
      <c r="G46" s="331">
        <v>1094.75</v>
      </c>
      <c r="H46" s="332" t="s">
        <v>1006</v>
      </c>
      <c r="I46" s="331">
        <v>1094.75</v>
      </c>
      <c r="J46" s="389">
        <v>1094.75</v>
      </c>
      <c r="K46" s="333">
        <f t="shared" si="0"/>
        <v>0</v>
      </c>
      <c r="L46" s="329"/>
    </row>
    <row r="47" spans="1:20">
      <c r="A47" s="334"/>
      <c r="B47" s="354">
        <v>2323</v>
      </c>
      <c r="C47" s="328" t="s">
        <v>1000</v>
      </c>
      <c r="D47" s="328" t="s">
        <v>1027</v>
      </c>
      <c r="E47" s="329" t="s">
        <v>852</v>
      </c>
      <c r="F47" s="330"/>
      <c r="G47" s="331">
        <v>541.59</v>
      </c>
      <c r="H47" s="332">
        <v>0</v>
      </c>
      <c r="I47" s="331">
        <v>541.59</v>
      </c>
      <c r="J47" s="389">
        <v>541.59</v>
      </c>
      <c r="K47" s="333">
        <f t="shared" si="0"/>
        <v>0</v>
      </c>
      <c r="L47" s="161"/>
    </row>
    <row r="48" spans="1:20">
      <c r="A48" s="334"/>
      <c r="B48" s="354">
        <v>2313</v>
      </c>
      <c r="C48" s="328" t="s">
        <v>1000</v>
      </c>
      <c r="D48" s="328" t="s">
        <v>1001</v>
      </c>
      <c r="E48" s="329" t="s">
        <v>853</v>
      </c>
      <c r="F48" s="330">
        <v>2</v>
      </c>
      <c r="G48" s="331">
        <v>1734.56</v>
      </c>
      <c r="H48" s="332" t="s">
        <v>1006</v>
      </c>
      <c r="I48" s="331">
        <v>1734.56</v>
      </c>
      <c r="J48" s="389">
        <v>1734.56</v>
      </c>
      <c r="K48" s="333">
        <f t="shared" si="0"/>
        <v>0</v>
      </c>
      <c r="L48" s="29"/>
    </row>
    <row r="49" spans="1:12">
      <c r="A49" s="334"/>
      <c r="B49" s="354">
        <v>2019</v>
      </c>
      <c r="C49" s="328" t="s">
        <v>476</v>
      </c>
      <c r="D49" s="328" t="s">
        <v>447</v>
      </c>
      <c r="E49" s="329" t="s">
        <v>854</v>
      </c>
      <c r="F49" s="330">
        <v>1</v>
      </c>
      <c r="G49" s="331">
        <v>1163.53</v>
      </c>
      <c r="H49" s="332" t="s">
        <v>1006</v>
      </c>
      <c r="I49" s="331">
        <v>1163.53</v>
      </c>
      <c r="J49" s="389">
        <v>1163.53</v>
      </c>
      <c r="K49" s="333">
        <f t="shared" si="0"/>
        <v>0</v>
      </c>
      <c r="L49" s="380"/>
    </row>
    <row r="50" spans="1:12">
      <c r="A50" s="334">
        <v>34</v>
      </c>
      <c r="B50" s="354">
        <v>2278</v>
      </c>
      <c r="C50" s="328" t="s">
        <v>758</v>
      </c>
      <c r="D50" s="328" t="s">
        <v>805</v>
      </c>
      <c r="E50" s="329" t="s">
        <v>852</v>
      </c>
      <c r="F50" s="330"/>
      <c r="G50" s="331">
        <v>606.04</v>
      </c>
      <c r="H50" s="332" t="s">
        <v>1006</v>
      </c>
      <c r="I50" s="331">
        <v>606.04</v>
      </c>
      <c r="J50" s="389">
        <v>606.04</v>
      </c>
      <c r="K50" s="333">
        <f t="shared" si="0"/>
        <v>0</v>
      </c>
      <c r="L50" s="161"/>
    </row>
    <row r="51" spans="1:12">
      <c r="A51" s="334">
        <v>35</v>
      </c>
      <c r="B51" s="354">
        <v>2172</v>
      </c>
      <c r="C51" s="328" t="s">
        <v>478</v>
      </c>
      <c r="D51" s="328" t="s">
        <v>448</v>
      </c>
      <c r="E51" s="329" t="s">
        <v>852</v>
      </c>
      <c r="F51" s="330"/>
      <c r="G51" s="331">
        <v>1624.77</v>
      </c>
      <c r="H51" s="332" t="s">
        <v>1006</v>
      </c>
      <c r="I51" s="331">
        <v>1624.77</v>
      </c>
      <c r="J51" s="399">
        <v>1624.77</v>
      </c>
      <c r="K51" s="333">
        <f t="shared" si="0"/>
        <v>0</v>
      </c>
      <c r="L51" s="161"/>
    </row>
    <row r="52" spans="1:12">
      <c r="A52" s="334">
        <v>36</v>
      </c>
      <c r="B52" s="354">
        <v>2082</v>
      </c>
      <c r="C52" s="400" t="s">
        <v>759</v>
      </c>
      <c r="D52" s="401" t="s">
        <v>806</v>
      </c>
      <c r="E52" s="329" t="s">
        <v>852</v>
      </c>
      <c r="F52" s="330"/>
      <c r="G52" s="331">
        <v>661.83</v>
      </c>
      <c r="H52" s="332" t="s">
        <v>1006</v>
      </c>
      <c r="I52" s="331">
        <v>661.83</v>
      </c>
      <c r="J52" s="333">
        <v>661.83</v>
      </c>
      <c r="K52" s="333">
        <f t="shared" si="0"/>
        <v>0</v>
      </c>
      <c r="L52" s="329" t="s">
        <v>1048</v>
      </c>
    </row>
    <row r="53" spans="1:12">
      <c r="A53" s="334">
        <v>37</v>
      </c>
      <c r="B53" s="354">
        <v>2119</v>
      </c>
      <c r="C53" s="328" t="s">
        <v>760</v>
      </c>
      <c r="D53" s="328" t="s">
        <v>807</v>
      </c>
      <c r="E53" s="329" t="s">
        <v>852</v>
      </c>
      <c r="F53" s="330"/>
      <c r="G53" s="331">
        <v>567.59</v>
      </c>
      <c r="H53" s="332" t="s">
        <v>1006</v>
      </c>
      <c r="I53" s="331">
        <v>567.59</v>
      </c>
      <c r="J53" s="389">
        <v>567.59</v>
      </c>
      <c r="K53" s="333">
        <f t="shared" si="0"/>
        <v>0</v>
      </c>
      <c r="L53" s="329"/>
    </row>
    <row r="54" spans="1:12">
      <c r="A54" s="334"/>
      <c r="B54" s="354">
        <v>2315</v>
      </c>
      <c r="C54" s="328" t="s">
        <v>1004</v>
      </c>
      <c r="D54" s="328" t="s">
        <v>1005</v>
      </c>
      <c r="E54" s="329" t="s">
        <v>852</v>
      </c>
      <c r="F54" s="330"/>
      <c r="G54" s="331"/>
      <c r="H54" s="332" t="s">
        <v>1006</v>
      </c>
      <c r="I54" s="332"/>
      <c r="J54" s="333">
        <v>674.83</v>
      </c>
      <c r="K54" s="333">
        <f t="shared" si="0"/>
        <v>-674.83</v>
      </c>
      <c r="L54" s="196" t="s">
        <v>1039</v>
      </c>
    </row>
    <row r="55" spans="1:12">
      <c r="A55" s="334">
        <v>38</v>
      </c>
      <c r="B55" s="354">
        <v>2273</v>
      </c>
      <c r="C55" s="328" t="s">
        <v>761</v>
      </c>
      <c r="D55" s="328" t="s">
        <v>808</v>
      </c>
      <c r="E55" s="329" t="s">
        <v>852</v>
      </c>
      <c r="F55" s="330"/>
      <c r="G55" s="331">
        <v>606.04</v>
      </c>
      <c r="H55" s="332" t="s">
        <v>1006</v>
      </c>
      <c r="I55" s="331">
        <v>606.04</v>
      </c>
      <c r="J55" s="389">
        <v>606.04</v>
      </c>
      <c r="K55" s="333">
        <f t="shared" si="0"/>
        <v>0</v>
      </c>
      <c r="L55" s="329"/>
    </row>
    <row r="56" spans="1:12">
      <c r="A56" s="334">
        <v>40</v>
      </c>
      <c r="B56" s="354">
        <v>1975</v>
      </c>
      <c r="C56" s="328" t="s">
        <v>762</v>
      </c>
      <c r="D56" s="328" t="s">
        <v>810</v>
      </c>
      <c r="E56" s="329" t="s">
        <v>854</v>
      </c>
      <c r="F56" s="330">
        <v>1</v>
      </c>
      <c r="G56" s="331">
        <v>1103.42</v>
      </c>
      <c r="H56" s="332" t="s">
        <v>1006</v>
      </c>
      <c r="I56" s="331">
        <v>1103.42</v>
      </c>
      <c r="J56" s="389">
        <v>1103.42</v>
      </c>
      <c r="K56" s="333">
        <f t="shared" si="0"/>
        <v>0</v>
      </c>
      <c r="L56" s="329"/>
    </row>
    <row r="57" spans="1:12">
      <c r="A57" s="334"/>
      <c r="B57" s="354">
        <v>2292</v>
      </c>
      <c r="C57" s="328" t="s">
        <v>763</v>
      </c>
      <c r="D57" s="328" t="s">
        <v>1040</v>
      </c>
      <c r="E57" s="329" t="s">
        <v>852</v>
      </c>
      <c r="F57" s="330"/>
      <c r="G57" s="331"/>
      <c r="H57" s="332"/>
      <c r="I57" s="331">
        <v>567.59</v>
      </c>
      <c r="J57" s="389"/>
      <c r="K57" s="333">
        <f t="shared" si="0"/>
        <v>567.59</v>
      </c>
      <c r="L57" s="329" t="s">
        <v>1036</v>
      </c>
    </row>
    <row r="58" spans="1:12">
      <c r="A58" s="334">
        <v>41</v>
      </c>
      <c r="B58" s="354">
        <v>2203</v>
      </c>
      <c r="C58" s="328" t="s">
        <v>763</v>
      </c>
      <c r="D58" s="328" t="s">
        <v>811</v>
      </c>
      <c r="E58" s="329" t="s">
        <v>852</v>
      </c>
      <c r="F58" s="330"/>
      <c r="G58" s="331">
        <v>666.16</v>
      </c>
      <c r="H58" s="332" t="s">
        <v>1006</v>
      </c>
      <c r="I58" s="331">
        <v>666.16</v>
      </c>
      <c r="J58" s="389">
        <v>666.16</v>
      </c>
      <c r="K58" s="333">
        <f t="shared" si="0"/>
        <v>0</v>
      </c>
      <c r="L58" s="329"/>
    </row>
    <row r="59" spans="1:12">
      <c r="A59" s="334">
        <v>42</v>
      </c>
      <c r="B59" s="354">
        <v>2235</v>
      </c>
      <c r="C59" s="328" t="s">
        <v>764</v>
      </c>
      <c r="D59" s="328" t="s">
        <v>812</v>
      </c>
      <c r="E59" s="329" t="s">
        <v>854</v>
      </c>
      <c r="F59" s="330">
        <v>1</v>
      </c>
      <c r="G59" s="331">
        <v>1350.93</v>
      </c>
      <c r="H59" s="332" t="s">
        <v>1006</v>
      </c>
      <c r="I59" s="331">
        <v>1350.93</v>
      </c>
      <c r="J59" s="389">
        <v>1350.93</v>
      </c>
      <c r="K59" s="333">
        <f t="shared" si="0"/>
        <v>0</v>
      </c>
      <c r="L59" s="329"/>
    </row>
    <row r="60" spans="1:12">
      <c r="A60" s="334">
        <v>43</v>
      </c>
      <c r="B60" s="354">
        <v>2245</v>
      </c>
      <c r="C60" s="328" t="s">
        <v>765</v>
      </c>
      <c r="D60" s="328" t="s">
        <v>813</v>
      </c>
      <c r="E60" s="329" t="s">
        <v>854</v>
      </c>
      <c r="F60" s="330">
        <v>1</v>
      </c>
      <c r="G60" s="331">
        <v>1584.89</v>
      </c>
      <c r="H60" s="332" t="s">
        <v>1006</v>
      </c>
      <c r="I60" s="331">
        <v>1584.89</v>
      </c>
      <c r="J60" s="389">
        <v>1584.89</v>
      </c>
      <c r="K60" s="333">
        <f t="shared" si="0"/>
        <v>0</v>
      </c>
      <c r="L60" s="329"/>
    </row>
    <row r="61" spans="1:12">
      <c r="A61" s="334">
        <v>44</v>
      </c>
      <c r="B61" s="354">
        <v>2001</v>
      </c>
      <c r="C61" s="328" t="s">
        <v>766</v>
      </c>
      <c r="D61" s="338" t="s">
        <v>814</v>
      </c>
      <c r="E61" s="329" t="s">
        <v>852</v>
      </c>
      <c r="F61" s="330"/>
      <c r="G61" s="331">
        <v>1319.87</v>
      </c>
      <c r="H61" s="332" t="s">
        <v>1006</v>
      </c>
      <c r="I61" s="331">
        <v>1319.87</v>
      </c>
      <c r="J61" s="389">
        <v>1319.87</v>
      </c>
      <c r="K61" s="333">
        <f t="shared" si="0"/>
        <v>0</v>
      </c>
      <c r="L61" s="329"/>
    </row>
    <row r="62" spans="1:12">
      <c r="A62" s="334">
        <v>45</v>
      </c>
      <c r="B62" s="354">
        <v>2160</v>
      </c>
      <c r="C62" s="328" t="s">
        <v>767</v>
      </c>
      <c r="D62" s="338" t="s">
        <v>815</v>
      </c>
      <c r="E62" s="329" t="s">
        <v>854</v>
      </c>
      <c r="F62" s="330">
        <v>1</v>
      </c>
      <c r="G62" s="331">
        <v>1921.57</v>
      </c>
      <c r="H62" s="332" t="s">
        <v>1006</v>
      </c>
      <c r="I62" s="331">
        <v>1921.57</v>
      </c>
      <c r="J62" s="389">
        <v>1921.57</v>
      </c>
      <c r="K62" s="333">
        <f t="shared" si="0"/>
        <v>0</v>
      </c>
      <c r="L62" s="329"/>
    </row>
    <row r="63" spans="1:12">
      <c r="A63" s="334">
        <v>47</v>
      </c>
      <c r="B63" s="354">
        <v>2279</v>
      </c>
      <c r="C63" s="328" t="s">
        <v>769</v>
      </c>
      <c r="D63" s="328" t="s">
        <v>843</v>
      </c>
      <c r="E63" s="329" t="s">
        <v>852</v>
      </c>
      <c r="F63" s="330"/>
      <c r="G63" s="331">
        <v>554.59</v>
      </c>
      <c r="H63" s="332" t="s">
        <v>1006</v>
      </c>
      <c r="I63" s="331">
        <v>554.59</v>
      </c>
      <c r="J63" s="389">
        <v>554.59</v>
      </c>
      <c r="K63" s="333">
        <f t="shared" si="0"/>
        <v>0</v>
      </c>
      <c r="L63" s="161"/>
    </row>
    <row r="64" spans="1:12">
      <c r="A64" s="334">
        <v>48</v>
      </c>
      <c r="B64" s="354">
        <v>2246</v>
      </c>
      <c r="C64" s="328" t="s">
        <v>769</v>
      </c>
      <c r="D64" s="338" t="s">
        <v>817</v>
      </c>
      <c r="E64" s="329" t="s">
        <v>852</v>
      </c>
      <c r="F64" s="330"/>
      <c r="G64" s="331">
        <v>648.83000000000004</v>
      </c>
      <c r="H64" s="332" t="s">
        <v>1006</v>
      </c>
      <c r="I64" s="331">
        <v>648.83000000000004</v>
      </c>
      <c r="J64" s="389">
        <v>648.83000000000004</v>
      </c>
      <c r="K64" s="333">
        <f t="shared" si="0"/>
        <v>0</v>
      </c>
      <c r="L64" s="188"/>
    </row>
    <row r="65" spans="1:12">
      <c r="A65" s="334">
        <v>49</v>
      </c>
      <c r="B65" s="354">
        <v>2018</v>
      </c>
      <c r="C65" s="328" t="s">
        <v>770</v>
      </c>
      <c r="D65" s="328" t="s">
        <v>818</v>
      </c>
      <c r="E65" s="329" t="s">
        <v>852</v>
      </c>
      <c r="F65" s="330"/>
      <c r="G65" s="331">
        <v>1624.77</v>
      </c>
      <c r="H65" s="332" t="s">
        <v>1006</v>
      </c>
      <c r="I65" s="331">
        <v>1624.77</v>
      </c>
      <c r="J65" s="389">
        <v>1624.77</v>
      </c>
      <c r="K65" s="333">
        <f t="shared" si="0"/>
        <v>0</v>
      </c>
      <c r="L65" s="161"/>
    </row>
    <row r="66" spans="1:12">
      <c r="A66" s="334">
        <v>50</v>
      </c>
      <c r="B66" s="354">
        <v>1692</v>
      </c>
      <c r="C66" s="328" t="s">
        <v>771</v>
      </c>
      <c r="D66" s="338" t="s">
        <v>819</v>
      </c>
      <c r="E66" s="329" t="s">
        <v>852</v>
      </c>
      <c r="F66" s="330"/>
      <c r="G66" s="331">
        <v>1379.98</v>
      </c>
      <c r="H66" s="332" t="s">
        <v>1006</v>
      </c>
      <c r="I66" s="331">
        <v>1379.98</v>
      </c>
      <c r="J66" s="333">
        <v>1923.74</v>
      </c>
      <c r="K66" s="333">
        <f t="shared" si="0"/>
        <v>-543.76</v>
      </c>
      <c r="L66" s="329" t="s">
        <v>1041</v>
      </c>
    </row>
    <row r="67" spans="1:12">
      <c r="A67" s="334"/>
      <c r="B67" s="354">
        <v>2027</v>
      </c>
      <c r="C67" s="328" t="s">
        <v>771</v>
      </c>
      <c r="D67" s="338" t="s">
        <v>982</v>
      </c>
      <c r="E67" s="329" t="s">
        <v>852</v>
      </c>
      <c r="F67" s="330"/>
      <c r="G67" s="331">
        <v>661.83</v>
      </c>
      <c r="H67" s="332" t="s">
        <v>1006</v>
      </c>
      <c r="I67" s="331">
        <v>661.83</v>
      </c>
      <c r="J67" s="389">
        <v>661.83</v>
      </c>
      <c r="K67" s="333">
        <f t="shared" si="0"/>
        <v>0</v>
      </c>
      <c r="L67" s="329"/>
    </row>
    <row r="68" spans="1:12">
      <c r="A68" s="334"/>
      <c r="B68" s="354">
        <v>2288</v>
      </c>
      <c r="C68" s="328" t="s">
        <v>772</v>
      </c>
      <c r="D68" s="338" t="s">
        <v>820</v>
      </c>
      <c r="E68" s="329" t="s">
        <v>852</v>
      </c>
      <c r="F68" s="330"/>
      <c r="G68" s="331"/>
      <c r="H68" s="332"/>
      <c r="I68" s="331">
        <v>588.71</v>
      </c>
      <c r="J68" s="389"/>
      <c r="K68" s="333">
        <f t="shared" si="0"/>
        <v>588.71</v>
      </c>
      <c r="L68" s="329" t="s">
        <v>1036</v>
      </c>
    </row>
    <row r="69" spans="1:12">
      <c r="A69" s="334">
        <v>52</v>
      </c>
      <c r="B69" s="354">
        <v>2060</v>
      </c>
      <c r="C69" s="328" t="s">
        <v>487</v>
      </c>
      <c r="D69" s="328" t="s">
        <v>516</v>
      </c>
      <c r="E69" s="329" t="s">
        <v>852</v>
      </c>
      <c r="F69" s="330"/>
      <c r="G69" s="331">
        <v>1057.19</v>
      </c>
      <c r="H69" s="332" t="s">
        <v>1006</v>
      </c>
      <c r="I69" s="331">
        <v>1057.19</v>
      </c>
      <c r="J69" s="389">
        <v>1057.19</v>
      </c>
      <c r="K69" s="333">
        <f t="shared" si="0"/>
        <v>0</v>
      </c>
      <c r="L69" s="329"/>
    </row>
    <row r="70" spans="1:12">
      <c r="A70" s="334">
        <v>54</v>
      </c>
      <c r="B70" s="354">
        <v>1050</v>
      </c>
      <c r="C70" s="328" t="s">
        <v>773</v>
      </c>
      <c r="D70" s="328" t="s">
        <v>821</v>
      </c>
      <c r="E70" s="329" t="s">
        <v>852</v>
      </c>
      <c r="F70" s="330"/>
      <c r="G70" s="331">
        <v>1624.77</v>
      </c>
      <c r="H70" s="332" t="s">
        <v>1006</v>
      </c>
      <c r="I70" s="331">
        <v>1624.77</v>
      </c>
      <c r="J70" s="389">
        <v>1624.77</v>
      </c>
      <c r="K70" s="333">
        <f t="shared" si="0"/>
        <v>0</v>
      </c>
      <c r="L70" s="329"/>
    </row>
    <row r="71" spans="1:12">
      <c r="A71" s="334">
        <v>55</v>
      </c>
      <c r="B71" s="354">
        <v>1964</v>
      </c>
      <c r="C71" s="328" t="s">
        <v>491</v>
      </c>
      <c r="D71" s="328" t="s">
        <v>456</v>
      </c>
      <c r="E71" s="329" t="s">
        <v>852</v>
      </c>
      <c r="F71" s="330"/>
      <c r="G71" s="331">
        <v>846.51</v>
      </c>
      <c r="H71" s="332" t="s">
        <v>1006</v>
      </c>
      <c r="I71" s="331">
        <v>846.51</v>
      </c>
      <c r="J71" s="389">
        <v>846.51</v>
      </c>
      <c r="K71" s="333">
        <f t="shared" ref="K71:K81" si="2">I71-J71</f>
        <v>0</v>
      </c>
      <c r="L71" s="329"/>
    </row>
    <row r="72" spans="1:12">
      <c r="A72" s="334">
        <v>57</v>
      </c>
      <c r="B72" s="354">
        <v>1981</v>
      </c>
      <c r="C72" s="328" t="s">
        <v>774</v>
      </c>
      <c r="D72" s="338" t="s">
        <v>822</v>
      </c>
      <c r="E72" s="329" t="s">
        <v>852</v>
      </c>
      <c r="F72" s="330"/>
      <c r="G72" s="331">
        <v>683.49</v>
      </c>
      <c r="H72" s="332" t="s">
        <v>1006</v>
      </c>
      <c r="I72" s="331">
        <v>683.49</v>
      </c>
      <c r="J72" s="389">
        <v>683.49</v>
      </c>
      <c r="K72" s="333">
        <f t="shared" si="2"/>
        <v>0</v>
      </c>
      <c r="L72" s="329"/>
    </row>
    <row r="73" spans="1:12">
      <c r="A73" s="334">
        <v>56</v>
      </c>
      <c r="B73" s="354">
        <v>1662</v>
      </c>
      <c r="C73" s="328" t="s">
        <v>774</v>
      </c>
      <c r="D73" s="328" t="s">
        <v>823</v>
      </c>
      <c r="E73" s="329" t="s">
        <v>852</v>
      </c>
      <c r="F73" s="330"/>
      <c r="G73" s="331">
        <v>885.51</v>
      </c>
      <c r="H73" s="332" t="s">
        <v>1006</v>
      </c>
      <c r="I73" s="331">
        <v>885.51</v>
      </c>
      <c r="J73" s="389">
        <v>885.51</v>
      </c>
      <c r="K73" s="333">
        <f t="shared" si="2"/>
        <v>0</v>
      </c>
      <c r="L73" s="329"/>
    </row>
    <row r="74" spans="1:12">
      <c r="A74" s="334"/>
      <c r="B74" s="354">
        <v>1708</v>
      </c>
      <c r="C74" s="328" t="s">
        <v>775</v>
      </c>
      <c r="D74" s="328" t="s">
        <v>791</v>
      </c>
      <c r="E74" s="329" t="s">
        <v>852</v>
      </c>
      <c r="F74" s="330"/>
      <c r="G74" s="331">
        <v>1624.77</v>
      </c>
      <c r="H74" s="332" t="s">
        <v>1006</v>
      </c>
      <c r="I74" s="331">
        <v>1624.77</v>
      </c>
      <c r="J74" s="389">
        <v>1624.77</v>
      </c>
      <c r="K74" s="333">
        <f t="shared" si="2"/>
        <v>0</v>
      </c>
      <c r="L74" s="329"/>
    </row>
    <row r="75" spans="1:12">
      <c r="A75" s="334">
        <v>58</v>
      </c>
      <c r="B75" s="354">
        <v>1630</v>
      </c>
      <c r="C75" s="328" t="s">
        <v>775</v>
      </c>
      <c r="D75" s="338" t="s">
        <v>824</v>
      </c>
      <c r="E75" s="329" t="s">
        <v>852</v>
      </c>
      <c r="F75" s="330"/>
      <c r="G75" s="331">
        <v>1207.76</v>
      </c>
      <c r="H75" s="332" t="s">
        <v>1006</v>
      </c>
      <c r="I75" s="331">
        <v>1207.76</v>
      </c>
      <c r="J75" s="389">
        <v>1207.76</v>
      </c>
      <c r="K75" s="333">
        <f t="shared" si="2"/>
        <v>0</v>
      </c>
      <c r="L75" s="329"/>
    </row>
    <row r="76" spans="1:12">
      <c r="A76" s="334">
        <v>59</v>
      </c>
      <c r="B76" s="354">
        <v>2212</v>
      </c>
      <c r="C76" s="400" t="s">
        <v>776</v>
      </c>
      <c r="D76" s="401" t="s">
        <v>825</v>
      </c>
      <c r="E76" s="329" t="s">
        <v>852</v>
      </c>
      <c r="F76" s="330"/>
      <c r="G76" s="331"/>
      <c r="H76" s="332" t="s">
        <v>1006</v>
      </c>
      <c r="I76" s="332"/>
      <c r="J76" s="333">
        <v>657.5</v>
      </c>
      <c r="K76" s="333">
        <f t="shared" si="2"/>
        <v>-657.5</v>
      </c>
      <c r="L76" s="329" t="s">
        <v>1030</v>
      </c>
    </row>
    <row r="77" spans="1:12">
      <c r="A77" s="334">
        <v>61</v>
      </c>
      <c r="B77" s="354">
        <v>2010</v>
      </c>
      <c r="C77" s="328" t="s">
        <v>777</v>
      </c>
      <c r="D77" s="328" t="s">
        <v>826</v>
      </c>
      <c r="E77" s="329" t="s">
        <v>852</v>
      </c>
      <c r="F77" s="330"/>
      <c r="G77" s="331">
        <v>1010.07</v>
      </c>
      <c r="H77" s="332" t="s">
        <v>1006</v>
      </c>
      <c r="I77" s="331">
        <v>1010.07</v>
      </c>
      <c r="J77" s="389">
        <v>1010.07</v>
      </c>
      <c r="K77" s="333">
        <f t="shared" si="2"/>
        <v>0</v>
      </c>
      <c r="L77" s="329"/>
    </row>
    <row r="78" spans="1:12">
      <c r="A78" s="334">
        <v>60</v>
      </c>
      <c r="B78" s="354">
        <v>2187</v>
      </c>
      <c r="C78" s="328" t="s">
        <v>777</v>
      </c>
      <c r="D78" s="328" t="s">
        <v>827</v>
      </c>
      <c r="E78" s="329" t="s">
        <v>853</v>
      </c>
      <c r="F78" s="330">
        <v>2</v>
      </c>
      <c r="G78" s="331">
        <v>1889.46</v>
      </c>
      <c r="H78" s="332" t="s">
        <v>1006</v>
      </c>
      <c r="I78" s="391">
        <v>1889.46</v>
      </c>
      <c r="J78" s="389">
        <v>1889.46</v>
      </c>
      <c r="K78" s="333">
        <f t="shared" si="2"/>
        <v>0</v>
      </c>
      <c r="L78" s="329"/>
    </row>
    <row r="79" spans="1:12">
      <c r="A79" s="334">
        <v>62</v>
      </c>
      <c r="B79" s="354">
        <v>2095</v>
      </c>
      <c r="C79" s="328" t="s">
        <v>778</v>
      </c>
      <c r="D79" s="338" t="s">
        <v>828</v>
      </c>
      <c r="E79" s="329" t="s">
        <v>852</v>
      </c>
      <c r="F79" s="330"/>
      <c r="G79" s="331">
        <v>648.83000000000004</v>
      </c>
      <c r="H79" s="332" t="s">
        <v>1006</v>
      </c>
      <c r="I79" s="331">
        <v>648.83000000000004</v>
      </c>
      <c r="J79" s="389">
        <v>648.83000000000004</v>
      </c>
      <c r="K79" s="333">
        <f t="shared" si="2"/>
        <v>0</v>
      </c>
      <c r="L79" s="329"/>
    </row>
    <row r="80" spans="1:12">
      <c r="A80" s="334">
        <v>63</v>
      </c>
      <c r="B80" s="354">
        <v>2064</v>
      </c>
      <c r="C80" s="328" t="s">
        <v>778</v>
      </c>
      <c r="D80" s="338" t="s">
        <v>829</v>
      </c>
      <c r="E80" s="341" t="s">
        <v>856</v>
      </c>
      <c r="F80" s="330">
        <v>2</v>
      </c>
      <c r="G80" s="331">
        <v>1682.01</v>
      </c>
      <c r="H80" s="332">
        <v>584.94000000000005</v>
      </c>
      <c r="I80" s="332">
        <f>SUM(G80:H80)</f>
        <v>2266.9499999999998</v>
      </c>
      <c r="J80" s="333">
        <v>2266.9499999999998</v>
      </c>
      <c r="K80" s="333">
        <f t="shared" si="2"/>
        <v>0</v>
      </c>
      <c r="L80" s="329"/>
    </row>
    <row r="81" spans="1:20">
      <c r="A81" s="334"/>
      <c r="B81" s="354">
        <v>2089</v>
      </c>
      <c r="C81" s="328" t="s">
        <v>870</v>
      </c>
      <c r="D81" s="338" t="s">
        <v>1007</v>
      </c>
      <c r="E81" s="329" t="s">
        <v>852</v>
      </c>
      <c r="F81" s="330"/>
      <c r="G81" s="331">
        <v>648.83000000000004</v>
      </c>
      <c r="H81" s="332" t="s">
        <v>1006</v>
      </c>
      <c r="I81" s="331">
        <v>648.83000000000004</v>
      </c>
      <c r="J81" s="389">
        <v>648.83000000000004</v>
      </c>
      <c r="K81" s="333">
        <f t="shared" si="2"/>
        <v>0</v>
      </c>
      <c r="L81" s="329"/>
    </row>
    <row r="82" spans="1:20">
      <c r="A82" s="296"/>
      <c r="B82" s="66"/>
      <c r="C82" s="29"/>
      <c r="D82" s="29"/>
      <c r="E82" s="342"/>
      <c r="F82" s="343"/>
      <c r="G82" s="344"/>
      <c r="H82" s="345">
        <f>SUM(H5:H81)</f>
        <v>2577.04</v>
      </c>
      <c r="I82" s="344"/>
      <c r="J82" s="346"/>
      <c r="K82" s="346"/>
      <c r="L82" s="385"/>
      <c r="M82" s="216"/>
      <c r="O82" s="15"/>
      <c r="P82" s="15"/>
    </row>
    <row r="83" spans="1:20">
      <c r="A83" s="296"/>
      <c r="E83" s="342"/>
      <c r="F83" s="343"/>
      <c r="G83" s="344"/>
      <c r="H83" s="344"/>
      <c r="I83" s="344"/>
      <c r="J83" s="346"/>
      <c r="K83" s="346"/>
      <c r="L83" s="385"/>
      <c r="M83" s="216"/>
      <c r="O83" s="15"/>
      <c r="P83" s="15"/>
    </row>
    <row r="84" spans="1:20">
      <c r="A84" s="438" t="s">
        <v>652</v>
      </c>
      <c r="B84" s="439"/>
      <c r="C84" s="439"/>
      <c r="D84" s="439"/>
      <c r="E84" s="439"/>
      <c r="F84" s="439"/>
      <c r="G84" s="440"/>
      <c r="H84" s="347"/>
      <c r="I84" s="348">
        <f>SUM(I5:I81)</f>
        <v>82918.000000000015</v>
      </c>
      <c r="J84" s="383">
        <f>SUM(J5:J81)</f>
        <v>83745.010000000024</v>
      </c>
      <c r="K84" s="383"/>
      <c r="L84" s="386"/>
    </row>
    <row r="85" spans="1:20">
      <c r="A85" s="441" t="s">
        <v>1028</v>
      </c>
      <c r="B85" s="442"/>
      <c r="C85" s="443"/>
      <c r="D85" s="351"/>
      <c r="E85" s="352" t="s">
        <v>258</v>
      </c>
      <c r="F85" s="334">
        <v>72</v>
      </c>
      <c r="G85" s="329" t="s">
        <v>1029</v>
      </c>
      <c r="H85" s="351"/>
      <c r="I85" s="352" t="s">
        <v>258</v>
      </c>
      <c r="J85" s="343">
        <v>71</v>
      </c>
      <c r="K85" s="343"/>
      <c r="L85" s="161"/>
    </row>
    <row r="86" spans="1:20">
      <c r="A86" s="353"/>
      <c r="B86" s="352"/>
      <c r="C86" s="351"/>
      <c r="D86" s="351"/>
      <c r="E86" s="351" t="s">
        <v>930</v>
      </c>
      <c r="F86" s="330">
        <v>5</v>
      </c>
      <c r="G86" s="329"/>
      <c r="H86" s="351"/>
      <c r="I86" s="351" t="s">
        <v>930</v>
      </c>
      <c r="J86" s="343">
        <v>4</v>
      </c>
      <c r="K86" s="343"/>
      <c r="L86" s="161"/>
    </row>
    <row r="87" spans="1:20">
      <c r="A87" s="441"/>
      <c r="B87" s="442"/>
      <c r="C87" s="443"/>
      <c r="D87" s="351"/>
      <c r="E87" s="352" t="s">
        <v>931</v>
      </c>
      <c r="F87" s="355">
        <v>27</v>
      </c>
      <c r="G87" s="329"/>
      <c r="H87" s="351"/>
      <c r="I87" s="352" t="s">
        <v>931</v>
      </c>
      <c r="J87" s="343">
        <v>27</v>
      </c>
      <c r="K87" s="343"/>
      <c r="L87" s="161"/>
    </row>
    <row r="88" spans="1:20">
      <c r="A88" s="444"/>
      <c r="B88" s="445"/>
      <c r="C88" s="446"/>
      <c r="D88" s="356"/>
      <c r="E88" s="357" t="s">
        <v>246</v>
      </c>
      <c r="F88" s="358">
        <v>104</v>
      </c>
      <c r="G88" s="329"/>
      <c r="H88" s="393"/>
      <c r="I88" s="394" t="s">
        <v>246</v>
      </c>
      <c r="J88" s="395">
        <v>102</v>
      </c>
      <c r="K88" s="395"/>
      <c r="L88" s="161"/>
    </row>
    <row r="89" spans="1:20">
      <c r="A89" s="447" t="s">
        <v>830</v>
      </c>
      <c r="B89" s="448"/>
      <c r="C89" s="448"/>
      <c r="D89" s="448"/>
      <c r="E89" s="448"/>
      <c r="F89" s="448"/>
      <c r="G89" s="448"/>
      <c r="H89" s="381"/>
      <c r="I89" s="381"/>
      <c r="J89" s="396"/>
      <c r="K89" s="396"/>
      <c r="L89" s="392"/>
      <c r="N89" s="15"/>
    </row>
    <row r="90" spans="1:20">
      <c r="A90" s="7"/>
      <c r="B90" s="354">
        <v>2325</v>
      </c>
      <c r="C90" s="328" t="s">
        <v>444</v>
      </c>
      <c r="D90" s="328" t="s">
        <v>1035</v>
      </c>
      <c r="E90" s="329" t="s">
        <v>852</v>
      </c>
      <c r="F90" s="330"/>
      <c r="G90" s="331">
        <v>1598.79</v>
      </c>
      <c r="H90" s="332"/>
      <c r="I90" s="332"/>
      <c r="J90" s="331">
        <v>1598.79</v>
      </c>
      <c r="K90" s="332"/>
      <c r="L90" s="161" t="s">
        <v>1045</v>
      </c>
      <c r="N90" s="15"/>
    </row>
    <row r="91" spans="1:20">
      <c r="A91" s="334"/>
      <c r="B91" s="354">
        <v>2325</v>
      </c>
      <c r="C91" s="328" t="s">
        <v>444</v>
      </c>
      <c r="D91" s="328" t="s">
        <v>1035</v>
      </c>
      <c r="E91" s="329" t="s">
        <v>852</v>
      </c>
      <c r="F91" s="330"/>
      <c r="G91" s="331">
        <v>1426.41</v>
      </c>
      <c r="H91" s="332"/>
      <c r="I91" s="331"/>
      <c r="J91" s="331">
        <v>1426.41</v>
      </c>
      <c r="K91" s="332"/>
      <c r="L91" s="161" t="s">
        <v>1046</v>
      </c>
      <c r="N91" s="15"/>
    </row>
    <row r="92" spans="1:20">
      <c r="A92" s="361"/>
      <c r="B92" s="354"/>
      <c r="C92" s="328"/>
      <c r="D92" s="338"/>
      <c r="E92" s="329"/>
      <c r="F92" s="330"/>
      <c r="G92" s="331"/>
      <c r="H92" s="332"/>
      <c r="I92" s="331"/>
      <c r="J92" s="331"/>
      <c r="K92" s="331"/>
      <c r="L92" s="196"/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61"/>
      <c r="B93" s="354"/>
      <c r="C93" s="328"/>
      <c r="D93" s="338"/>
      <c r="E93" s="329"/>
      <c r="F93" s="330"/>
      <c r="G93" s="331"/>
      <c r="H93" s="332"/>
      <c r="I93" s="331"/>
      <c r="J93" s="331"/>
      <c r="K93" s="331"/>
      <c r="L93" s="196"/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61"/>
      <c r="B94" s="354"/>
      <c r="C94" s="328"/>
      <c r="D94" s="328"/>
      <c r="E94" s="329"/>
      <c r="F94" s="330"/>
      <c r="G94" s="331"/>
      <c r="H94" s="332"/>
      <c r="I94" s="397"/>
      <c r="J94" s="397"/>
      <c r="K94" s="397"/>
      <c r="L94" s="196"/>
      <c r="M94" s="362"/>
      <c r="N94" s="363"/>
      <c r="O94" s="362"/>
      <c r="P94" s="362"/>
      <c r="Q94" s="362"/>
      <c r="R94" s="362"/>
      <c r="S94" s="362"/>
      <c r="T94" s="362"/>
    </row>
    <row r="95" spans="1:20">
      <c r="A95" s="361"/>
      <c r="B95" s="354"/>
      <c r="C95" s="328"/>
      <c r="D95" s="328"/>
      <c r="E95" s="329"/>
      <c r="F95" s="330"/>
      <c r="G95" s="331"/>
      <c r="H95" s="332"/>
      <c r="I95" s="331"/>
      <c r="J95" s="331"/>
      <c r="K95" s="331"/>
      <c r="L95" s="196"/>
      <c r="N95" s="378"/>
      <c r="O95" s="216"/>
      <c r="P95" s="3"/>
      <c r="Q95" s="269"/>
      <c r="R95" s="270"/>
      <c r="S95" s="270"/>
      <c r="T95" s="379"/>
    </row>
    <row r="96" spans="1:20">
      <c r="A96" s="334"/>
      <c r="B96" s="354"/>
      <c r="C96" s="328"/>
      <c r="D96" s="328"/>
      <c r="E96" s="329"/>
      <c r="F96" s="330"/>
      <c r="G96" s="331"/>
      <c r="H96" s="332"/>
      <c r="I96" s="331"/>
      <c r="J96" s="331"/>
      <c r="K96" s="331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28"/>
      <c r="E97" s="398"/>
      <c r="F97" s="330"/>
      <c r="G97" s="331"/>
      <c r="H97" s="332"/>
      <c r="I97" s="332"/>
      <c r="J97" s="333"/>
      <c r="K97" s="333"/>
      <c r="L97" s="196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38"/>
      <c r="E98" s="329"/>
      <c r="F98" s="330"/>
      <c r="G98" s="331"/>
      <c r="H98" s="332"/>
      <c r="I98" s="332"/>
      <c r="J98" s="333"/>
      <c r="K98" s="333"/>
      <c r="L98" s="380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38"/>
      <c r="E99" s="329"/>
      <c r="F99" s="330"/>
      <c r="G99" s="331"/>
      <c r="H99" s="332"/>
      <c r="I99" s="332"/>
      <c r="J99" s="333"/>
      <c r="K99" s="333"/>
      <c r="L99" s="161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38"/>
      <c r="E100" s="329"/>
      <c r="F100" s="330"/>
      <c r="G100" s="331"/>
      <c r="H100" s="332"/>
      <c r="I100" s="332"/>
      <c r="J100" s="333"/>
      <c r="K100" s="333"/>
      <c r="L100" s="380"/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/>
      <c r="C101" s="328"/>
      <c r="D101" s="338"/>
      <c r="E101" s="329"/>
      <c r="F101" s="330"/>
      <c r="G101" s="331"/>
      <c r="H101" s="332"/>
      <c r="I101" s="332"/>
      <c r="J101" s="333"/>
      <c r="K101" s="333"/>
      <c r="L101" s="380"/>
      <c r="M101" s="362"/>
      <c r="N101" s="363"/>
      <c r="O101" s="362"/>
      <c r="P101" s="362"/>
      <c r="Q101" s="362"/>
      <c r="R101" s="362"/>
      <c r="S101" s="362"/>
      <c r="T101" s="362"/>
    </row>
    <row r="102" spans="1:20">
      <c r="A102" s="334"/>
      <c r="B102" s="354"/>
      <c r="C102" s="328"/>
      <c r="D102" s="338"/>
      <c r="E102" s="329"/>
      <c r="F102" s="330"/>
      <c r="G102" s="331"/>
      <c r="H102" s="332"/>
      <c r="I102" s="332"/>
      <c r="J102" s="333"/>
      <c r="K102" s="333"/>
      <c r="L102" s="380"/>
      <c r="M102" s="362"/>
      <c r="N102" s="363"/>
      <c r="O102" s="362"/>
      <c r="P102" s="362"/>
      <c r="Q102" s="362"/>
      <c r="R102" s="362"/>
      <c r="S102" s="362"/>
      <c r="T102" s="362"/>
    </row>
    <row r="103" spans="1:20">
      <c r="A103" s="334"/>
      <c r="B103" s="354"/>
      <c r="C103" s="328"/>
      <c r="D103" s="338"/>
      <c r="E103" s="329"/>
      <c r="F103" s="330"/>
      <c r="G103" s="331"/>
      <c r="H103" s="332"/>
      <c r="I103" s="332"/>
      <c r="J103" s="333"/>
      <c r="K103" s="333"/>
      <c r="L103" s="161"/>
      <c r="M103" s="362"/>
      <c r="N103" s="363"/>
      <c r="O103" s="362"/>
      <c r="P103" s="362"/>
      <c r="Q103" s="362"/>
      <c r="R103" s="362"/>
      <c r="S103" s="362"/>
      <c r="T103" s="362"/>
    </row>
    <row r="104" spans="1:20">
      <c r="A104" s="334"/>
      <c r="B104" s="354"/>
      <c r="C104" s="328"/>
      <c r="D104" s="328"/>
      <c r="E104" s="329"/>
      <c r="F104" s="330"/>
      <c r="G104" s="331"/>
      <c r="H104" s="332"/>
      <c r="I104" s="332"/>
      <c r="J104" s="333"/>
      <c r="K104" s="333"/>
      <c r="L104" s="161"/>
      <c r="N104" s="15"/>
    </row>
    <row r="105" spans="1:20">
      <c r="A105" s="438" t="s">
        <v>846</v>
      </c>
      <c r="B105" s="439"/>
      <c r="C105" s="439"/>
      <c r="D105" s="439"/>
      <c r="E105" s="439"/>
      <c r="F105" s="439"/>
      <c r="G105" s="440"/>
      <c r="H105" s="348">
        <f>SUM(H90:H102)</f>
        <v>0</v>
      </c>
      <c r="I105" s="347"/>
      <c r="J105" s="348">
        <f>SUM(J90:J104)</f>
        <v>3025.2</v>
      </c>
      <c r="K105" s="406"/>
      <c r="L105" s="402"/>
    </row>
    <row r="106" spans="1:20">
      <c r="A106" s="365"/>
      <c r="B106" s="366"/>
      <c r="C106" s="366"/>
      <c r="D106" s="366"/>
      <c r="E106" s="366"/>
      <c r="F106" s="367"/>
      <c r="G106" s="368"/>
      <c r="H106" s="368"/>
      <c r="I106" s="368"/>
      <c r="J106" s="349"/>
      <c r="K106" s="383"/>
      <c r="L106" s="364"/>
    </row>
    <row r="107" spans="1:20" ht="16">
      <c r="A107" s="435" t="s">
        <v>881</v>
      </c>
      <c r="B107" s="436"/>
      <c r="C107" s="436"/>
      <c r="D107" s="436"/>
      <c r="E107" s="436"/>
      <c r="F107" s="436"/>
      <c r="G107" s="437"/>
      <c r="H107" s="369"/>
      <c r="I107" s="369"/>
      <c r="J107" s="370">
        <f>SUM(J84,J105)</f>
        <v>86770.210000000021</v>
      </c>
      <c r="K107" s="407"/>
      <c r="L107" s="350"/>
    </row>
    <row r="108" spans="1:20" ht="18">
      <c r="F108" s="3"/>
      <c r="G108" s="371" t="s">
        <v>1013</v>
      </c>
      <c r="H108" s="372">
        <v>45327</v>
      </c>
    </row>
    <row r="109" spans="1:20" ht="18">
      <c r="F109" s="3"/>
      <c r="G109" s="371" t="s">
        <v>1014</v>
      </c>
      <c r="H109" s="373" t="s">
        <v>990</v>
      </c>
      <c r="I109" s="373"/>
    </row>
    <row r="110" spans="1:20">
      <c r="F110" s="3"/>
      <c r="G110" s="216"/>
      <c r="H110" s="216"/>
      <c r="I110" s="216"/>
      <c r="J110" s="3"/>
      <c r="K110" s="3"/>
      <c r="L110" s="15"/>
      <c r="M110" s="216"/>
    </row>
    <row r="111" spans="1:20">
      <c r="F111" s="3"/>
      <c r="G111" s="216"/>
      <c r="H111" s="269"/>
      <c r="I111" s="216"/>
      <c r="J111" s="270"/>
      <c r="K111" s="270"/>
      <c r="L111" s="15"/>
      <c r="M111" s="216"/>
    </row>
    <row r="112" spans="1:20">
      <c r="F112" s="3"/>
      <c r="G112" s="216"/>
      <c r="H112" s="269"/>
      <c r="I112" s="216"/>
      <c r="J112" s="270"/>
      <c r="K112" s="270"/>
      <c r="L112" s="15"/>
      <c r="M112" s="216"/>
    </row>
    <row r="113" spans="6:20">
      <c r="F113" s="3"/>
      <c r="G113" s="216"/>
      <c r="H113" s="388">
        <f>SUM(H82,H105)</f>
        <v>2577.04</v>
      </c>
      <c r="I113" s="269">
        <f>J107-H113</f>
        <v>84193.170000000027</v>
      </c>
      <c r="J113" s="3"/>
      <c r="K113" s="3"/>
      <c r="L113" s="15"/>
      <c r="M113" s="216"/>
    </row>
    <row r="114" spans="6:20">
      <c r="F114" s="3"/>
      <c r="G114" s="216"/>
      <c r="H114" s="216"/>
      <c r="I114" s="216"/>
      <c r="J114" s="3"/>
      <c r="K114" s="3"/>
      <c r="L114" s="15"/>
      <c r="M114" s="216"/>
      <c r="Q114" s="3"/>
      <c r="R114" s="3"/>
      <c r="S114" s="3"/>
      <c r="T114" s="3"/>
    </row>
  </sheetData>
  <mergeCells count="7">
    <mergeCell ref="A107:G107"/>
    <mergeCell ref="A84:G84"/>
    <mergeCell ref="A85:C85"/>
    <mergeCell ref="A87:C87"/>
    <mergeCell ref="A88:C88"/>
    <mergeCell ref="A89:G89"/>
    <mergeCell ref="A105:G105"/>
  </mergeCells>
  <pageMargins left="0.7" right="0.7" top="0.75" bottom="0.75" header="0.3" footer="0.3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B786-CFA4-F24D-A44F-5E78F7E4295A}">
  <dimension ref="A1:T113"/>
  <sheetViews>
    <sheetView zoomScale="111" workbookViewId="0">
      <selection activeCell="B89" sqref="B89:M90"/>
    </sheetView>
  </sheetViews>
  <sheetFormatPr baseColWidth="10" defaultColWidth="11.5" defaultRowHeight="13"/>
  <cols>
    <col min="1" max="1" width="6.33203125" customWidth="1"/>
    <col min="2" max="2" width="6.5" style="374" customWidth="1"/>
    <col min="3" max="3" width="11.6640625" customWidth="1"/>
    <col min="4" max="4" width="12.6640625" customWidth="1"/>
    <col min="5" max="5" width="28.1640625" bestFit="1" customWidth="1"/>
    <col min="8" max="8" width="12.1640625" bestFit="1" customWidth="1"/>
    <col min="9" max="9" width="11.1640625" bestFit="1" customWidth="1"/>
    <col min="10" max="10" width="12.83203125" bestFit="1" customWidth="1"/>
    <col min="11" max="11" width="12.83203125" customWidth="1"/>
    <col min="12" max="12" width="21.5" customWidth="1"/>
    <col min="13" max="13" width="18.1640625" customWidth="1"/>
  </cols>
  <sheetData>
    <row r="1" spans="1:20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404"/>
      <c r="L1" s="313" t="s">
        <v>223</v>
      </c>
      <c r="M1" s="216"/>
    </row>
    <row r="2" spans="1:20">
      <c r="A2" s="1" t="s">
        <v>249</v>
      </c>
      <c r="B2" s="105"/>
      <c r="C2" s="1"/>
      <c r="F2" s="3"/>
      <c r="G2" s="216"/>
      <c r="H2" s="216"/>
      <c r="I2" s="216"/>
      <c r="J2" s="314">
        <v>45292</v>
      </c>
      <c r="K2" s="405"/>
      <c r="L2" s="315"/>
      <c r="M2" s="216"/>
    </row>
    <row r="3" spans="1:20">
      <c r="F3" s="3"/>
      <c r="G3" s="216"/>
      <c r="H3" s="216"/>
      <c r="I3" s="216"/>
      <c r="J3" s="316"/>
      <c r="K3" s="316"/>
      <c r="L3" s="317" t="s">
        <v>832</v>
      </c>
      <c r="M3" s="216"/>
    </row>
    <row r="4" spans="1:20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4"/>
      <c r="L4" s="325" t="s">
        <v>227</v>
      </c>
      <c r="M4" s="326" t="s">
        <v>861</v>
      </c>
    </row>
    <row r="5" spans="1:20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588.71</v>
      </c>
      <c r="H5" s="332" t="s">
        <v>1006</v>
      </c>
      <c r="I5" s="332">
        <v>588.71</v>
      </c>
      <c r="J5" s="333">
        <v>588.71</v>
      </c>
      <c r="K5" s="333">
        <f>I5-J5</f>
        <v>0</v>
      </c>
      <c r="L5" s="329"/>
      <c r="M5" s="326"/>
    </row>
    <row r="6" spans="1:20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1319.87</v>
      </c>
      <c r="H6" s="332"/>
      <c r="I6" s="331">
        <v>1319.87</v>
      </c>
      <c r="J6" s="389">
        <v>1319.87</v>
      </c>
      <c r="K6" s="333">
        <f t="shared" ref="K6:K69" si="0">I6-J6</f>
        <v>0</v>
      </c>
      <c r="L6" s="329"/>
    </row>
    <row r="7" spans="1:20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554.59</v>
      </c>
      <c r="H7" s="332" t="s">
        <v>1006</v>
      </c>
      <c r="I7" s="331">
        <v>554.59</v>
      </c>
      <c r="J7" s="389">
        <v>554.59</v>
      </c>
      <c r="K7" s="333">
        <f t="shared" si="0"/>
        <v>0</v>
      </c>
      <c r="L7" s="188"/>
    </row>
    <row r="8" spans="1:20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1556</v>
      </c>
      <c r="H8" s="332" t="s">
        <v>1006</v>
      </c>
      <c r="I8" s="332">
        <v>1556</v>
      </c>
      <c r="J8" s="335">
        <v>1556</v>
      </c>
      <c r="K8" s="333">
        <f t="shared" si="0"/>
        <v>0</v>
      </c>
      <c r="L8" s="337"/>
    </row>
    <row r="9" spans="1:20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1860.57</v>
      </c>
      <c r="H9" s="332" t="s">
        <v>1006</v>
      </c>
      <c r="I9" s="331">
        <v>1860.57</v>
      </c>
      <c r="J9" s="389">
        <v>1860.57</v>
      </c>
      <c r="K9" s="333">
        <f t="shared" si="0"/>
        <v>0</v>
      </c>
      <c r="L9" s="329"/>
    </row>
    <row r="10" spans="1:20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1819.4</v>
      </c>
      <c r="H10" s="332" t="s">
        <v>1006</v>
      </c>
      <c r="I10" s="331">
        <v>1819.4</v>
      </c>
      <c r="J10" s="389">
        <v>1819.4</v>
      </c>
      <c r="K10" s="333">
        <f t="shared" si="0"/>
        <v>0</v>
      </c>
      <c r="L10" s="329"/>
    </row>
    <row r="11" spans="1:20">
      <c r="A11" s="334">
        <v>5</v>
      </c>
      <c r="B11" s="354">
        <v>2274</v>
      </c>
      <c r="C11" s="390" t="s">
        <v>834</v>
      </c>
      <c r="D11" s="390" t="s">
        <v>835</v>
      </c>
      <c r="E11" s="329"/>
      <c r="F11" s="330"/>
      <c r="G11" s="331"/>
      <c r="H11" s="332" t="s">
        <v>1006</v>
      </c>
      <c r="I11" s="332"/>
      <c r="J11" s="333">
        <v>674.83</v>
      </c>
      <c r="K11" s="333">
        <f t="shared" si="0"/>
        <v>-674.83</v>
      </c>
      <c r="L11" s="329" t="s">
        <v>1030</v>
      </c>
    </row>
    <row r="12" spans="1:20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1469.89</v>
      </c>
      <c r="H12" s="332" t="s">
        <v>1006</v>
      </c>
      <c r="I12" s="331">
        <v>1469.89</v>
      </c>
      <c r="J12" s="389">
        <v>1469.89</v>
      </c>
      <c r="K12" s="333">
        <f t="shared" si="0"/>
        <v>0</v>
      </c>
      <c r="L12" s="329"/>
    </row>
    <row r="13" spans="1:20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648.83000000000004</v>
      </c>
      <c r="H13" s="332" t="s">
        <v>1006</v>
      </c>
      <c r="I13" s="331">
        <v>648.83000000000004</v>
      </c>
      <c r="J13" s="389">
        <v>648.83000000000004</v>
      </c>
      <c r="K13" s="333">
        <f t="shared" si="0"/>
        <v>0</v>
      </c>
      <c r="L13" s="329"/>
      <c r="P13" s="1"/>
      <c r="Q13" s="1"/>
      <c r="R13" s="1"/>
      <c r="S13" s="1"/>
      <c r="T13" s="1"/>
    </row>
    <row r="14" spans="1:20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885.51</v>
      </c>
      <c r="H14" s="332" t="s">
        <v>1006</v>
      </c>
      <c r="I14" s="331">
        <v>885.51</v>
      </c>
      <c r="J14" s="389">
        <v>885.51</v>
      </c>
      <c r="K14" s="333">
        <f t="shared" si="0"/>
        <v>0</v>
      </c>
      <c r="L14" s="329"/>
    </row>
    <row r="15" spans="1:20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683.49</v>
      </c>
      <c r="H15" s="332" t="s">
        <v>1006</v>
      </c>
      <c r="I15" s="331">
        <v>683.49</v>
      </c>
      <c r="J15" s="389">
        <v>683.49</v>
      </c>
      <c r="K15" s="333">
        <f t="shared" si="0"/>
        <v>0</v>
      </c>
      <c r="L15" s="328"/>
      <c r="P15" s="1"/>
      <c r="Q15" s="1"/>
      <c r="R15" s="1"/>
      <c r="S15" s="1"/>
      <c r="T15" s="1"/>
    </row>
    <row r="16" spans="1:20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666.16</v>
      </c>
      <c r="H16" s="332" t="s">
        <v>1006</v>
      </c>
      <c r="I16" s="331">
        <v>666.16</v>
      </c>
      <c r="J16" s="389">
        <v>666.16</v>
      </c>
      <c r="K16" s="333">
        <f t="shared" si="0"/>
        <v>0</v>
      </c>
      <c r="L16" s="340"/>
      <c r="P16" s="1"/>
      <c r="Q16" s="1"/>
      <c r="R16" s="1"/>
      <c r="S16" s="1"/>
      <c r="T16" s="1"/>
    </row>
    <row r="17" spans="1:20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1262.08</v>
      </c>
      <c r="H17" s="332">
        <v>542.16</v>
      </c>
      <c r="I17" s="332">
        <v>1804.24</v>
      </c>
      <c r="J17" s="333">
        <v>1804.24</v>
      </c>
      <c r="K17" s="333">
        <f t="shared" si="0"/>
        <v>0</v>
      </c>
      <c r="L17" s="329"/>
    </row>
    <row r="18" spans="1:20">
      <c r="A18" s="334"/>
      <c r="B18" s="354">
        <v>2318</v>
      </c>
      <c r="C18" s="328" t="s">
        <v>1018</v>
      </c>
      <c r="D18" s="328" t="s">
        <v>1019</v>
      </c>
      <c r="E18" s="382" t="s">
        <v>851</v>
      </c>
      <c r="F18" s="330"/>
      <c r="G18" s="331">
        <v>790.72</v>
      </c>
      <c r="H18" s="332">
        <v>507.5</v>
      </c>
      <c r="I18" s="332">
        <f>SUM(G18:H18)</f>
        <v>1298.22</v>
      </c>
      <c r="J18" s="333">
        <v>1298.21</v>
      </c>
      <c r="K18" s="333">
        <f t="shared" si="0"/>
        <v>9.9999999999909051E-3</v>
      </c>
      <c r="L18" s="161"/>
    </row>
    <row r="19" spans="1:20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2065.64</v>
      </c>
      <c r="H19" s="332" t="s">
        <v>1006</v>
      </c>
      <c r="I19" s="331">
        <v>2065.64</v>
      </c>
      <c r="J19" s="389">
        <v>2065.64</v>
      </c>
      <c r="K19" s="333">
        <f t="shared" si="0"/>
        <v>0</v>
      </c>
      <c r="L19" s="161"/>
    </row>
    <row r="20" spans="1:20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692.16</v>
      </c>
      <c r="H20" s="332" t="s">
        <v>1006</v>
      </c>
      <c r="I20" s="331">
        <v>692.16</v>
      </c>
      <c r="J20" s="389">
        <v>692.16</v>
      </c>
      <c r="K20" s="333">
        <f t="shared" si="0"/>
        <v>0</v>
      </c>
      <c r="L20" s="161"/>
    </row>
    <row r="21" spans="1:20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1090.42</v>
      </c>
      <c r="H21" s="332" t="s">
        <v>1006</v>
      </c>
      <c r="I21" s="331">
        <v>1090.42</v>
      </c>
      <c r="J21" s="389">
        <v>1090.42</v>
      </c>
      <c r="K21" s="333">
        <f t="shared" si="0"/>
        <v>0</v>
      </c>
      <c r="L21" s="161"/>
    </row>
    <row r="22" spans="1:20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851</v>
      </c>
      <c r="F22" s="330"/>
      <c r="G22" s="331">
        <v>756.04</v>
      </c>
      <c r="H22" s="332">
        <v>417.6</v>
      </c>
      <c r="I22" s="332">
        <f>SUM(G22:H22)</f>
        <v>1173.6399999999999</v>
      </c>
      <c r="J22" s="333">
        <v>1173.6300000000001</v>
      </c>
      <c r="K22" s="333">
        <f t="shared" si="0"/>
        <v>9.9999999997635314E-3</v>
      </c>
      <c r="L22" s="188"/>
      <c r="M22" s="403" t="s">
        <v>1042</v>
      </c>
    </row>
    <row r="23" spans="1:20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854</v>
      </c>
      <c r="F23" s="330">
        <v>1</v>
      </c>
      <c r="G23" s="331">
        <v>1551.66</v>
      </c>
      <c r="H23" s="332" t="s">
        <v>1006</v>
      </c>
      <c r="I23" s="331">
        <v>1551.66</v>
      </c>
      <c r="J23" s="389">
        <v>1551.66</v>
      </c>
      <c r="K23" s="333">
        <f t="shared" si="0"/>
        <v>0</v>
      </c>
      <c r="L23" s="161"/>
      <c r="P23" s="1"/>
      <c r="Q23" s="1"/>
      <c r="R23" s="1"/>
      <c r="S23" s="1"/>
      <c r="T23" s="1"/>
    </row>
    <row r="24" spans="1:20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1263.54</v>
      </c>
      <c r="H24" s="332" t="s">
        <v>1006</v>
      </c>
      <c r="I24" s="331">
        <v>1263.54</v>
      </c>
      <c r="J24" s="389">
        <v>1263.54</v>
      </c>
      <c r="K24" s="333">
        <f t="shared" si="0"/>
        <v>0</v>
      </c>
      <c r="L24" s="161"/>
    </row>
    <row r="25" spans="1:20">
      <c r="A25" s="334">
        <v>17</v>
      </c>
      <c r="B25" s="354">
        <v>2194</v>
      </c>
      <c r="C25" s="328" t="s">
        <v>749</v>
      </c>
      <c r="D25" s="338" t="s">
        <v>789</v>
      </c>
      <c r="E25" s="329" t="s">
        <v>852</v>
      </c>
      <c r="F25" s="330"/>
      <c r="G25" s="331">
        <v>606.04</v>
      </c>
      <c r="H25" s="332" t="s">
        <v>1006</v>
      </c>
      <c r="I25" s="331">
        <v>606.04</v>
      </c>
      <c r="J25" s="389">
        <v>606.04</v>
      </c>
      <c r="K25" s="333">
        <f t="shared" si="0"/>
        <v>0</v>
      </c>
      <c r="L25" s="161"/>
    </row>
    <row r="26" spans="1:20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331">
        <v>1379.98</v>
      </c>
      <c r="H26" s="332" t="s">
        <v>1006</v>
      </c>
      <c r="I26" s="331">
        <v>1379.98</v>
      </c>
      <c r="J26" s="389">
        <v>1379.98</v>
      </c>
      <c r="K26" s="333">
        <f t="shared" si="0"/>
        <v>0</v>
      </c>
      <c r="L26" s="161"/>
    </row>
    <row r="27" spans="1:20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683.49</v>
      </c>
      <c r="H27" s="332" t="s">
        <v>1006</v>
      </c>
      <c r="I27" s="331">
        <v>683.49</v>
      </c>
      <c r="J27" s="389">
        <v>683.49</v>
      </c>
      <c r="K27" s="333">
        <f t="shared" si="0"/>
        <v>0</v>
      </c>
      <c r="L27" s="161"/>
    </row>
    <row r="28" spans="1:20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>
        <v>541.59</v>
      </c>
      <c r="H28" s="332">
        <v>0</v>
      </c>
      <c r="I28" s="332">
        <v>541.59</v>
      </c>
      <c r="J28" s="335">
        <v>541.59</v>
      </c>
      <c r="K28" s="333">
        <f t="shared" si="0"/>
        <v>0</v>
      </c>
      <c r="L28" s="161"/>
    </row>
    <row r="29" spans="1:20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1549.34</v>
      </c>
      <c r="H29" s="332" t="s">
        <v>1006</v>
      </c>
      <c r="I29" s="331">
        <v>1549.34</v>
      </c>
      <c r="J29" s="389">
        <v>1549.34</v>
      </c>
      <c r="K29" s="333">
        <f t="shared" si="0"/>
        <v>0</v>
      </c>
      <c r="L29" s="161"/>
    </row>
    <row r="30" spans="1:20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661.83</v>
      </c>
      <c r="H30" s="332" t="s">
        <v>1006</v>
      </c>
      <c r="I30" s="331">
        <v>661.83</v>
      </c>
      <c r="J30" s="389">
        <v>661.83</v>
      </c>
      <c r="K30" s="333">
        <f t="shared" si="0"/>
        <v>0</v>
      </c>
      <c r="L30" s="161"/>
    </row>
    <row r="31" spans="1:20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567.59</v>
      </c>
      <c r="H31" s="332"/>
      <c r="I31" s="331">
        <v>567.59</v>
      </c>
      <c r="J31" s="389">
        <v>567.59</v>
      </c>
      <c r="K31" s="333">
        <f t="shared" si="0"/>
        <v>0</v>
      </c>
      <c r="L31" s="161"/>
    </row>
    <row r="32" spans="1:20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1379.98</v>
      </c>
      <c r="H32" s="332" t="s">
        <v>1006</v>
      </c>
      <c r="I32" s="391">
        <v>1379.98</v>
      </c>
      <c r="J32" s="389">
        <v>1379.98</v>
      </c>
      <c r="K32" s="333">
        <f t="shared" si="0"/>
        <v>0</v>
      </c>
      <c r="L32" s="329"/>
    </row>
    <row r="33" spans="1:20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1624.77</v>
      </c>
      <c r="H33" s="332" t="s">
        <v>1006</v>
      </c>
      <c r="I33" s="331">
        <v>1624.77</v>
      </c>
      <c r="J33" s="389">
        <v>1624.77</v>
      </c>
      <c r="K33" s="333">
        <f t="shared" si="0"/>
        <v>0</v>
      </c>
      <c r="L33" s="329"/>
    </row>
    <row r="34" spans="1:20">
      <c r="A34" s="334">
        <v>24</v>
      </c>
      <c r="B34" s="376" t="s">
        <v>675</v>
      </c>
      <c r="C34" s="328" t="s">
        <v>755</v>
      </c>
      <c r="D34" s="328" t="s">
        <v>796</v>
      </c>
      <c r="E34" s="329" t="s">
        <v>852</v>
      </c>
      <c r="F34" s="330"/>
      <c r="G34" s="331">
        <v>717.61</v>
      </c>
      <c r="H34" s="332" t="s">
        <v>1006</v>
      </c>
      <c r="I34" s="332">
        <v>717.61</v>
      </c>
      <c r="J34" s="408">
        <v>45327</v>
      </c>
      <c r="K34" s="333">
        <f t="shared" si="0"/>
        <v>-44609.39</v>
      </c>
      <c r="L34" s="329"/>
    </row>
    <row r="35" spans="1:20">
      <c r="A35" s="334">
        <v>26</v>
      </c>
      <c r="B35" s="354">
        <v>1741</v>
      </c>
      <c r="C35" s="328" t="s">
        <v>755</v>
      </c>
      <c r="D35" s="328" t="s">
        <v>797</v>
      </c>
      <c r="E35" s="329" t="s">
        <v>852</v>
      </c>
      <c r="F35" s="330"/>
      <c r="G35" s="331">
        <v>1156.3</v>
      </c>
      <c r="H35" s="332" t="s">
        <v>1006</v>
      </c>
      <c r="I35" s="331">
        <v>1156.3</v>
      </c>
      <c r="J35" s="389">
        <v>1156.3</v>
      </c>
      <c r="K35" s="333">
        <f t="shared" si="0"/>
        <v>0</v>
      </c>
      <c r="L35" s="329"/>
    </row>
    <row r="36" spans="1:20">
      <c r="A36" s="334">
        <v>25</v>
      </c>
      <c r="B36" s="354">
        <v>1757</v>
      </c>
      <c r="C36" s="328" t="s">
        <v>755</v>
      </c>
      <c r="D36" s="338" t="s">
        <v>798</v>
      </c>
      <c r="E36" s="329" t="s">
        <v>853</v>
      </c>
      <c r="F36" s="330">
        <v>2</v>
      </c>
      <c r="G36" s="331">
        <v>1956.43</v>
      </c>
      <c r="H36" s="332" t="s">
        <v>1006</v>
      </c>
      <c r="I36" s="331">
        <v>1956.43</v>
      </c>
      <c r="J36" s="389">
        <v>1956.43</v>
      </c>
      <c r="K36" s="333">
        <f t="shared" si="0"/>
        <v>0</v>
      </c>
      <c r="L36" s="329"/>
      <c r="N36" s="12"/>
      <c r="O36" s="12"/>
      <c r="P36" s="12"/>
      <c r="Q36" s="12"/>
      <c r="R36" s="12"/>
      <c r="S36" s="12"/>
      <c r="T36" s="12"/>
    </row>
    <row r="37" spans="1:20">
      <c r="A37" s="334">
        <v>27</v>
      </c>
      <c r="B37" s="354">
        <v>2057</v>
      </c>
      <c r="C37" s="328" t="s">
        <v>756</v>
      </c>
      <c r="D37" s="338" t="s">
        <v>799</v>
      </c>
      <c r="E37" s="329" t="s">
        <v>852</v>
      </c>
      <c r="F37" s="330"/>
      <c r="G37" s="331">
        <v>1624.77</v>
      </c>
      <c r="H37" s="332" t="s">
        <v>1006</v>
      </c>
      <c r="I37" s="331">
        <v>1624.77</v>
      </c>
      <c r="J37" s="389">
        <v>1624.77</v>
      </c>
      <c r="K37" s="333">
        <f t="shared" si="0"/>
        <v>0</v>
      </c>
      <c r="L37" s="329"/>
    </row>
    <row r="38" spans="1:20">
      <c r="A38" s="334">
        <v>28</v>
      </c>
      <c r="B38" s="354">
        <v>1210</v>
      </c>
      <c r="C38" s="328" t="s">
        <v>756</v>
      </c>
      <c r="D38" s="338" t="s">
        <v>800</v>
      </c>
      <c r="E38" s="329" t="s">
        <v>852</v>
      </c>
      <c r="F38" s="330"/>
      <c r="G38" s="331">
        <v>1598.79</v>
      </c>
      <c r="H38" s="332" t="s">
        <v>1006</v>
      </c>
      <c r="I38" s="331">
        <v>1598.79</v>
      </c>
      <c r="J38" s="389">
        <v>1598.79</v>
      </c>
      <c r="K38" s="333">
        <f t="shared" si="0"/>
        <v>0</v>
      </c>
      <c r="L38" s="329"/>
    </row>
    <row r="39" spans="1:20">
      <c r="A39" s="334"/>
      <c r="B39" s="354">
        <v>2310</v>
      </c>
      <c r="C39" s="328" t="s">
        <v>756</v>
      </c>
      <c r="D39" s="338" t="s">
        <v>977</v>
      </c>
      <c r="E39" s="329" t="s">
        <v>852</v>
      </c>
      <c r="F39" s="330"/>
      <c r="G39" s="331">
        <v>923.96</v>
      </c>
      <c r="H39" s="332" t="s">
        <v>1006</v>
      </c>
      <c r="I39" s="331">
        <v>923.96</v>
      </c>
      <c r="J39" s="389">
        <v>923.96</v>
      </c>
      <c r="K39" s="333">
        <f t="shared" si="0"/>
        <v>0</v>
      </c>
      <c r="L39" s="329"/>
    </row>
    <row r="40" spans="1:20">
      <c r="A40" s="334">
        <v>29</v>
      </c>
      <c r="B40" s="354">
        <v>1460</v>
      </c>
      <c r="C40" s="328" t="s">
        <v>444</v>
      </c>
      <c r="D40" s="328" t="s">
        <v>506</v>
      </c>
      <c r="E40" s="329" t="s">
        <v>852</v>
      </c>
      <c r="F40" s="330"/>
      <c r="G40" s="331">
        <v>967.29</v>
      </c>
      <c r="H40" s="332" t="s">
        <v>1006</v>
      </c>
      <c r="I40" s="331">
        <v>967.29</v>
      </c>
      <c r="J40" s="389">
        <v>967.29</v>
      </c>
      <c r="K40" s="333">
        <f t="shared" si="0"/>
        <v>0</v>
      </c>
      <c r="L40" s="329"/>
    </row>
    <row r="41" spans="1:20">
      <c r="A41" s="334"/>
      <c r="B41" s="354">
        <v>2325</v>
      </c>
      <c r="C41" s="328" t="s">
        <v>444</v>
      </c>
      <c r="D41" s="328" t="s">
        <v>1035</v>
      </c>
      <c r="E41" s="329" t="s">
        <v>852</v>
      </c>
      <c r="F41" s="330"/>
      <c r="G41" s="331"/>
      <c r="H41" s="332"/>
      <c r="I41" s="332"/>
      <c r="J41" s="333"/>
      <c r="K41" s="333">
        <f t="shared" si="0"/>
        <v>0</v>
      </c>
      <c r="L41" s="329" t="s">
        <v>1036</v>
      </c>
    </row>
    <row r="42" spans="1:20">
      <c r="A42" s="334">
        <v>32</v>
      </c>
      <c r="B42" s="354">
        <v>2248</v>
      </c>
      <c r="C42" s="328" t="s">
        <v>757</v>
      </c>
      <c r="D42" s="328" t="s">
        <v>801</v>
      </c>
      <c r="E42" s="341" t="s">
        <v>856</v>
      </c>
      <c r="F42" s="330">
        <v>2</v>
      </c>
      <c r="G42" s="331">
        <v>1669</v>
      </c>
      <c r="H42" s="332">
        <v>524.84</v>
      </c>
      <c r="I42" s="332">
        <f>SUM(G42:H42)</f>
        <v>2193.84</v>
      </c>
      <c r="J42" s="333">
        <v>2193.84</v>
      </c>
      <c r="K42" s="333">
        <f t="shared" si="0"/>
        <v>0</v>
      </c>
      <c r="L42" s="329"/>
    </row>
    <row r="43" spans="1:20">
      <c r="A43" s="334"/>
      <c r="B43" s="354">
        <v>2319</v>
      </c>
      <c r="C43" s="328" t="s">
        <v>757</v>
      </c>
      <c r="D43" s="328" t="s">
        <v>1026</v>
      </c>
      <c r="E43" s="382" t="s">
        <v>852</v>
      </c>
      <c r="F43" s="330"/>
      <c r="G43" s="331">
        <v>657.5</v>
      </c>
      <c r="H43" s="332">
        <v>0</v>
      </c>
      <c r="I43" s="331">
        <v>657.5</v>
      </c>
      <c r="J43" s="389">
        <v>657.5</v>
      </c>
      <c r="K43" s="333">
        <f t="shared" si="0"/>
        <v>0</v>
      </c>
      <c r="L43" s="329"/>
    </row>
    <row r="44" spans="1:20">
      <c r="A44" s="334"/>
      <c r="B44" s="354">
        <v>1300</v>
      </c>
      <c r="C44" s="328" t="s">
        <v>757</v>
      </c>
      <c r="D44" s="328" t="s">
        <v>1037</v>
      </c>
      <c r="E44" s="382" t="s">
        <v>854</v>
      </c>
      <c r="F44" s="330"/>
      <c r="G44" s="331"/>
      <c r="H44" s="332"/>
      <c r="I44" s="331"/>
      <c r="J44" s="389"/>
      <c r="K44" s="333">
        <f t="shared" si="0"/>
        <v>0</v>
      </c>
      <c r="L44" s="329" t="s">
        <v>1036</v>
      </c>
    </row>
    <row r="45" spans="1:20">
      <c r="A45" s="334">
        <v>30</v>
      </c>
      <c r="B45" s="354">
        <v>2062</v>
      </c>
      <c r="C45" s="328" t="s">
        <v>757</v>
      </c>
      <c r="D45" s="328" t="s">
        <v>802</v>
      </c>
      <c r="E45" s="329" t="s">
        <v>854</v>
      </c>
      <c r="F45" s="330">
        <v>1</v>
      </c>
      <c r="G45" s="331">
        <v>1094.75</v>
      </c>
      <c r="H45" s="332" t="s">
        <v>1006</v>
      </c>
      <c r="I45" s="331">
        <v>1094.75</v>
      </c>
      <c r="J45" s="389">
        <v>1094.75</v>
      </c>
      <c r="K45" s="333">
        <f t="shared" si="0"/>
        <v>0</v>
      </c>
      <c r="L45" s="329"/>
    </row>
    <row r="46" spans="1:20">
      <c r="A46" s="334"/>
      <c r="B46" s="354">
        <v>2323</v>
      </c>
      <c r="C46" s="328" t="s">
        <v>1000</v>
      </c>
      <c r="D46" s="328" t="s">
        <v>1027</v>
      </c>
      <c r="E46" s="329" t="s">
        <v>852</v>
      </c>
      <c r="F46" s="330"/>
      <c r="G46" s="331">
        <v>541.59</v>
      </c>
      <c r="H46" s="332">
        <v>0</v>
      </c>
      <c r="I46" s="331">
        <v>541.59</v>
      </c>
      <c r="J46" s="389">
        <v>541.59</v>
      </c>
      <c r="K46" s="333">
        <f t="shared" si="0"/>
        <v>0</v>
      </c>
      <c r="L46" s="161"/>
    </row>
    <row r="47" spans="1:20">
      <c r="A47" s="334"/>
      <c r="B47" s="354">
        <v>2313</v>
      </c>
      <c r="C47" s="328" t="s">
        <v>1000</v>
      </c>
      <c r="D47" s="328" t="s">
        <v>1001</v>
      </c>
      <c r="E47" s="329" t="s">
        <v>853</v>
      </c>
      <c r="F47" s="330">
        <v>2</v>
      </c>
      <c r="G47" s="331">
        <v>1734.56</v>
      </c>
      <c r="H47" s="332" t="s">
        <v>1006</v>
      </c>
      <c r="I47" s="331">
        <v>1734.56</v>
      </c>
      <c r="J47" s="389">
        <v>1734.56</v>
      </c>
      <c r="K47" s="333">
        <f t="shared" si="0"/>
        <v>0</v>
      </c>
      <c r="L47" s="29"/>
    </row>
    <row r="48" spans="1:20">
      <c r="A48" s="334"/>
      <c r="B48" s="354">
        <v>2019</v>
      </c>
      <c r="C48" s="328" t="s">
        <v>476</v>
      </c>
      <c r="D48" s="328" t="s">
        <v>447</v>
      </c>
      <c r="E48" s="329" t="s">
        <v>854</v>
      </c>
      <c r="F48" s="330">
        <v>1</v>
      </c>
      <c r="G48" s="331">
        <v>1163.53</v>
      </c>
      <c r="H48" s="332" t="s">
        <v>1006</v>
      </c>
      <c r="I48" s="331">
        <v>1163.53</v>
      </c>
      <c r="J48" s="389">
        <v>1163.53</v>
      </c>
      <c r="K48" s="333">
        <f t="shared" si="0"/>
        <v>0</v>
      </c>
      <c r="L48" s="380"/>
    </row>
    <row r="49" spans="1:12">
      <c r="A49" s="334">
        <v>34</v>
      </c>
      <c r="B49" s="354">
        <v>2278</v>
      </c>
      <c r="C49" s="328" t="s">
        <v>758</v>
      </c>
      <c r="D49" s="328" t="s">
        <v>805</v>
      </c>
      <c r="E49" s="329" t="s">
        <v>852</v>
      </c>
      <c r="F49" s="330"/>
      <c r="G49" s="331">
        <v>606.04</v>
      </c>
      <c r="H49" s="332" t="s">
        <v>1006</v>
      </c>
      <c r="I49" s="331">
        <v>606.04</v>
      </c>
      <c r="J49" s="389">
        <v>606.04</v>
      </c>
      <c r="K49" s="333">
        <f t="shared" si="0"/>
        <v>0</v>
      </c>
      <c r="L49" s="161"/>
    </row>
    <row r="50" spans="1:12">
      <c r="A50" s="334">
        <v>35</v>
      </c>
      <c r="B50" s="354">
        <v>2172</v>
      </c>
      <c r="C50" s="328" t="s">
        <v>478</v>
      </c>
      <c r="D50" s="328" t="s">
        <v>448</v>
      </c>
      <c r="E50" s="329" t="s">
        <v>852</v>
      </c>
      <c r="F50" s="330"/>
      <c r="G50" s="331">
        <v>1624.77</v>
      </c>
      <c r="H50" s="332" t="s">
        <v>1006</v>
      </c>
      <c r="I50" s="331">
        <v>1624.77</v>
      </c>
      <c r="J50" s="399">
        <v>1624.77</v>
      </c>
      <c r="K50" s="333">
        <f t="shared" si="0"/>
        <v>0</v>
      </c>
      <c r="L50" s="161"/>
    </row>
    <row r="51" spans="1:12">
      <c r="A51" s="334">
        <v>36</v>
      </c>
      <c r="B51" s="354">
        <v>2082</v>
      </c>
      <c r="C51" s="400" t="s">
        <v>759</v>
      </c>
      <c r="D51" s="401" t="s">
        <v>806</v>
      </c>
      <c r="E51" s="329" t="s">
        <v>852</v>
      </c>
      <c r="F51" s="330"/>
      <c r="G51" s="331"/>
      <c r="H51" s="332" t="s">
        <v>1006</v>
      </c>
      <c r="I51" s="332"/>
      <c r="J51" s="333">
        <v>661.83</v>
      </c>
      <c r="K51" s="333">
        <f t="shared" si="0"/>
        <v>-661.83</v>
      </c>
      <c r="L51" s="329" t="s">
        <v>1030</v>
      </c>
    </row>
    <row r="52" spans="1:12">
      <c r="A52" s="334">
        <v>37</v>
      </c>
      <c r="B52" s="354">
        <v>2119</v>
      </c>
      <c r="C52" s="328" t="s">
        <v>760</v>
      </c>
      <c r="D52" s="328" t="s">
        <v>807</v>
      </c>
      <c r="E52" s="329" t="s">
        <v>852</v>
      </c>
      <c r="F52" s="330"/>
      <c r="G52" s="331">
        <v>567.59</v>
      </c>
      <c r="H52" s="332" t="s">
        <v>1006</v>
      </c>
      <c r="I52" s="331">
        <v>567.59</v>
      </c>
      <c r="J52" s="389">
        <v>567.59</v>
      </c>
      <c r="K52" s="333">
        <f t="shared" si="0"/>
        <v>0</v>
      </c>
      <c r="L52" s="329"/>
    </row>
    <row r="53" spans="1:12">
      <c r="A53" s="334"/>
      <c r="B53" s="354">
        <v>2315</v>
      </c>
      <c r="C53" s="328" t="s">
        <v>1004</v>
      </c>
      <c r="D53" s="328" t="s">
        <v>1005</v>
      </c>
      <c r="E53" s="329" t="s">
        <v>852</v>
      </c>
      <c r="F53" s="330"/>
      <c r="G53" s="331"/>
      <c r="H53" s="332" t="s">
        <v>1006</v>
      </c>
      <c r="I53" s="332"/>
      <c r="J53" s="333">
        <v>674.83</v>
      </c>
      <c r="K53" s="333">
        <f t="shared" si="0"/>
        <v>-674.83</v>
      </c>
      <c r="L53" s="196" t="s">
        <v>1039</v>
      </c>
    </row>
    <row r="54" spans="1:12">
      <c r="A54" s="334">
        <v>38</v>
      </c>
      <c r="B54" s="354">
        <v>2273</v>
      </c>
      <c r="C54" s="328" t="s">
        <v>761</v>
      </c>
      <c r="D54" s="328" t="s">
        <v>808</v>
      </c>
      <c r="E54" s="329" t="s">
        <v>852</v>
      </c>
      <c r="F54" s="330"/>
      <c r="G54" s="331">
        <v>606.04</v>
      </c>
      <c r="H54" s="332" t="s">
        <v>1006</v>
      </c>
      <c r="I54" s="331">
        <v>606.04</v>
      </c>
      <c r="J54" s="389">
        <v>606.04</v>
      </c>
      <c r="K54" s="333">
        <f t="shared" si="0"/>
        <v>0</v>
      </c>
      <c r="L54" s="329"/>
    </row>
    <row r="55" spans="1:12">
      <c r="A55" s="334">
        <v>40</v>
      </c>
      <c r="B55" s="354">
        <v>1975</v>
      </c>
      <c r="C55" s="328" t="s">
        <v>762</v>
      </c>
      <c r="D55" s="328" t="s">
        <v>810</v>
      </c>
      <c r="E55" s="329" t="s">
        <v>854</v>
      </c>
      <c r="F55" s="330">
        <v>1</v>
      </c>
      <c r="G55" s="331">
        <v>1103.42</v>
      </c>
      <c r="H55" s="332" t="s">
        <v>1006</v>
      </c>
      <c r="I55" s="331">
        <v>1103.42</v>
      </c>
      <c r="J55" s="389">
        <v>1103.42</v>
      </c>
      <c r="K55" s="333">
        <f t="shared" si="0"/>
        <v>0</v>
      </c>
      <c r="L55" s="329"/>
    </row>
    <row r="56" spans="1:12">
      <c r="A56" s="334"/>
      <c r="B56" s="354">
        <v>2292</v>
      </c>
      <c r="C56" s="328" t="s">
        <v>763</v>
      </c>
      <c r="D56" s="328" t="s">
        <v>1040</v>
      </c>
      <c r="E56" s="329" t="s">
        <v>852</v>
      </c>
      <c r="F56" s="330"/>
      <c r="G56" s="331"/>
      <c r="H56" s="332"/>
      <c r="I56" s="331">
        <v>567.59</v>
      </c>
      <c r="J56" s="389"/>
      <c r="K56" s="333">
        <f t="shared" si="0"/>
        <v>567.59</v>
      </c>
      <c r="L56" s="329" t="s">
        <v>1036</v>
      </c>
    </row>
    <row r="57" spans="1:12">
      <c r="A57" s="334">
        <v>41</v>
      </c>
      <c r="B57" s="354">
        <v>2203</v>
      </c>
      <c r="C57" s="328" t="s">
        <v>763</v>
      </c>
      <c r="D57" s="328" t="s">
        <v>811</v>
      </c>
      <c r="E57" s="329" t="s">
        <v>852</v>
      </c>
      <c r="F57" s="330"/>
      <c r="G57" s="331">
        <v>666.16</v>
      </c>
      <c r="H57" s="332" t="s">
        <v>1006</v>
      </c>
      <c r="I57" s="331">
        <v>666.16</v>
      </c>
      <c r="J57" s="389">
        <v>666.16</v>
      </c>
      <c r="K57" s="333">
        <f t="shared" si="0"/>
        <v>0</v>
      </c>
      <c r="L57" s="329"/>
    </row>
    <row r="58" spans="1:12">
      <c r="A58" s="334">
        <v>42</v>
      </c>
      <c r="B58" s="354">
        <v>2235</v>
      </c>
      <c r="C58" s="328" t="s">
        <v>764</v>
      </c>
      <c r="D58" s="328" t="s">
        <v>812</v>
      </c>
      <c r="E58" s="329" t="s">
        <v>854</v>
      </c>
      <c r="F58" s="330">
        <v>1</v>
      </c>
      <c r="G58" s="331">
        <v>1350.93</v>
      </c>
      <c r="H58" s="332" t="s">
        <v>1006</v>
      </c>
      <c r="I58" s="331">
        <v>1350.93</v>
      </c>
      <c r="J58" s="389">
        <v>1350.93</v>
      </c>
      <c r="K58" s="333">
        <f t="shared" si="0"/>
        <v>0</v>
      </c>
      <c r="L58" s="329"/>
    </row>
    <row r="59" spans="1:12">
      <c r="A59" s="334">
        <v>43</v>
      </c>
      <c r="B59" s="354">
        <v>2245</v>
      </c>
      <c r="C59" s="328" t="s">
        <v>765</v>
      </c>
      <c r="D59" s="328" t="s">
        <v>813</v>
      </c>
      <c r="E59" s="329" t="s">
        <v>854</v>
      </c>
      <c r="F59" s="330">
        <v>1</v>
      </c>
      <c r="G59" s="331">
        <v>1584.89</v>
      </c>
      <c r="H59" s="332" t="s">
        <v>1006</v>
      </c>
      <c r="I59" s="331">
        <v>1584.89</v>
      </c>
      <c r="J59" s="389">
        <v>1584.89</v>
      </c>
      <c r="K59" s="333">
        <f t="shared" si="0"/>
        <v>0</v>
      </c>
      <c r="L59" s="329"/>
    </row>
    <row r="60" spans="1:12">
      <c r="A60" s="334">
        <v>44</v>
      </c>
      <c r="B60" s="354">
        <v>2001</v>
      </c>
      <c r="C60" s="328" t="s">
        <v>766</v>
      </c>
      <c r="D60" s="338" t="s">
        <v>814</v>
      </c>
      <c r="E60" s="329" t="s">
        <v>852</v>
      </c>
      <c r="F60" s="330"/>
      <c r="G60" s="331">
        <v>1319.87</v>
      </c>
      <c r="H60" s="332" t="s">
        <v>1006</v>
      </c>
      <c r="I60" s="331">
        <v>1319.87</v>
      </c>
      <c r="J60" s="389">
        <v>1319.87</v>
      </c>
      <c r="K60" s="333">
        <f t="shared" si="0"/>
        <v>0</v>
      </c>
      <c r="L60" s="329"/>
    </row>
    <row r="61" spans="1:12">
      <c r="A61" s="334">
        <v>45</v>
      </c>
      <c r="B61" s="354">
        <v>2160</v>
      </c>
      <c r="C61" s="328" t="s">
        <v>767</v>
      </c>
      <c r="D61" s="338" t="s">
        <v>815</v>
      </c>
      <c r="E61" s="329" t="s">
        <v>854</v>
      </c>
      <c r="F61" s="330">
        <v>1</v>
      </c>
      <c r="G61" s="331">
        <v>1921.57</v>
      </c>
      <c r="H61" s="332" t="s">
        <v>1006</v>
      </c>
      <c r="I61" s="331">
        <v>1921.57</v>
      </c>
      <c r="J61" s="389">
        <v>1921.57</v>
      </c>
      <c r="K61" s="333">
        <f t="shared" si="0"/>
        <v>0</v>
      </c>
      <c r="L61" s="329"/>
    </row>
    <row r="62" spans="1:12">
      <c r="A62" s="334">
        <v>47</v>
      </c>
      <c r="B62" s="354">
        <v>2279</v>
      </c>
      <c r="C62" s="328" t="s">
        <v>769</v>
      </c>
      <c r="D62" s="328" t="s">
        <v>843</v>
      </c>
      <c r="E62" s="329" t="s">
        <v>852</v>
      </c>
      <c r="F62" s="330"/>
      <c r="G62" s="331">
        <v>554.59</v>
      </c>
      <c r="H62" s="332" t="s">
        <v>1006</v>
      </c>
      <c r="I62" s="331">
        <v>554.59</v>
      </c>
      <c r="J62" s="389">
        <v>554.59</v>
      </c>
      <c r="K62" s="333">
        <f t="shared" si="0"/>
        <v>0</v>
      </c>
      <c r="L62" s="161"/>
    </row>
    <row r="63" spans="1:12">
      <c r="A63" s="334">
        <v>48</v>
      </c>
      <c r="B63" s="354">
        <v>2246</v>
      </c>
      <c r="C63" s="328" t="s">
        <v>769</v>
      </c>
      <c r="D63" s="338" t="s">
        <v>817</v>
      </c>
      <c r="E63" s="329" t="s">
        <v>852</v>
      </c>
      <c r="F63" s="330"/>
      <c r="G63" s="331">
        <v>648.83000000000004</v>
      </c>
      <c r="H63" s="332" t="s">
        <v>1006</v>
      </c>
      <c r="I63" s="331">
        <v>648.83000000000004</v>
      </c>
      <c r="J63" s="389">
        <v>648.83000000000004</v>
      </c>
      <c r="K63" s="333">
        <f t="shared" si="0"/>
        <v>0</v>
      </c>
      <c r="L63" s="188"/>
    </row>
    <row r="64" spans="1:12">
      <c r="A64" s="334">
        <v>49</v>
      </c>
      <c r="B64" s="354">
        <v>2018</v>
      </c>
      <c r="C64" s="328" t="s">
        <v>770</v>
      </c>
      <c r="D64" s="328" t="s">
        <v>818</v>
      </c>
      <c r="E64" s="329" t="s">
        <v>852</v>
      </c>
      <c r="F64" s="330"/>
      <c r="G64" s="331">
        <v>1624.77</v>
      </c>
      <c r="H64" s="332" t="s">
        <v>1006</v>
      </c>
      <c r="I64" s="331">
        <v>1624.77</v>
      </c>
      <c r="J64" s="389">
        <v>1624.77</v>
      </c>
      <c r="K64" s="333">
        <f t="shared" si="0"/>
        <v>0</v>
      </c>
      <c r="L64" s="161"/>
    </row>
    <row r="65" spans="1:12">
      <c r="A65" s="334">
        <v>50</v>
      </c>
      <c r="B65" s="354">
        <v>1692</v>
      </c>
      <c r="C65" s="328" t="s">
        <v>771</v>
      </c>
      <c r="D65" s="338" t="s">
        <v>819</v>
      </c>
      <c r="E65" s="329" t="s">
        <v>852</v>
      </c>
      <c r="F65" s="330"/>
      <c r="G65" s="331">
        <v>1379.98</v>
      </c>
      <c r="H65" s="332" t="s">
        <v>1006</v>
      </c>
      <c r="I65" s="331">
        <v>1379.98</v>
      </c>
      <c r="J65" s="333">
        <v>1923.74</v>
      </c>
      <c r="K65" s="333">
        <f t="shared" si="0"/>
        <v>-543.76</v>
      </c>
      <c r="L65" s="329" t="s">
        <v>1041</v>
      </c>
    </row>
    <row r="66" spans="1:12">
      <c r="A66" s="334"/>
      <c r="B66" s="354">
        <v>2027</v>
      </c>
      <c r="C66" s="328" t="s">
        <v>771</v>
      </c>
      <c r="D66" s="338" t="s">
        <v>982</v>
      </c>
      <c r="E66" s="329" t="s">
        <v>852</v>
      </c>
      <c r="F66" s="330"/>
      <c r="G66" s="331">
        <v>661.83</v>
      </c>
      <c r="H66" s="332" t="s">
        <v>1006</v>
      </c>
      <c r="I66" s="331">
        <v>661.83</v>
      </c>
      <c r="J66" s="389">
        <v>661.83</v>
      </c>
      <c r="K66" s="333">
        <f t="shared" si="0"/>
        <v>0</v>
      </c>
      <c r="L66" s="329"/>
    </row>
    <row r="67" spans="1:12">
      <c r="A67" s="334"/>
      <c r="B67" s="354">
        <v>2288</v>
      </c>
      <c r="C67" s="328" t="s">
        <v>772</v>
      </c>
      <c r="D67" s="338" t="s">
        <v>820</v>
      </c>
      <c r="E67" s="329" t="s">
        <v>852</v>
      </c>
      <c r="F67" s="330"/>
      <c r="G67" s="331"/>
      <c r="H67" s="332"/>
      <c r="I67" s="331">
        <v>588.71</v>
      </c>
      <c r="J67" s="389"/>
      <c r="K67" s="333">
        <f t="shared" si="0"/>
        <v>588.71</v>
      </c>
      <c r="L67" s="329" t="s">
        <v>1036</v>
      </c>
    </row>
    <row r="68" spans="1:12">
      <c r="A68" s="334">
        <v>52</v>
      </c>
      <c r="B68" s="354">
        <v>2060</v>
      </c>
      <c r="C68" s="328" t="s">
        <v>487</v>
      </c>
      <c r="D68" s="328" t="s">
        <v>516</v>
      </c>
      <c r="E68" s="329" t="s">
        <v>852</v>
      </c>
      <c r="F68" s="330"/>
      <c r="G68" s="331">
        <v>1057.19</v>
      </c>
      <c r="H68" s="332" t="s">
        <v>1006</v>
      </c>
      <c r="I68" s="331">
        <v>1057.19</v>
      </c>
      <c r="J68" s="389">
        <v>1057.19</v>
      </c>
      <c r="K68" s="333">
        <f t="shared" si="0"/>
        <v>0</v>
      </c>
      <c r="L68" s="329"/>
    </row>
    <row r="69" spans="1:12">
      <c r="A69" s="334">
        <v>54</v>
      </c>
      <c r="B69" s="354">
        <v>1050</v>
      </c>
      <c r="C69" s="328" t="s">
        <v>773</v>
      </c>
      <c r="D69" s="328" t="s">
        <v>821</v>
      </c>
      <c r="E69" s="329" t="s">
        <v>852</v>
      </c>
      <c r="F69" s="330"/>
      <c r="G69" s="331">
        <v>1624.77</v>
      </c>
      <c r="H69" s="332" t="s">
        <v>1006</v>
      </c>
      <c r="I69" s="331">
        <v>1624.77</v>
      </c>
      <c r="J69" s="389">
        <v>1624.77</v>
      </c>
      <c r="K69" s="333">
        <f t="shared" si="0"/>
        <v>0</v>
      </c>
      <c r="L69" s="329"/>
    </row>
    <row r="70" spans="1:12">
      <c r="A70" s="334">
        <v>55</v>
      </c>
      <c r="B70" s="354">
        <v>1964</v>
      </c>
      <c r="C70" s="328" t="s">
        <v>491</v>
      </c>
      <c r="D70" s="328" t="s">
        <v>456</v>
      </c>
      <c r="E70" s="329" t="s">
        <v>852</v>
      </c>
      <c r="F70" s="330"/>
      <c r="G70" s="331">
        <v>846.51</v>
      </c>
      <c r="H70" s="332" t="s">
        <v>1006</v>
      </c>
      <c r="I70" s="331">
        <v>846.51</v>
      </c>
      <c r="J70" s="389">
        <v>846.51</v>
      </c>
      <c r="K70" s="333">
        <f t="shared" ref="K70:K80" si="1">I70-J70</f>
        <v>0</v>
      </c>
      <c r="L70" s="329"/>
    </row>
    <row r="71" spans="1:12">
      <c r="A71" s="334">
        <v>57</v>
      </c>
      <c r="B71" s="354">
        <v>1981</v>
      </c>
      <c r="C71" s="328" t="s">
        <v>774</v>
      </c>
      <c r="D71" s="338" t="s">
        <v>822</v>
      </c>
      <c r="E71" s="329" t="s">
        <v>852</v>
      </c>
      <c r="F71" s="330"/>
      <c r="G71" s="331">
        <v>683.49</v>
      </c>
      <c r="H71" s="332" t="s">
        <v>1006</v>
      </c>
      <c r="I71" s="331">
        <v>683.49</v>
      </c>
      <c r="J71" s="389">
        <v>683.49</v>
      </c>
      <c r="K71" s="333">
        <f t="shared" si="1"/>
        <v>0</v>
      </c>
      <c r="L71" s="329"/>
    </row>
    <row r="72" spans="1:12">
      <c r="A72" s="334">
        <v>56</v>
      </c>
      <c r="B72" s="354">
        <v>1662</v>
      </c>
      <c r="C72" s="328" t="s">
        <v>774</v>
      </c>
      <c r="D72" s="328" t="s">
        <v>823</v>
      </c>
      <c r="E72" s="329" t="s">
        <v>852</v>
      </c>
      <c r="F72" s="330"/>
      <c r="G72" s="331">
        <v>885.51</v>
      </c>
      <c r="H72" s="332" t="s">
        <v>1006</v>
      </c>
      <c r="I72" s="331">
        <v>885.51</v>
      </c>
      <c r="J72" s="389">
        <v>885.51</v>
      </c>
      <c r="K72" s="333">
        <f t="shared" si="1"/>
        <v>0</v>
      </c>
      <c r="L72" s="329"/>
    </row>
    <row r="73" spans="1:12">
      <c r="A73" s="334"/>
      <c r="B73" s="354">
        <v>1708</v>
      </c>
      <c r="C73" s="328" t="s">
        <v>775</v>
      </c>
      <c r="D73" s="328" t="s">
        <v>791</v>
      </c>
      <c r="E73" s="329" t="s">
        <v>852</v>
      </c>
      <c r="F73" s="330"/>
      <c r="G73" s="331">
        <v>1624.77</v>
      </c>
      <c r="H73" s="332" t="s">
        <v>1006</v>
      </c>
      <c r="I73" s="331">
        <v>1624.77</v>
      </c>
      <c r="J73" s="389">
        <v>1624.77</v>
      </c>
      <c r="K73" s="333">
        <f t="shared" si="1"/>
        <v>0</v>
      </c>
      <c r="L73" s="329"/>
    </row>
    <row r="74" spans="1:12">
      <c r="A74" s="334">
        <v>58</v>
      </c>
      <c r="B74" s="354">
        <v>1630</v>
      </c>
      <c r="C74" s="328" t="s">
        <v>775</v>
      </c>
      <c r="D74" s="338" t="s">
        <v>824</v>
      </c>
      <c r="E74" s="329" t="s">
        <v>852</v>
      </c>
      <c r="F74" s="330"/>
      <c r="G74" s="331">
        <v>1207.76</v>
      </c>
      <c r="H74" s="332" t="s">
        <v>1006</v>
      </c>
      <c r="I74" s="331">
        <v>1207.76</v>
      </c>
      <c r="J74" s="389">
        <v>1207.76</v>
      </c>
      <c r="K74" s="333">
        <f t="shared" si="1"/>
        <v>0</v>
      </c>
      <c r="L74" s="329"/>
    </row>
    <row r="75" spans="1:12">
      <c r="A75" s="334">
        <v>59</v>
      </c>
      <c r="B75" s="354">
        <v>2212</v>
      </c>
      <c r="C75" s="400" t="s">
        <v>776</v>
      </c>
      <c r="D75" s="401" t="s">
        <v>825</v>
      </c>
      <c r="E75" s="329" t="s">
        <v>852</v>
      </c>
      <c r="F75" s="330"/>
      <c r="G75" s="331"/>
      <c r="H75" s="332" t="s">
        <v>1006</v>
      </c>
      <c r="I75" s="332"/>
      <c r="J75" s="333">
        <v>657.5</v>
      </c>
      <c r="K75" s="333">
        <f t="shared" si="1"/>
        <v>-657.5</v>
      </c>
      <c r="L75" s="329" t="s">
        <v>1030</v>
      </c>
    </row>
    <row r="76" spans="1:12">
      <c r="A76" s="334">
        <v>61</v>
      </c>
      <c r="B76" s="354">
        <v>2010</v>
      </c>
      <c r="C76" s="328" t="s">
        <v>777</v>
      </c>
      <c r="D76" s="328" t="s">
        <v>826</v>
      </c>
      <c r="E76" s="329" t="s">
        <v>852</v>
      </c>
      <c r="F76" s="330"/>
      <c r="G76" s="331">
        <v>1010.07</v>
      </c>
      <c r="H76" s="332" t="s">
        <v>1006</v>
      </c>
      <c r="I76" s="331">
        <v>1010.07</v>
      </c>
      <c r="J76" s="389">
        <v>1010.07</v>
      </c>
      <c r="K76" s="333">
        <f t="shared" si="1"/>
        <v>0</v>
      </c>
      <c r="L76" s="329"/>
    </row>
    <row r="77" spans="1:12">
      <c r="A77" s="334">
        <v>60</v>
      </c>
      <c r="B77" s="354">
        <v>2187</v>
      </c>
      <c r="C77" s="328" t="s">
        <v>777</v>
      </c>
      <c r="D77" s="328" t="s">
        <v>827</v>
      </c>
      <c r="E77" s="329" t="s">
        <v>853</v>
      </c>
      <c r="F77" s="330">
        <v>2</v>
      </c>
      <c r="G77" s="331">
        <v>1889.46</v>
      </c>
      <c r="H77" s="332" t="s">
        <v>1006</v>
      </c>
      <c r="I77" s="391">
        <v>1889.46</v>
      </c>
      <c r="J77" s="389">
        <v>1889.46</v>
      </c>
      <c r="K77" s="333">
        <f t="shared" si="1"/>
        <v>0</v>
      </c>
      <c r="L77" s="329"/>
    </row>
    <row r="78" spans="1:12">
      <c r="A78" s="334">
        <v>62</v>
      </c>
      <c r="B78" s="354">
        <v>2095</v>
      </c>
      <c r="C78" s="328" t="s">
        <v>778</v>
      </c>
      <c r="D78" s="338" t="s">
        <v>828</v>
      </c>
      <c r="E78" s="329" t="s">
        <v>852</v>
      </c>
      <c r="F78" s="330"/>
      <c r="G78" s="331">
        <v>648.83000000000004</v>
      </c>
      <c r="H78" s="332" t="s">
        <v>1006</v>
      </c>
      <c r="I78" s="331">
        <v>648.83000000000004</v>
      </c>
      <c r="J78" s="389">
        <v>648.83000000000004</v>
      </c>
      <c r="K78" s="333">
        <f t="shared" si="1"/>
        <v>0</v>
      </c>
      <c r="L78" s="329"/>
    </row>
    <row r="79" spans="1:12">
      <c r="A79" s="334">
        <v>63</v>
      </c>
      <c r="B79" s="354">
        <v>2064</v>
      </c>
      <c r="C79" s="328" t="s">
        <v>778</v>
      </c>
      <c r="D79" s="338" t="s">
        <v>829</v>
      </c>
      <c r="E79" s="341" t="s">
        <v>856</v>
      </c>
      <c r="F79" s="330">
        <v>2</v>
      </c>
      <c r="G79" s="331">
        <v>1682.01</v>
      </c>
      <c r="H79" s="332">
        <v>584.94000000000005</v>
      </c>
      <c r="I79" s="332">
        <f>SUM(G79:H79)</f>
        <v>2266.9499999999998</v>
      </c>
      <c r="J79" s="333">
        <v>2266.9499999999998</v>
      </c>
      <c r="K79" s="333">
        <f t="shared" si="1"/>
        <v>0</v>
      </c>
      <c r="L79" s="329"/>
    </row>
    <row r="80" spans="1:12">
      <c r="A80" s="334"/>
      <c r="B80" s="354">
        <v>2089</v>
      </c>
      <c r="C80" s="328" t="s">
        <v>870</v>
      </c>
      <c r="D80" s="338" t="s">
        <v>1007</v>
      </c>
      <c r="E80" s="329" t="s">
        <v>852</v>
      </c>
      <c r="F80" s="330"/>
      <c r="G80" s="331">
        <v>648.83000000000004</v>
      </c>
      <c r="H80" s="332" t="s">
        <v>1006</v>
      </c>
      <c r="I80" s="331">
        <v>648.83000000000004</v>
      </c>
      <c r="J80" s="389">
        <v>648.83000000000004</v>
      </c>
      <c r="K80" s="333">
        <f t="shared" si="1"/>
        <v>0</v>
      </c>
      <c r="L80" s="329"/>
    </row>
    <row r="81" spans="1:20">
      <c r="A81" s="296"/>
      <c r="B81" s="66"/>
      <c r="C81" s="29"/>
      <c r="D81" s="29"/>
      <c r="E81" s="342"/>
      <c r="F81" s="343"/>
      <c r="G81" s="344"/>
      <c r="H81" s="345">
        <f>SUM(H5:H80)</f>
        <v>2577.04</v>
      </c>
      <c r="I81" s="344"/>
      <c r="J81" s="346"/>
      <c r="K81" s="346"/>
      <c r="L81" s="385"/>
      <c r="M81" s="216"/>
      <c r="O81" s="15"/>
      <c r="P81" s="15"/>
    </row>
    <row r="82" spans="1:20">
      <c r="A82" s="296"/>
      <c r="E82" s="342"/>
      <c r="F82" s="343"/>
      <c r="G82" s="344"/>
      <c r="H82" s="344"/>
      <c r="I82" s="344"/>
      <c r="J82" s="346"/>
      <c r="K82" s="346"/>
      <c r="L82" s="385"/>
      <c r="M82" s="216"/>
      <c r="O82" s="15"/>
      <c r="P82" s="15"/>
    </row>
    <row r="83" spans="1:20">
      <c r="A83" s="438" t="s">
        <v>652</v>
      </c>
      <c r="B83" s="439"/>
      <c r="C83" s="439"/>
      <c r="D83" s="439"/>
      <c r="E83" s="439"/>
      <c r="F83" s="439"/>
      <c r="G83" s="440"/>
      <c r="H83" s="347"/>
      <c r="I83" s="348">
        <f>SUM(I5:I80)</f>
        <v>80089.790000000008</v>
      </c>
      <c r="J83" s="383">
        <f>SUM(J5:J80)</f>
        <v>126755.61</v>
      </c>
      <c r="K83" s="383"/>
      <c r="L83" s="386"/>
    </row>
    <row r="84" spans="1:20">
      <c r="A84" s="441" t="s">
        <v>1028</v>
      </c>
      <c r="B84" s="442"/>
      <c r="C84" s="443"/>
      <c r="D84" s="351"/>
      <c r="E84" s="352" t="s">
        <v>258</v>
      </c>
      <c r="F84" s="334">
        <v>72</v>
      </c>
      <c r="G84" s="329" t="s">
        <v>1029</v>
      </c>
      <c r="H84" s="351"/>
      <c r="I84" s="352" t="s">
        <v>258</v>
      </c>
      <c r="J84" s="343">
        <v>71</v>
      </c>
      <c r="K84" s="343"/>
      <c r="L84" s="161"/>
    </row>
    <row r="85" spans="1:20">
      <c r="A85" s="353"/>
      <c r="B85" s="352"/>
      <c r="C85" s="351"/>
      <c r="D85" s="351"/>
      <c r="E85" s="351" t="s">
        <v>930</v>
      </c>
      <c r="F85" s="330">
        <v>5</v>
      </c>
      <c r="G85" s="329"/>
      <c r="H85" s="351"/>
      <c r="I85" s="351" t="s">
        <v>930</v>
      </c>
      <c r="J85" s="343">
        <v>4</v>
      </c>
      <c r="K85" s="343"/>
      <c r="L85" s="161"/>
    </row>
    <row r="86" spans="1:20">
      <c r="A86" s="441"/>
      <c r="B86" s="442"/>
      <c r="C86" s="443"/>
      <c r="D86" s="351"/>
      <c r="E86" s="352" t="s">
        <v>931</v>
      </c>
      <c r="F86" s="355">
        <v>27</v>
      </c>
      <c r="G86" s="329"/>
      <c r="H86" s="351"/>
      <c r="I86" s="352" t="s">
        <v>931</v>
      </c>
      <c r="J86" s="343">
        <v>27</v>
      </c>
      <c r="K86" s="343"/>
      <c r="L86" s="161"/>
    </row>
    <row r="87" spans="1:20">
      <c r="A87" s="444"/>
      <c r="B87" s="445"/>
      <c r="C87" s="446"/>
      <c r="D87" s="356"/>
      <c r="E87" s="357" t="s">
        <v>246</v>
      </c>
      <c r="F87" s="358">
        <v>104</v>
      </c>
      <c r="G87" s="329"/>
      <c r="H87" s="393"/>
      <c r="I87" s="394" t="s">
        <v>246</v>
      </c>
      <c r="J87" s="395">
        <v>102</v>
      </c>
      <c r="K87" s="395"/>
      <c r="L87" s="161"/>
    </row>
    <row r="88" spans="1:20">
      <c r="A88" s="447" t="s">
        <v>830</v>
      </c>
      <c r="B88" s="448"/>
      <c r="C88" s="448"/>
      <c r="D88" s="448"/>
      <c r="E88" s="448"/>
      <c r="F88" s="448"/>
      <c r="G88" s="448"/>
      <c r="H88" s="381"/>
      <c r="I88" s="381"/>
      <c r="J88" s="396"/>
      <c r="K88" s="396"/>
      <c r="L88" s="392"/>
      <c r="N88" s="15"/>
    </row>
    <row r="89" spans="1:20">
      <c r="A89" s="7"/>
      <c r="B89" s="376" t="s">
        <v>934</v>
      </c>
      <c r="C89" s="328" t="s">
        <v>932</v>
      </c>
      <c r="D89" s="338" t="s">
        <v>933</v>
      </c>
      <c r="E89" s="329" t="s">
        <v>851</v>
      </c>
      <c r="F89" s="330"/>
      <c r="G89" s="331"/>
      <c r="H89" s="332">
        <v>508.4</v>
      </c>
      <c r="I89" s="332"/>
      <c r="J89" s="332">
        <v>508.4</v>
      </c>
      <c r="K89" s="332"/>
      <c r="L89" s="161" t="s">
        <v>1031</v>
      </c>
      <c r="N89" s="15"/>
    </row>
    <row r="90" spans="1:20">
      <c r="A90" s="334"/>
      <c r="B90" s="376" t="s">
        <v>934</v>
      </c>
      <c r="C90" s="328" t="s">
        <v>932</v>
      </c>
      <c r="D90" s="338" t="s">
        <v>933</v>
      </c>
      <c r="E90" s="329" t="s">
        <v>851</v>
      </c>
      <c r="F90" s="330"/>
      <c r="G90" s="331"/>
      <c r="H90" s="332">
        <v>508.4</v>
      </c>
      <c r="I90" s="331"/>
      <c r="J90" s="332">
        <v>508.4</v>
      </c>
      <c r="K90" s="332"/>
      <c r="L90" s="161" t="s">
        <v>1032</v>
      </c>
      <c r="N90" s="15"/>
    </row>
    <row r="91" spans="1:20">
      <c r="A91" s="361"/>
      <c r="B91" s="354">
        <v>2322</v>
      </c>
      <c r="C91" s="328" t="s">
        <v>1023</v>
      </c>
      <c r="D91" s="338" t="s">
        <v>1024</v>
      </c>
      <c r="E91" s="329" t="s">
        <v>852</v>
      </c>
      <c r="F91" s="330"/>
      <c r="G91" s="331">
        <v>496.49</v>
      </c>
      <c r="H91" s="332">
        <v>0</v>
      </c>
      <c r="I91" s="331">
        <v>496.49</v>
      </c>
      <c r="J91" s="331">
        <v>496.49</v>
      </c>
      <c r="K91" s="331"/>
      <c r="L91" s="196" t="s">
        <v>1033</v>
      </c>
      <c r="M91" s="362"/>
      <c r="N91" s="363"/>
      <c r="O91" s="362"/>
      <c r="P91" s="362"/>
      <c r="Q91" s="362"/>
      <c r="R91" s="362"/>
      <c r="S91" s="362"/>
      <c r="T91" s="362"/>
    </row>
    <row r="92" spans="1:20">
      <c r="A92" s="361"/>
      <c r="B92" s="354">
        <v>2322</v>
      </c>
      <c r="C92" s="328" t="s">
        <v>1023</v>
      </c>
      <c r="D92" s="338" t="s">
        <v>1024</v>
      </c>
      <c r="E92" s="329" t="s">
        <v>852</v>
      </c>
      <c r="F92" s="330"/>
      <c r="G92" s="331">
        <v>496.49</v>
      </c>
      <c r="H92" s="332">
        <v>0</v>
      </c>
      <c r="I92" s="331">
        <v>496.49</v>
      </c>
      <c r="J92" s="331">
        <v>496.49</v>
      </c>
      <c r="K92" s="331"/>
      <c r="L92" s="196" t="s">
        <v>1034</v>
      </c>
      <c r="M92" s="362"/>
      <c r="N92" s="363"/>
      <c r="O92" s="362"/>
      <c r="P92" s="362"/>
      <c r="Q92" s="362"/>
      <c r="R92" s="362"/>
      <c r="S92" s="362"/>
      <c r="T92" s="362"/>
    </row>
    <row r="93" spans="1:20">
      <c r="A93" s="361"/>
      <c r="B93" s="354">
        <v>2121</v>
      </c>
      <c r="C93" s="328" t="s">
        <v>757</v>
      </c>
      <c r="D93" s="328" t="s">
        <v>803</v>
      </c>
      <c r="E93" s="329" t="s">
        <v>852</v>
      </c>
      <c r="F93" s="330"/>
      <c r="G93" s="331">
        <v>594.79999999999995</v>
      </c>
      <c r="H93" s="332">
        <v>0</v>
      </c>
      <c r="I93" s="397"/>
      <c r="J93" s="397">
        <v>-594.79</v>
      </c>
      <c r="K93" s="397"/>
      <c r="L93" s="196" t="s">
        <v>1038</v>
      </c>
      <c r="M93" s="362"/>
      <c r="N93" s="363"/>
      <c r="O93" s="362"/>
      <c r="P93" s="362"/>
      <c r="Q93" s="362"/>
      <c r="R93" s="362"/>
      <c r="S93" s="362"/>
      <c r="T93" s="362"/>
    </row>
    <row r="94" spans="1:20">
      <c r="A94" s="361"/>
      <c r="B94" s="354">
        <v>2323</v>
      </c>
      <c r="C94" s="328" t="s">
        <v>1000</v>
      </c>
      <c r="D94" s="328" t="s">
        <v>1027</v>
      </c>
      <c r="E94" s="329" t="s">
        <v>852</v>
      </c>
      <c r="F94" s="330"/>
      <c r="G94" s="331">
        <v>496.49</v>
      </c>
      <c r="H94" s="332"/>
      <c r="I94" s="331">
        <v>496.49</v>
      </c>
      <c r="J94" s="331">
        <v>496.49</v>
      </c>
      <c r="K94" s="331"/>
      <c r="L94" s="196" t="s">
        <v>1033</v>
      </c>
      <c r="N94" s="378"/>
      <c r="O94" s="216"/>
      <c r="P94" s="3"/>
      <c r="Q94" s="269"/>
      <c r="R94" s="270"/>
      <c r="S94" s="270"/>
      <c r="T94" s="379"/>
    </row>
    <row r="95" spans="1:20">
      <c r="A95" s="334"/>
      <c r="B95" s="354">
        <v>2323</v>
      </c>
      <c r="C95" s="328" t="s">
        <v>1000</v>
      </c>
      <c r="D95" s="328" t="s">
        <v>1027</v>
      </c>
      <c r="E95" s="329" t="s">
        <v>852</v>
      </c>
      <c r="F95" s="330"/>
      <c r="G95" s="331">
        <v>496.49</v>
      </c>
      <c r="H95" s="332"/>
      <c r="I95" s="331">
        <v>496.49</v>
      </c>
      <c r="J95" s="331">
        <v>496.49</v>
      </c>
      <c r="K95" s="331"/>
      <c r="L95" s="196" t="s">
        <v>1034</v>
      </c>
      <c r="M95" s="362"/>
      <c r="N95" s="363"/>
      <c r="O95" s="362"/>
      <c r="P95" s="362"/>
      <c r="Q95" s="362"/>
      <c r="R95" s="362"/>
      <c r="S95" s="362"/>
      <c r="T95" s="362"/>
    </row>
    <row r="96" spans="1:20">
      <c r="A96" s="334"/>
      <c r="B96" s="354"/>
      <c r="C96" s="328"/>
      <c r="D96" s="328"/>
      <c r="E96" s="398"/>
      <c r="F96" s="330"/>
      <c r="G96" s="331"/>
      <c r="H96" s="332"/>
      <c r="I96" s="332"/>
      <c r="J96" s="333"/>
      <c r="K96" s="333"/>
      <c r="L96" s="196"/>
      <c r="M96" s="362"/>
      <c r="N96" s="363"/>
      <c r="O96" s="362"/>
      <c r="P96" s="362"/>
      <c r="Q96" s="362"/>
      <c r="R96" s="362"/>
      <c r="S96" s="362"/>
      <c r="T96" s="362"/>
    </row>
    <row r="97" spans="1:20">
      <c r="A97" s="334"/>
      <c r="B97" s="354"/>
      <c r="C97" s="328"/>
      <c r="D97" s="338"/>
      <c r="E97" s="329"/>
      <c r="F97" s="330"/>
      <c r="G97" s="331"/>
      <c r="H97" s="332"/>
      <c r="I97" s="332"/>
      <c r="J97" s="333"/>
      <c r="K97" s="333"/>
      <c r="L97" s="380"/>
      <c r="M97" s="362"/>
      <c r="N97" s="363"/>
      <c r="O97" s="362"/>
      <c r="P97" s="362"/>
      <c r="Q97" s="362"/>
      <c r="R97" s="362"/>
      <c r="S97" s="362"/>
      <c r="T97" s="362"/>
    </row>
    <row r="98" spans="1:20">
      <c r="A98" s="334"/>
      <c r="B98" s="354"/>
      <c r="C98" s="328"/>
      <c r="D98" s="338"/>
      <c r="E98" s="329"/>
      <c r="F98" s="330"/>
      <c r="G98" s="331"/>
      <c r="H98" s="332"/>
      <c r="I98" s="332"/>
      <c r="J98" s="333"/>
      <c r="K98" s="333"/>
      <c r="L98" s="161"/>
      <c r="M98" s="362"/>
      <c r="N98" s="363"/>
      <c r="O98" s="362"/>
      <c r="P98" s="362"/>
      <c r="Q98" s="362"/>
      <c r="R98" s="362"/>
      <c r="S98" s="362"/>
      <c r="T98" s="362"/>
    </row>
    <row r="99" spans="1:20">
      <c r="A99" s="334"/>
      <c r="B99" s="354"/>
      <c r="C99" s="328"/>
      <c r="D99" s="338"/>
      <c r="E99" s="329"/>
      <c r="F99" s="330"/>
      <c r="G99" s="331"/>
      <c r="H99" s="332"/>
      <c r="I99" s="332"/>
      <c r="J99" s="333"/>
      <c r="K99" s="333"/>
      <c r="L99" s="380"/>
      <c r="M99" s="362"/>
      <c r="N99" s="363"/>
      <c r="O99" s="362"/>
      <c r="P99" s="362"/>
      <c r="Q99" s="362"/>
      <c r="R99" s="362"/>
      <c r="S99" s="362"/>
      <c r="T99" s="362"/>
    </row>
    <row r="100" spans="1:20">
      <c r="A100" s="334"/>
      <c r="B100" s="354"/>
      <c r="C100" s="328"/>
      <c r="D100" s="338"/>
      <c r="E100" s="329"/>
      <c r="F100" s="330"/>
      <c r="G100" s="331"/>
      <c r="H100" s="332"/>
      <c r="I100" s="332"/>
      <c r="J100" s="333"/>
      <c r="K100" s="333"/>
      <c r="L100" s="380"/>
      <c r="M100" s="362"/>
      <c r="N100" s="363"/>
      <c r="O100" s="362"/>
      <c r="P100" s="362"/>
      <c r="Q100" s="362"/>
      <c r="R100" s="362"/>
      <c r="S100" s="362"/>
      <c r="T100" s="362"/>
    </row>
    <row r="101" spans="1:20">
      <c r="A101" s="334"/>
      <c r="B101" s="354"/>
      <c r="C101" s="328"/>
      <c r="D101" s="338"/>
      <c r="E101" s="329"/>
      <c r="F101" s="330"/>
      <c r="G101" s="331"/>
      <c r="H101" s="332"/>
      <c r="I101" s="332"/>
      <c r="J101" s="333"/>
      <c r="K101" s="333"/>
      <c r="L101" s="380"/>
      <c r="M101" s="362"/>
      <c r="N101" s="363"/>
      <c r="O101" s="362"/>
      <c r="P101" s="362"/>
      <c r="Q101" s="362"/>
      <c r="R101" s="362"/>
      <c r="S101" s="362"/>
      <c r="T101" s="362"/>
    </row>
    <row r="102" spans="1:20">
      <c r="A102" s="334"/>
      <c r="B102" s="354"/>
      <c r="C102" s="328"/>
      <c r="D102" s="338"/>
      <c r="E102" s="329"/>
      <c r="F102" s="330"/>
      <c r="G102" s="331"/>
      <c r="H102" s="332"/>
      <c r="I102" s="332"/>
      <c r="J102" s="333"/>
      <c r="K102" s="333"/>
      <c r="L102" s="161"/>
      <c r="M102" s="362"/>
      <c r="N102" s="363"/>
      <c r="O102" s="362"/>
      <c r="P102" s="362"/>
      <c r="Q102" s="362"/>
      <c r="R102" s="362"/>
      <c r="S102" s="362"/>
      <c r="T102" s="362"/>
    </row>
    <row r="103" spans="1:20">
      <c r="A103" s="334"/>
      <c r="B103" s="354"/>
      <c r="C103" s="328"/>
      <c r="D103" s="328"/>
      <c r="E103" s="329"/>
      <c r="F103" s="330"/>
      <c r="G103" s="331"/>
      <c r="H103" s="332"/>
      <c r="I103" s="332"/>
      <c r="J103" s="333"/>
      <c r="K103" s="333"/>
      <c r="L103" s="161"/>
      <c r="N103" s="15"/>
    </row>
    <row r="104" spans="1:20">
      <c r="A104" s="438" t="s">
        <v>846</v>
      </c>
      <c r="B104" s="439"/>
      <c r="C104" s="439"/>
      <c r="D104" s="439"/>
      <c r="E104" s="439"/>
      <c r="F104" s="439"/>
      <c r="G104" s="440"/>
      <c r="H104" s="348">
        <f>SUM(H89:H101)</f>
        <v>1016.8</v>
      </c>
      <c r="I104" s="347"/>
      <c r="J104" s="348">
        <f>SUM(J89:J103)</f>
        <v>2407.9700000000003</v>
      </c>
      <c r="K104" s="406"/>
      <c r="L104" s="402"/>
    </row>
    <row r="105" spans="1:20">
      <c r="A105" s="365"/>
      <c r="B105" s="366"/>
      <c r="C105" s="366"/>
      <c r="D105" s="366"/>
      <c r="E105" s="366"/>
      <c r="F105" s="367"/>
      <c r="G105" s="368"/>
      <c r="H105" s="368"/>
      <c r="I105" s="368"/>
      <c r="J105" s="349"/>
      <c r="K105" s="383"/>
      <c r="L105" s="364"/>
    </row>
    <row r="106" spans="1:20" ht="16">
      <c r="A106" s="435" t="s">
        <v>881</v>
      </c>
      <c r="B106" s="436"/>
      <c r="C106" s="436"/>
      <c r="D106" s="436"/>
      <c r="E106" s="436"/>
      <c r="F106" s="436"/>
      <c r="G106" s="437"/>
      <c r="H106" s="369"/>
      <c r="I106" s="369"/>
      <c r="J106" s="370">
        <f>SUM(J83,J104)</f>
        <v>129163.58</v>
      </c>
      <c r="K106" s="407"/>
      <c r="L106" s="350"/>
    </row>
    <row r="107" spans="1:20" ht="18">
      <c r="F107" s="3"/>
      <c r="G107" s="371" t="s">
        <v>1013</v>
      </c>
      <c r="H107" s="372">
        <v>45245</v>
      </c>
    </row>
    <row r="108" spans="1:20" ht="18">
      <c r="F108" s="3"/>
      <c r="G108" s="371" t="s">
        <v>1014</v>
      </c>
      <c r="H108" s="373" t="s">
        <v>990</v>
      </c>
      <c r="I108" s="373"/>
    </row>
    <row r="109" spans="1:20">
      <c r="F109" s="3"/>
      <c r="G109" s="216"/>
      <c r="H109" s="216"/>
      <c r="I109" s="216"/>
      <c r="J109" s="3"/>
      <c r="K109" s="3"/>
      <c r="L109" s="15"/>
      <c r="M109" s="216"/>
    </row>
    <row r="110" spans="1:20">
      <c r="F110" s="3"/>
      <c r="G110" s="216"/>
      <c r="H110" s="269"/>
      <c r="I110" s="216"/>
      <c r="J110" s="270"/>
      <c r="K110" s="270"/>
      <c r="L110" s="15"/>
      <c r="M110" s="216"/>
    </row>
    <row r="111" spans="1:20">
      <c r="F111" s="3"/>
      <c r="G111" s="216"/>
      <c r="H111" s="269"/>
      <c r="I111" s="216"/>
      <c r="J111" s="270"/>
      <c r="K111" s="270"/>
      <c r="L111" s="15"/>
      <c r="M111" s="216"/>
    </row>
    <row r="112" spans="1:20">
      <c r="F112" s="3"/>
      <c r="G112" s="216"/>
      <c r="H112" s="388">
        <f>SUM(H81,H104)</f>
        <v>3593.84</v>
      </c>
      <c r="I112" s="269">
        <f>J106-H112</f>
        <v>125569.74</v>
      </c>
      <c r="J112" s="3"/>
      <c r="K112" s="3"/>
      <c r="L112" s="15"/>
      <c r="M112" s="216"/>
    </row>
    <row r="113" spans="6:20">
      <c r="F113" s="3"/>
      <c r="G113" s="216"/>
      <c r="H113" s="216"/>
      <c r="I113" s="216"/>
      <c r="J113" s="3"/>
      <c r="K113" s="3"/>
      <c r="L113" s="15"/>
      <c r="M113" s="216"/>
      <c r="Q113" s="3"/>
      <c r="R113" s="3"/>
      <c r="S113" s="3"/>
      <c r="T113" s="3"/>
    </row>
  </sheetData>
  <mergeCells count="7">
    <mergeCell ref="A106:G106"/>
    <mergeCell ref="A83:G83"/>
    <mergeCell ref="A84:C84"/>
    <mergeCell ref="A86:C86"/>
    <mergeCell ref="A87:C87"/>
    <mergeCell ref="A88:G88"/>
    <mergeCell ref="A104:G104"/>
  </mergeCells>
  <pageMargins left="0.7" right="0.7" top="0.75" bottom="0.75" header="0.3" footer="0.3"/>
  <pageSetup orientation="portrait" horizontalDpi="0" verticalDpi="0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0303-521D-2047-80CF-38F0AF57C980}">
  <dimension ref="A1:S110"/>
  <sheetViews>
    <sheetView topLeftCell="A19" zoomScale="107" workbookViewId="0">
      <selection activeCell="G22" sqref="G22"/>
    </sheetView>
  </sheetViews>
  <sheetFormatPr baseColWidth="10" defaultColWidth="11.5" defaultRowHeight="13"/>
  <cols>
    <col min="1" max="1" width="6.33203125" customWidth="1"/>
    <col min="2" max="2" width="10.83203125" style="374"/>
    <col min="3" max="3" width="11.6640625" customWidth="1"/>
    <col min="4" max="4" width="12.6640625" customWidth="1"/>
    <col min="5" max="5" width="14.83203125" customWidth="1"/>
    <col min="8" max="8" width="12.1640625" bestFit="1" customWidth="1"/>
    <col min="9" max="9" width="11.1640625" bestFit="1" customWidth="1"/>
    <col min="10" max="10" width="12.83203125" bestFit="1" customWidth="1"/>
    <col min="11" max="11" width="21.5" customWidth="1"/>
  </cols>
  <sheetData>
    <row r="1" spans="1:19">
      <c r="A1" s="1" t="s">
        <v>0</v>
      </c>
      <c r="B1" s="105"/>
      <c r="C1" s="1"/>
      <c r="F1" s="3"/>
      <c r="G1" s="215"/>
      <c r="H1" s="215"/>
      <c r="I1" s="216"/>
      <c r="J1" s="312" t="s">
        <v>1010</v>
      </c>
      <c r="K1" s="313" t="s">
        <v>223</v>
      </c>
      <c r="L1" s="216"/>
    </row>
    <row r="2" spans="1:19">
      <c r="A2" s="1" t="s">
        <v>249</v>
      </c>
      <c r="B2" s="105"/>
      <c r="C2" s="1"/>
      <c r="F2" s="3"/>
      <c r="G2" s="216"/>
      <c r="H2" s="216"/>
      <c r="I2" s="216"/>
      <c r="J2" s="314">
        <v>45253</v>
      </c>
      <c r="K2" s="315"/>
      <c r="L2" s="216"/>
    </row>
    <row r="3" spans="1:19">
      <c r="F3" s="3"/>
      <c r="G3" s="216"/>
      <c r="H3" s="216"/>
      <c r="I3" s="216"/>
      <c r="J3" s="316"/>
      <c r="K3" s="317" t="s">
        <v>832</v>
      </c>
      <c r="L3" s="216"/>
    </row>
    <row r="4" spans="1:19" ht="28">
      <c r="A4" s="318" t="s">
        <v>226</v>
      </c>
      <c r="B4" s="377" t="s">
        <v>500</v>
      </c>
      <c r="C4" s="319" t="s">
        <v>498</v>
      </c>
      <c r="D4" s="319" t="s">
        <v>499</v>
      </c>
      <c r="E4" s="320" t="s">
        <v>864</v>
      </c>
      <c r="F4" s="320" t="s">
        <v>929</v>
      </c>
      <c r="G4" s="321" t="s">
        <v>858</v>
      </c>
      <c r="H4" s="322" t="s">
        <v>857</v>
      </c>
      <c r="I4" s="323" t="s">
        <v>860</v>
      </c>
      <c r="J4" s="324" t="s">
        <v>1011</v>
      </c>
      <c r="K4" s="325" t="s">
        <v>227</v>
      </c>
      <c r="L4" s="326" t="s">
        <v>861</v>
      </c>
    </row>
    <row r="5" spans="1:19">
      <c r="A5" s="327"/>
      <c r="B5" s="354">
        <v>2305</v>
      </c>
      <c r="C5" s="328" t="s">
        <v>943</v>
      </c>
      <c r="D5" s="328" t="s">
        <v>944</v>
      </c>
      <c r="E5" s="329" t="s">
        <v>852</v>
      </c>
      <c r="F5" s="330"/>
      <c r="G5" s="331">
        <v>520.32000000000005</v>
      </c>
      <c r="H5" s="332" t="s">
        <v>1006</v>
      </c>
      <c r="I5" s="332">
        <v>520.32000000000005</v>
      </c>
      <c r="J5" s="333">
        <v>520.32000000000005</v>
      </c>
      <c r="K5" s="329"/>
      <c r="L5" s="326"/>
    </row>
    <row r="6" spans="1:19">
      <c r="A6" s="334">
        <v>1</v>
      </c>
      <c r="B6" s="354">
        <v>1729</v>
      </c>
      <c r="C6" s="328" t="s">
        <v>742</v>
      </c>
      <c r="D6" s="328" t="s">
        <v>779</v>
      </c>
      <c r="E6" s="329" t="s">
        <v>852</v>
      </c>
      <c r="F6" s="330"/>
      <c r="G6" s="331">
        <v>1158.3</v>
      </c>
      <c r="H6" s="332"/>
      <c r="I6" s="332">
        <v>1158.3</v>
      </c>
      <c r="J6" s="335">
        <v>1158.3</v>
      </c>
      <c r="K6" s="329"/>
    </row>
    <row r="7" spans="1:19">
      <c r="A7" s="334">
        <v>2</v>
      </c>
      <c r="B7" s="354">
        <v>2247</v>
      </c>
      <c r="C7" s="328" t="s">
        <v>743</v>
      </c>
      <c r="D7" s="329" t="s">
        <v>780</v>
      </c>
      <c r="E7" s="329" t="s">
        <v>852</v>
      </c>
      <c r="F7" s="330"/>
      <c r="G7" s="331">
        <v>498.48</v>
      </c>
      <c r="H7" s="332" t="s">
        <v>1006</v>
      </c>
      <c r="I7" s="332">
        <v>498.47</v>
      </c>
      <c r="J7" s="333">
        <v>498.47</v>
      </c>
      <c r="K7" s="188"/>
    </row>
    <row r="8" spans="1:19">
      <c r="A8" s="334"/>
      <c r="B8" s="374">
        <v>2303</v>
      </c>
      <c r="C8" s="336" t="s">
        <v>950</v>
      </c>
      <c r="D8" s="329" t="s">
        <v>949</v>
      </c>
      <c r="E8" s="329" t="s">
        <v>852</v>
      </c>
      <c r="F8" s="330"/>
      <c r="G8" s="332">
        <v>1395.13</v>
      </c>
      <c r="H8" s="332" t="s">
        <v>1006</v>
      </c>
      <c r="I8" s="332">
        <v>1395.13</v>
      </c>
      <c r="J8" s="335">
        <v>1395.13</v>
      </c>
      <c r="K8" s="337"/>
    </row>
    <row r="9" spans="1:19">
      <c r="A9" s="334">
        <v>3</v>
      </c>
      <c r="B9" s="375">
        <v>2261</v>
      </c>
      <c r="C9" s="328" t="s">
        <v>744</v>
      </c>
      <c r="D9" s="329" t="s">
        <v>781</v>
      </c>
      <c r="E9" s="329" t="s">
        <v>853</v>
      </c>
      <c r="F9" s="330">
        <v>2</v>
      </c>
      <c r="G9" s="331">
        <v>1637.1</v>
      </c>
      <c r="H9" s="332" t="s">
        <v>1006</v>
      </c>
      <c r="I9" s="332">
        <v>1637.09</v>
      </c>
      <c r="J9" s="335">
        <v>1637.09</v>
      </c>
      <c r="K9" s="329"/>
    </row>
    <row r="10" spans="1:19">
      <c r="A10" s="334">
        <v>4</v>
      </c>
      <c r="B10" s="354">
        <v>2081</v>
      </c>
      <c r="C10" s="328" t="s">
        <v>462</v>
      </c>
      <c r="D10" s="328" t="s">
        <v>425</v>
      </c>
      <c r="E10" s="329" t="s">
        <v>853</v>
      </c>
      <c r="F10" s="330">
        <v>2</v>
      </c>
      <c r="G10" s="331">
        <v>1607.22</v>
      </c>
      <c r="H10" s="332" t="s">
        <v>1006</v>
      </c>
      <c r="I10" s="332">
        <v>1607.22</v>
      </c>
      <c r="J10" s="333">
        <v>1607.22</v>
      </c>
      <c r="K10" s="329"/>
    </row>
    <row r="11" spans="1:19">
      <c r="A11" s="334">
        <v>5</v>
      </c>
      <c r="B11" s="354">
        <v>2274</v>
      </c>
      <c r="C11" s="328" t="s">
        <v>834</v>
      </c>
      <c r="D11" s="328" t="s">
        <v>835</v>
      </c>
      <c r="E11" s="329" t="s">
        <v>852</v>
      </c>
      <c r="F11" s="330"/>
      <c r="G11" s="331">
        <v>614.66</v>
      </c>
      <c r="H11" s="332" t="s">
        <v>1006</v>
      </c>
      <c r="I11" s="332">
        <v>614.65</v>
      </c>
      <c r="J11" s="333">
        <v>614.65</v>
      </c>
      <c r="K11" s="329"/>
    </row>
    <row r="12" spans="1:19">
      <c r="A12" s="334">
        <v>6</v>
      </c>
      <c r="B12" s="354">
        <v>1593</v>
      </c>
      <c r="C12" s="328" t="s">
        <v>460</v>
      </c>
      <c r="D12" s="328" t="s">
        <v>426</v>
      </c>
      <c r="E12" s="329" t="s">
        <v>852</v>
      </c>
      <c r="F12" s="330"/>
      <c r="G12" s="331">
        <v>1292.3599999999999</v>
      </c>
      <c r="H12" s="332" t="s">
        <v>1006</v>
      </c>
      <c r="I12" s="332">
        <v>1292.3499999999999</v>
      </c>
      <c r="J12" s="333">
        <v>1292.3499999999999</v>
      </c>
      <c r="K12" s="329"/>
    </row>
    <row r="13" spans="1:19">
      <c r="A13" s="334">
        <v>8</v>
      </c>
      <c r="B13" s="354">
        <v>2131</v>
      </c>
      <c r="C13" s="328" t="s">
        <v>745</v>
      </c>
      <c r="D13" s="338" t="s">
        <v>784</v>
      </c>
      <c r="E13" s="329" t="s">
        <v>852</v>
      </c>
      <c r="F13" s="330"/>
      <c r="G13" s="331">
        <v>587.34</v>
      </c>
      <c r="H13" s="332" t="s">
        <v>1006</v>
      </c>
      <c r="I13" s="332">
        <v>587.34</v>
      </c>
      <c r="J13" s="333">
        <v>587.34</v>
      </c>
      <c r="K13" s="329"/>
      <c r="O13" s="1"/>
      <c r="P13" s="1"/>
      <c r="Q13" s="1"/>
      <c r="R13" s="1"/>
      <c r="S13" s="1"/>
    </row>
    <row r="14" spans="1:19">
      <c r="A14" s="334">
        <v>7</v>
      </c>
      <c r="B14" s="354">
        <v>1751</v>
      </c>
      <c r="C14" s="328" t="s">
        <v>745</v>
      </c>
      <c r="D14" s="339" t="s">
        <v>838</v>
      </c>
      <c r="E14" s="329" t="s">
        <v>852</v>
      </c>
      <c r="F14" s="330"/>
      <c r="G14" s="331">
        <v>776.02</v>
      </c>
      <c r="H14" s="332" t="s">
        <v>1006</v>
      </c>
      <c r="I14" s="332">
        <v>776.01</v>
      </c>
      <c r="J14" s="333">
        <v>776.01</v>
      </c>
      <c r="K14" s="329"/>
    </row>
    <row r="15" spans="1:19">
      <c r="A15" s="334">
        <v>9</v>
      </c>
      <c r="B15" s="354">
        <v>2023</v>
      </c>
      <c r="C15" s="328" t="s">
        <v>745</v>
      </c>
      <c r="D15" s="339" t="s">
        <v>783</v>
      </c>
      <c r="E15" s="329" t="s">
        <v>852</v>
      </c>
      <c r="F15" s="330"/>
      <c r="G15" s="331">
        <v>618.62</v>
      </c>
      <c r="H15" s="332" t="s">
        <v>1006</v>
      </c>
      <c r="I15" s="332">
        <v>618.62</v>
      </c>
      <c r="J15" s="333">
        <v>618.62</v>
      </c>
      <c r="K15" s="328"/>
      <c r="O15" s="1"/>
      <c r="P15" s="1"/>
      <c r="Q15" s="1"/>
      <c r="R15" s="1"/>
      <c r="S15" s="1"/>
    </row>
    <row r="16" spans="1:19">
      <c r="A16" s="334"/>
      <c r="B16" s="374">
        <v>2302</v>
      </c>
      <c r="C16" s="336" t="s">
        <v>806</v>
      </c>
      <c r="D16" s="339" t="s">
        <v>952</v>
      </c>
      <c r="E16" s="329" t="s">
        <v>852</v>
      </c>
      <c r="F16" s="330"/>
      <c r="G16" s="331">
        <v>606.71</v>
      </c>
      <c r="H16" s="332" t="s">
        <v>1006</v>
      </c>
      <c r="I16" s="332">
        <v>606.71</v>
      </c>
      <c r="J16" s="333">
        <v>606.71</v>
      </c>
      <c r="K16" s="340"/>
      <c r="O16" s="1"/>
      <c r="P16" s="1"/>
      <c r="Q16" s="1"/>
      <c r="R16" s="1"/>
      <c r="S16" s="1"/>
    </row>
    <row r="17" spans="1:19">
      <c r="A17" s="334">
        <v>10</v>
      </c>
      <c r="B17" s="375">
        <v>2254</v>
      </c>
      <c r="C17" s="328" t="s">
        <v>840</v>
      </c>
      <c r="D17" s="328" t="s">
        <v>841</v>
      </c>
      <c r="E17" s="341" t="s">
        <v>855</v>
      </c>
      <c r="F17" s="330">
        <v>1</v>
      </c>
      <c r="G17" s="331">
        <v>1012.42</v>
      </c>
      <c r="H17" s="332">
        <v>626.58000000000004</v>
      </c>
      <c r="I17" s="332">
        <v>1639</v>
      </c>
      <c r="J17" s="333">
        <v>1638.99</v>
      </c>
      <c r="K17" s="329"/>
    </row>
    <row r="18" spans="1:19">
      <c r="A18" s="334"/>
      <c r="B18" s="354">
        <v>2318</v>
      </c>
      <c r="C18" s="328" t="s">
        <v>1018</v>
      </c>
      <c r="D18" s="328" t="s">
        <v>1019</v>
      </c>
      <c r="E18" s="382" t="s">
        <v>851</v>
      </c>
      <c r="F18" s="330"/>
      <c r="G18" s="331">
        <v>575.41999999999996</v>
      </c>
      <c r="H18" s="332">
        <v>594.79999999999995</v>
      </c>
      <c r="I18" s="332">
        <v>1170.22</v>
      </c>
      <c r="J18" s="333">
        <v>1170.22</v>
      </c>
      <c r="K18" s="161" t="s">
        <v>1020</v>
      </c>
    </row>
    <row r="19" spans="1:19">
      <c r="A19" s="334">
        <v>11</v>
      </c>
      <c r="B19" s="354">
        <v>1721</v>
      </c>
      <c r="C19" s="328" t="s">
        <v>746</v>
      </c>
      <c r="D19" s="328" t="s">
        <v>785</v>
      </c>
      <c r="E19" s="329" t="s">
        <v>854</v>
      </c>
      <c r="F19" s="330">
        <v>1</v>
      </c>
      <c r="G19" s="331">
        <v>1843.96</v>
      </c>
      <c r="H19" s="332" t="s">
        <v>1006</v>
      </c>
      <c r="I19" s="332">
        <v>1843.95</v>
      </c>
      <c r="J19" s="333">
        <v>1843.95</v>
      </c>
      <c r="K19" s="161"/>
    </row>
    <row r="20" spans="1:19">
      <c r="A20" s="334">
        <v>12</v>
      </c>
      <c r="B20" s="354">
        <v>2123</v>
      </c>
      <c r="C20" s="328" t="s">
        <v>746</v>
      </c>
      <c r="D20" s="328" t="s">
        <v>786</v>
      </c>
      <c r="E20" s="329" t="s">
        <v>852</v>
      </c>
      <c r="F20" s="330"/>
      <c r="G20" s="331">
        <v>626.58000000000004</v>
      </c>
      <c r="H20" s="332" t="s">
        <v>1006</v>
      </c>
      <c r="I20" s="332">
        <v>626.57000000000005</v>
      </c>
      <c r="J20" s="333">
        <v>626.57000000000005</v>
      </c>
      <c r="K20" s="161"/>
    </row>
    <row r="21" spans="1:19">
      <c r="A21" s="334">
        <v>13</v>
      </c>
      <c r="B21" s="354">
        <v>1970</v>
      </c>
      <c r="C21" s="328" t="s">
        <v>747</v>
      </c>
      <c r="D21" s="338" t="s">
        <v>787</v>
      </c>
      <c r="E21" s="329" t="s">
        <v>854</v>
      </c>
      <c r="F21" s="330">
        <v>1</v>
      </c>
      <c r="G21" s="331">
        <v>996.54</v>
      </c>
      <c r="H21" s="332" t="s">
        <v>1006</v>
      </c>
      <c r="I21" s="332">
        <v>996.53</v>
      </c>
      <c r="J21" s="333">
        <v>996.53</v>
      </c>
      <c r="K21" s="161"/>
    </row>
    <row r="22" spans="1:19">
      <c r="A22" s="334">
        <v>14</v>
      </c>
      <c r="B22" s="376" t="s">
        <v>934</v>
      </c>
      <c r="C22" s="328" t="s">
        <v>932</v>
      </c>
      <c r="D22" s="338" t="s">
        <v>933</v>
      </c>
      <c r="E22" s="329" t="s">
        <v>852</v>
      </c>
      <c r="F22" s="330"/>
      <c r="G22" s="331">
        <v>539.67999999999995</v>
      </c>
      <c r="H22" s="332" t="s">
        <v>1006</v>
      </c>
      <c r="I22" s="332">
        <v>1048.08</v>
      </c>
      <c r="J22" s="333">
        <v>539.67999999999995</v>
      </c>
      <c r="K22" s="188" t="s">
        <v>1012</v>
      </c>
    </row>
    <row r="23" spans="1:19">
      <c r="A23" s="334">
        <v>15</v>
      </c>
      <c r="B23" s="354">
        <v>1794</v>
      </c>
      <c r="C23" s="328" t="s">
        <v>466</v>
      </c>
      <c r="D23" s="328" t="s">
        <v>431</v>
      </c>
      <c r="E23" s="329" t="s">
        <v>853</v>
      </c>
      <c r="F23" s="330">
        <v>2</v>
      </c>
      <c r="G23" s="331">
        <v>1383.21</v>
      </c>
      <c r="H23" s="332" t="s">
        <v>1006</v>
      </c>
      <c r="I23" s="332">
        <v>1383.21</v>
      </c>
      <c r="J23" s="333">
        <v>1383.21</v>
      </c>
      <c r="K23" s="161"/>
      <c r="O23" s="1"/>
      <c r="P23" s="1"/>
      <c r="Q23" s="1"/>
      <c r="R23" s="1"/>
      <c r="S23" s="1"/>
    </row>
    <row r="24" spans="1:19">
      <c r="A24" s="334">
        <v>16</v>
      </c>
      <c r="B24" s="354">
        <v>2201</v>
      </c>
      <c r="C24" s="328" t="s">
        <v>748</v>
      </c>
      <c r="D24" s="338" t="s">
        <v>788</v>
      </c>
      <c r="E24" s="329" t="s">
        <v>852</v>
      </c>
      <c r="F24" s="330"/>
      <c r="G24" s="331">
        <v>1107.1600000000001</v>
      </c>
      <c r="H24" s="332" t="s">
        <v>1006</v>
      </c>
      <c r="I24" s="332">
        <v>1107.1600000000001</v>
      </c>
      <c r="J24" s="333">
        <v>1107.1600000000001</v>
      </c>
      <c r="K24" s="161"/>
    </row>
    <row r="25" spans="1:19">
      <c r="A25" s="334">
        <v>17</v>
      </c>
      <c r="B25" s="354">
        <v>2194</v>
      </c>
      <c r="C25" s="328" t="s">
        <v>749</v>
      </c>
      <c r="D25" s="338" t="s">
        <v>789</v>
      </c>
      <c r="E25" s="329" t="s">
        <v>852</v>
      </c>
      <c r="F25" s="330"/>
      <c r="G25" s="331">
        <v>539.67999999999995</v>
      </c>
      <c r="H25" s="332" t="s">
        <v>1006</v>
      </c>
      <c r="I25" s="332">
        <v>539.67999999999995</v>
      </c>
      <c r="J25" s="333">
        <v>539.67999999999995</v>
      </c>
      <c r="K25" s="161"/>
    </row>
    <row r="26" spans="1:19">
      <c r="A26" s="334"/>
      <c r="B26" s="354">
        <v>1961</v>
      </c>
      <c r="C26" s="328" t="s">
        <v>967</v>
      </c>
      <c r="D26" s="338" t="s">
        <v>968</v>
      </c>
      <c r="E26" s="329" t="s">
        <v>852</v>
      </c>
      <c r="F26" s="330"/>
      <c r="G26" s="331">
        <v>1209.94</v>
      </c>
      <c r="H26" s="332" t="s">
        <v>1006</v>
      </c>
      <c r="I26" s="332">
        <v>1209.94</v>
      </c>
      <c r="J26" s="333">
        <v>1209.94</v>
      </c>
      <c r="K26" s="161"/>
    </row>
    <row r="27" spans="1:19">
      <c r="A27" s="334">
        <v>18</v>
      </c>
      <c r="B27" s="354">
        <v>2289</v>
      </c>
      <c r="C27" s="328" t="s">
        <v>750</v>
      </c>
      <c r="D27" s="338" t="s">
        <v>790</v>
      </c>
      <c r="E27" s="329" t="s">
        <v>852</v>
      </c>
      <c r="F27" s="330"/>
      <c r="G27" s="331">
        <v>618.62</v>
      </c>
      <c r="H27" s="332" t="s">
        <v>1006</v>
      </c>
      <c r="I27" s="332">
        <v>618.62</v>
      </c>
      <c r="J27" s="333">
        <v>618.62</v>
      </c>
      <c r="K27" s="161"/>
    </row>
    <row r="28" spans="1:19">
      <c r="A28" s="334"/>
      <c r="B28" s="354">
        <v>2322</v>
      </c>
      <c r="C28" s="328" t="s">
        <v>1023</v>
      </c>
      <c r="D28" s="338" t="s">
        <v>1024</v>
      </c>
      <c r="E28" s="329" t="s">
        <v>852</v>
      </c>
      <c r="F28" s="330"/>
      <c r="G28" s="331"/>
      <c r="H28" s="332"/>
      <c r="I28" s="332">
        <v>496.49</v>
      </c>
      <c r="J28" s="333"/>
      <c r="K28" s="161" t="s">
        <v>1025</v>
      </c>
    </row>
    <row r="29" spans="1:19">
      <c r="A29" s="334">
        <v>20</v>
      </c>
      <c r="B29" s="354">
        <v>2250</v>
      </c>
      <c r="C29" s="328" t="s">
        <v>752</v>
      </c>
      <c r="D29" s="328" t="s">
        <v>792</v>
      </c>
      <c r="E29" s="329" t="s">
        <v>853</v>
      </c>
      <c r="F29" s="330">
        <v>2</v>
      </c>
      <c r="G29" s="331">
        <v>1414.18</v>
      </c>
      <c r="H29" s="332" t="s">
        <v>1006</v>
      </c>
      <c r="I29" s="332">
        <v>1414.17</v>
      </c>
      <c r="J29" s="333">
        <v>1414.17</v>
      </c>
      <c r="K29" s="161"/>
    </row>
    <row r="30" spans="1:19">
      <c r="A30" s="334">
        <v>21</v>
      </c>
      <c r="B30" s="354">
        <v>2193</v>
      </c>
      <c r="C30" s="328" t="s">
        <v>753</v>
      </c>
      <c r="D30" s="328" t="s">
        <v>794</v>
      </c>
      <c r="E30" s="329" t="s">
        <v>852</v>
      </c>
      <c r="F30" s="330"/>
      <c r="G30" s="331">
        <v>602.74</v>
      </c>
      <c r="H30" s="332" t="s">
        <v>1006</v>
      </c>
      <c r="I30" s="332">
        <v>602.73</v>
      </c>
      <c r="J30" s="333">
        <v>602.73</v>
      </c>
      <c r="K30" s="161"/>
    </row>
    <row r="31" spans="1:19">
      <c r="A31" s="334"/>
      <c r="B31" s="354">
        <v>2223</v>
      </c>
      <c r="C31" s="328" t="s">
        <v>972</v>
      </c>
      <c r="D31" s="328" t="s">
        <v>973</v>
      </c>
      <c r="E31" s="329" t="s">
        <v>852</v>
      </c>
      <c r="F31" s="330"/>
      <c r="G31" s="331">
        <v>508.4</v>
      </c>
      <c r="H31" s="332"/>
      <c r="I31" s="332">
        <v>508.4</v>
      </c>
      <c r="J31" s="333">
        <v>508.4</v>
      </c>
      <c r="K31" s="161"/>
    </row>
    <row r="32" spans="1:19">
      <c r="A32" s="334">
        <v>22</v>
      </c>
      <c r="B32" s="354">
        <v>640</v>
      </c>
      <c r="C32" s="328" t="s">
        <v>754</v>
      </c>
      <c r="D32" s="339" t="s">
        <v>795</v>
      </c>
      <c r="E32" s="329" t="s">
        <v>852</v>
      </c>
      <c r="F32" s="330"/>
      <c r="G32" s="331">
        <v>1209.94</v>
      </c>
      <c r="H32" s="332" t="s">
        <v>1006</v>
      </c>
      <c r="I32" s="332">
        <v>1209.94</v>
      </c>
      <c r="J32" s="333">
        <v>1209.94</v>
      </c>
      <c r="K32" s="329"/>
    </row>
    <row r="33" spans="1:19">
      <c r="A33" s="334">
        <v>23</v>
      </c>
      <c r="B33" s="354">
        <v>901</v>
      </c>
      <c r="C33" s="328" t="s">
        <v>439</v>
      </c>
      <c r="D33" s="328" t="s">
        <v>505</v>
      </c>
      <c r="E33" s="329" t="s">
        <v>852</v>
      </c>
      <c r="F33" s="330"/>
      <c r="G33" s="331">
        <v>1489.48</v>
      </c>
      <c r="H33" s="332" t="s">
        <v>1006</v>
      </c>
      <c r="I33" s="332">
        <v>1489.47</v>
      </c>
      <c r="J33" s="333">
        <v>1489.47</v>
      </c>
      <c r="K33" s="329"/>
    </row>
    <row r="34" spans="1:19">
      <c r="A34" s="334">
        <v>24</v>
      </c>
      <c r="B34" s="376" t="s">
        <v>675</v>
      </c>
      <c r="C34" s="328" t="s">
        <v>755</v>
      </c>
      <c r="D34" s="328" t="s">
        <v>796</v>
      </c>
      <c r="E34" s="329" t="s">
        <v>852</v>
      </c>
      <c r="F34" s="330"/>
      <c r="G34" s="331">
        <v>646.42999999999995</v>
      </c>
      <c r="H34" s="332" t="s">
        <v>1006</v>
      </c>
      <c r="I34" s="332">
        <v>646.42999999999995</v>
      </c>
      <c r="J34" s="333">
        <v>646.42999999999995</v>
      </c>
      <c r="K34" s="329"/>
    </row>
    <row r="35" spans="1:19">
      <c r="A35" s="334">
        <v>26</v>
      </c>
      <c r="B35" s="354">
        <v>1741</v>
      </c>
      <c r="C35" s="328" t="s">
        <v>755</v>
      </c>
      <c r="D35" s="328" t="s">
        <v>797</v>
      </c>
      <c r="E35" s="329" t="s">
        <v>852</v>
      </c>
      <c r="F35" s="330"/>
      <c r="G35" s="331">
        <v>1012.84</v>
      </c>
      <c r="H35" s="332" t="s">
        <v>1006</v>
      </c>
      <c r="I35" s="332">
        <v>1012.83</v>
      </c>
      <c r="J35" s="333">
        <v>1012.83</v>
      </c>
      <c r="K35" s="329"/>
    </row>
    <row r="36" spans="1:19">
      <c r="A36" s="334">
        <v>25</v>
      </c>
      <c r="B36" s="354">
        <v>1757</v>
      </c>
      <c r="C36" s="328" t="s">
        <v>755</v>
      </c>
      <c r="D36" s="338" t="s">
        <v>798</v>
      </c>
      <c r="E36" s="329" t="s">
        <v>853</v>
      </c>
      <c r="F36" s="330">
        <v>2</v>
      </c>
      <c r="G36" s="331">
        <v>1741.86</v>
      </c>
      <c r="H36" s="332" t="s">
        <v>1006</v>
      </c>
      <c r="I36" s="332">
        <v>1741.85</v>
      </c>
      <c r="J36" s="333">
        <v>1741.85</v>
      </c>
      <c r="K36" s="329"/>
      <c r="M36" s="12"/>
      <c r="N36" s="12"/>
      <c r="O36" s="12"/>
      <c r="P36" s="12"/>
      <c r="Q36" s="12"/>
      <c r="R36" s="12"/>
      <c r="S36" s="12"/>
    </row>
    <row r="37" spans="1:19">
      <c r="A37" s="334">
        <v>27</v>
      </c>
      <c r="B37" s="354">
        <v>2057</v>
      </c>
      <c r="C37" s="328" t="s">
        <v>756</v>
      </c>
      <c r="D37" s="338" t="s">
        <v>799</v>
      </c>
      <c r="E37" s="329" t="s">
        <v>852</v>
      </c>
      <c r="F37" s="330"/>
      <c r="G37" s="331">
        <v>1489.48</v>
      </c>
      <c r="H37" s="332" t="s">
        <v>1006</v>
      </c>
      <c r="I37" s="332">
        <v>1489.47</v>
      </c>
      <c r="J37" s="333">
        <v>1489.47</v>
      </c>
      <c r="K37" s="329"/>
    </row>
    <row r="38" spans="1:19">
      <c r="A38" s="334">
        <v>28</v>
      </c>
      <c r="B38" s="354">
        <v>1210</v>
      </c>
      <c r="C38" s="328" t="s">
        <v>756</v>
      </c>
      <c r="D38" s="338" t="s">
        <v>800</v>
      </c>
      <c r="E38" s="329" t="s">
        <v>852</v>
      </c>
      <c r="F38" s="330"/>
      <c r="G38" s="331">
        <v>1426.42</v>
      </c>
      <c r="H38" s="332" t="s">
        <v>1006</v>
      </c>
      <c r="I38" s="332">
        <v>1426.41</v>
      </c>
      <c r="J38" s="333">
        <v>1426.41</v>
      </c>
      <c r="K38" s="329"/>
    </row>
    <row r="39" spans="1:19">
      <c r="A39" s="334"/>
      <c r="B39" s="354">
        <v>2310</v>
      </c>
      <c r="C39" s="328" t="s">
        <v>756</v>
      </c>
      <c r="D39" s="338" t="s">
        <v>977</v>
      </c>
      <c r="E39" s="329" t="s">
        <v>852</v>
      </c>
      <c r="F39" s="330"/>
      <c r="G39" s="331">
        <v>811.76</v>
      </c>
      <c r="H39" s="332" t="s">
        <v>1006</v>
      </c>
      <c r="I39" s="332">
        <v>811.76</v>
      </c>
      <c r="J39" s="333">
        <v>811.76</v>
      </c>
      <c r="K39" s="329"/>
    </row>
    <row r="40" spans="1:19">
      <c r="A40" s="334">
        <v>29</v>
      </c>
      <c r="B40" s="354">
        <v>1460</v>
      </c>
      <c r="C40" s="328" t="s">
        <v>444</v>
      </c>
      <c r="D40" s="328" t="s">
        <v>506</v>
      </c>
      <c r="E40" s="329" t="s">
        <v>852</v>
      </c>
      <c r="F40" s="330"/>
      <c r="G40" s="331">
        <v>847.02</v>
      </c>
      <c r="H40" s="332" t="s">
        <v>1006</v>
      </c>
      <c r="I40" s="332">
        <v>847.01</v>
      </c>
      <c r="J40" s="333">
        <v>847.01</v>
      </c>
      <c r="K40" s="329"/>
    </row>
    <row r="41" spans="1:19">
      <c r="A41" s="334">
        <v>32</v>
      </c>
      <c r="B41" s="354">
        <v>2248</v>
      </c>
      <c r="C41" s="328" t="s">
        <v>757</v>
      </c>
      <c r="D41" s="328" t="s">
        <v>801</v>
      </c>
      <c r="E41" s="341" t="s">
        <v>856</v>
      </c>
      <c r="F41" s="330">
        <v>2</v>
      </c>
      <c r="G41" s="331">
        <v>1390.32</v>
      </c>
      <c r="H41" s="332">
        <v>614.66</v>
      </c>
      <c r="I41" s="332">
        <v>2004.98</v>
      </c>
      <c r="J41" s="333">
        <v>2004.98</v>
      </c>
      <c r="K41" s="329"/>
    </row>
    <row r="42" spans="1:19">
      <c r="A42" s="334"/>
      <c r="B42" s="354">
        <v>2319</v>
      </c>
      <c r="C42" s="328" t="s">
        <v>757</v>
      </c>
      <c r="D42" s="328" t="s">
        <v>1026</v>
      </c>
      <c r="E42" s="382" t="s">
        <v>852</v>
      </c>
      <c r="F42" s="330"/>
      <c r="G42" s="331">
        <v>594.79</v>
      </c>
      <c r="H42" s="332">
        <v>0</v>
      </c>
      <c r="I42" s="332">
        <v>594.79</v>
      </c>
      <c r="J42" s="333">
        <v>594.79</v>
      </c>
      <c r="K42" s="329" t="s">
        <v>961</v>
      </c>
    </row>
    <row r="43" spans="1:19">
      <c r="A43" s="334">
        <v>30</v>
      </c>
      <c r="B43" s="354">
        <v>2062</v>
      </c>
      <c r="C43" s="328" t="s">
        <v>757</v>
      </c>
      <c r="D43" s="328" t="s">
        <v>802</v>
      </c>
      <c r="E43" s="329" t="s">
        <v>854</v>
      </c>
      <c r="F43" s="330">
        <v>1</v>
      </c>
      <c r="G43" s="331">
        <v>1000.52</v>
      </c>
      <c r="H43" s="332" t="s">
        <v>1006</v>
      </c>
      <c r="I43" s="332">
        <v>1000.51</v>
      </c>
      <c r="J43" s="333">
        <v>1000.51</v>
      </c>
      <c r="K43" s="329"/>
    </row>
    <row r="44" spans="1:19">
      <c r="A44" s="334">
        <v>31</v>
      </c>
      <c r="B44" s="354">
        <v>2121</v>
      </c>
      <c r="C44" s="328" t="s">
        <v>757</v>
      </c>
      <c r="D44" s="328" t="s">
        <v>803</v>
      </c>
      <c r="E44" s="329" t="s">
        <v>852</v>
      </c>
      <c r="F44" s="330"/>
      <c r="G44" s="331">
        <v>594.79999999999995</v>
      </c>
      <c r="H44" s="332" t="s">
        <v>1006</v>
      </c>
      <c r="I44" s="332"/>
      <c r="J44" s="333">
        <v>594.79</v>
      </c>
      <c r="K44" s="161" t="s">
        <v>1015</v>
      </c>
    </row>
    <row r="45" spans="1:19">
      <c r="A45" s="334"/>
      <c r="B45" s="354">
        <v>2323</v>
      </c>
      <c r="C45" s="328" t="s">
        <v>1000</v>
      </c>
      <c r="D45" s="328" t="s">
        <v>1027</v>
      </c>
      <c r="E45" s="329" t="s">
        <v>852</v>
      </c>
      <c r="F45" s="330"/>
      <c r="G45" s="331"/>
      <c r="H45" s="332"/>
      <c r="I45" s="332">
        <v>496.49</v>
      </c>
      <c r="J45" s="333"/>
      <c r="K45" s="161" t="s">
        <v>1025</v>
      </c>
    </row>
    <row r="46" spans="1:19">
      <c r="A46" s="334"/>
      <c r="B46" s="354">
        <v>2313</v>
      </c>
      <c r="C46" s="328" t="s">
        <v>1000</v>
      </c>
      <c r="D46" s="328" t="s">
        <v>1001</v>
      </c>
      <c r="E46" s="329" t="s">
        <v>853</v>
      </c>
      <c r="F46" s="330">
        <v>2</v>
      </c>
      <c r="G46" s="331">
        <v>1551.2</v>
      </c>
      <c r="H46" s="332" t="s">
        <v>1006</v>
      </c>
      <c r="I46" s="332">
        <v>1551.2</v>
      </c>
      <c r="J46" s="333">
        <v>1551.2</v>
      </c>
      <c r="K46" s="29"/>
    </row>
    <row r="47" spans="1:19">
      <c r="A47" s="334"/>
      <c r="B47" s="354">
        <v>2019</v>
      </c>
      <c r="C47" s="328" t="s">
        <v>476</v>
      </c>
      <c r="D47" s="328" t="s">
        <v>447</v>
      </c>
      <c r="E47" s="329" t="s">
        <v>854</v>
      </c>
      <c r="F47" s="330">
        <v>1</v>
      </c>
      <c r="G47" s="331">
        <v>1051.6400000000001</v>
      </c>
      <c r="H47" s="332" t="s">
        <v>1006</v>
      </c>
      <c r="I47" s="332">
        <v>1051.6400000000001</v>
      </c>
      <c r="J47" s="333">
        <v>1051.6400000000001</v>
      </c>
      <c r="K47" s="380"/>
    </row>
    <row r="48" spans="1:19">
      <c r="A48" s="334">
        <v>34</v>
      </c>
      <c r="B48" s="354">
        <v>2278</v>
      </c>
      <c r="C48" s="328" t="s">
        <v>758</v>
      </c>
      <c r="D48" s="328" t="s">
        <v>805</v>
      </c>
      <c r="E48" s="329" t="s">
        <v>852</v>
      </c>
      <c r="F48" s="330"/>
      <c r="G48" s="331">
        <v>539.67999999999995</v>
      </c>
      <c r="H48" s="332" t="s">
        <v>1006</v>
      </c>
      <c r="I48" s="332">
        <v>539.67999999999995</v>
      </c>
      <c r="J48" s="333">
        <v>539.67999999999995</v>
      </c>
      <c r="K48" s="161"/>
    </row>
    <row r="49" spans="1:11">
      <c r="A49" s="334">
        <v>35</v>
      </c>
      <c r="B49" s="354">
        <v>2172</v>
      </c>
      <c r="C49" s="328" t="s">
        <v>478</v>
      </c>
      <c r="D49" s="328" t="s">
        <v>448</v>
      </c>
      <c r="E49" s="329" t="s">
        <v>852</v>
      </c>
      <c r="F49" s="330"/>
      <c r="G49" s="331">
        <v>1489.48</v>
      </c>
      <c r="H49" s="332" t="s">
        <v>1006</v>
      </c>
      <c r="I49" s="332">
        <v>1489.47</v>
      </c>
      <c r="J49" s="333">
        <v>1489.47</v>
      </c>
      <c r="K49" s="161"/>
    </row>
    <row r="50" spans="1:11">
      <c r="A50" s="334">
        <v>36</v>
      </c>
      <c r="B50" s="354">
        <v>2082</v>
      </c>
      <c r="C50" s="328" t="s">
        <v>759</v>
      </c>
      <c r="D50" s="338" t="s">
        <v>806</v>
      </c>
      <c r="E50" s="329" t="s">
        <v>852</v>
      </c>
      <c r="F50" s="330"/>
      <c r="G50" s="331">
        <v>602.74</v>
      </c>
      <c r="H50" s="332" t="s">
        <v>1006</v>
      </c>
      <c r="I50" s="332">
        <v>602.73</v>
      </c>
      <c r="J50" s="333">
        <v>602.73</v>
      </c>
      <c r="K50" s="329"/>
    </row>
    <row r="51" spans="1:11">
      <c r="A51" s="334">
        <v>37</v>
      </c>
      <c r="B51" s="354">
        <v>2119</v>
      </c>
      <c r="C51" s="328" t="s">
        <v>760</v>
      </c>
      <c r="D51" s="328" t="s">
        <v>807</v>
      </c>
      <c r="E51" s="329" t="s">
        <v>852</v>
      </c>
      <c r="F51" s="330"/>
      <c r="G51" s="331">
        <v>508.4</v>
      </c>
      <c r="H51" s="332" t="s">
        <v>1006</v>
      </c>
      <c r="I51" s="332">
        <v>508.4</v>
      </c>
      <c r="J51" s="333">
        <v>508.4</v>
      </c>
      <c r="K51" s="329"/>
    </row>
    <row r="52" spans="1:11">
      <c r="A52" s="334"/>
      <c r="B52" s="354">
        <v>2315</v>
      </c>
      <c r="C52" s="328" t="s">
        <v>1004</v>
      </c>
      <c r="D52" s="328" t="s">
        <v>1005</v>
      </c>
      <c r="E52" s="329" t="s">
        <v>852</v>
      </c>
      <c r="F52" s="330"/>
      <c r="G52" s="331">
        <v>614.65</v>
      </c>
      <c r="H52" s="332" t="s">
        <v>1006</v>
      </c>
      <c r="I52" s="332">
        <v>614.65</v>
      </c>
      <c r="J52" s="333">
        <v>614.65</v>
      </c>
      <c r="K52" s="380"/>
    </row>
    <row r="53" spans="1:11">
      <c r="A53" s="334">
        <v>38</v>
      </c>
      <c r="B53" s="354">
        <v>2273</v>
      </c>
      <c r="C53" s="328" t="s">
        <v>761</v>
      </c>
      <c r="D53" s="328" t="s">
        <v>808</v>
      </c>
      <c r="E53" s="329" t="s">
        <v>852</v>
      </c>
      <c r="F53" s="330"/>
      <c r="G53" s="331">
        <v>539.67999999999995</v>
      </c>
      <c r="H53" s="332" t="s">
        <v>1006</v>
      </c>
      <c r="I53" s="332">
        <v>539.67999999999995</v>
      </c>
      <c r="J53" s="333">
        <v>539.67999999999995</v>
      </c>
      <c r="K53" s="329"/>
    </row>
    <row r="54" spans="1:11">
      <c r="A54" s="334">
        <v>40</v>
      </c>
      <c r="B54" s="354">
        <v>1975</v>
      </c>
      <c r="C54" s="328" t="s">
        <v>762</v>
      </c>
      <c r="D54" s="328" t="s">
        <v>810</v>
      </c>
      <c r="E54" s="329" t="s">
        <v>854</v>
      </c>
      <c r="F54" s="330">
        <v>1</v>
      </c>
      <c r="G54" s="331">
        <v>1008.46</v>
      </c>
      <c r="H54" s="332" t="s">
        <v>1006</v>
      </c>
      <c r="I54" s="332">
        <v>1008.45</v>
      </c>
      <c r="J54" s="333">
        <v>1008.45</v>
      </c>
      <c r="K54" s="329"/>
    </row>
    <row r="55" spans="1:11">
      <c r="A55" s="334">
        <v>41</v>
      </c>
      <c r="B55" s="354">
        <v>2203</v>
      </c>
      <c r="C55" s="328" t="s">
        <v>763</v>
      </c>
      <c r="D55" s="328" t="s">
        <v>811</v>
      </c>
      <c r="E55" s="329" t="s">
        <v>852</v>
      </c>
      <c r="F55" s="330"/>
      <c r="G55" s="331">
        <v>606.72</v>
      </c>
      <c r="H55" s="332" t="s">
        <v>1006</v>
      </c>
      <c r="I55" s="332">
        <v>606.71</v>
      </c>
      <c r="J55" s="333">
        <v>606.71</v>
      </c>
      <c r="K55" s="329"/>
    </row>
    <row r="56" spans="1:11">
      <c r="A56" s="334">
        <v>42</v>
      </c>
      <c r="B56" s="354">
        <v>2235</v>
      </c>
      <c r="C56" s="328" t="s">
        <v>764</v>
      </c>
      <c r="D56" s="328" t="s">
        <v>812</v>
      </c>
      <c r="E56" s="329" t="s">
        <v>854</v>
      </c>
      <c r="F56" s="330">
        <v>1</v>
      </c>
      <c r="G56" s="331">
        <v>1169.82</v>
      </c>
      <c r="H56" s="332" t="s">
        <v>1006</v>
      </c>
      <c r="I56" s="332">
        <v>1169.81</v>
      </c>
      <c r="J56" s="333">
        <v>1169.81</v>
      </c>
      <c r="K56" s="329"/>
    </row>
    <row r="57" spans="1:11">
      <c r="A57" s="334">
        <v>43</v>
      </c>
      <c r="B57" s="354">
        <v>2245</v>
      </c>
      <c r="C57" s="328" t="s">
        <v>765</v>
      </c>
      <c r="D57" s="328" t="s">
        <v>813</v>
      </c>
      <c r="E57" s="329" t="s">
        <v>854</v>
      </c>
      <c r="F57" s="330">
        <v>1</v>
      </c>
      <c r="G57" s="331">
        <v>1406.64</v>
      </c>
      <c r="H57" s="332" t="s">
        <v>1006</v>
      </c>
      <c r="I57" s="332">
        <v>1406.63</v>
      </c>
      <c r="J57" s="333">
        <v>1406.63</v>
      </c>
      <c r="K57" s="329"/>
    </row>
    <row r="58" spans="1:11">
      <c r="A58" s="334">
        <v>44</v>
      </c>
      <c r="B58" s="354">
        <v>2001</v>
      </c>
      <c r="C58" s="328" t="s">
        <v>766</v>
      </c>
      <c r="D58" s="338" t="s">
        <v>814</v>
      </c>
      <c r="E58" s="329" t="s">
        <v>852</v>
      </c>
      <c r="F58" s="330"/>
      <c r="G58" s="331">
        <v>1158.3</v>
      </c>
      <c r="H58" s="332" t="s">
        <v>1006</v>
      </c>
      <c r="I58" s="332">
        <v>1158.3</v>
      </c>
      <c r="J58" s="333">
        <v>1158.3</v>
      </c>
      <c r="K58" s="329"/>
    </row>
    <row r="59" spans="1:11">
      <c r="A59" s="334">
        <v>45</v>
      </c>
      <c r="B59" s="354">
        <v>2160</v>
      </c>
      <c r="C59" s="328" t="s">
        <v>767</v>
      </c>
      <c r="D59" s="338" t="s">
        <v>815</v>
      </c>
      <c r="E59" s="329" t="s">
        <v>854</v>
      </c>
      <c r="F59" s="330">
        <v>1</v>
      </c>
      <c r="G59" s="331">
        <v>1706.44</v>
      </c>
      <c r="H59" s="332" t="s">
        <v>1006</v>
      </c>
      <c r="I59" s="332">
        <v>1706.43</v>
      </c>
      <c r="J59" s="333">
        <v>1706.43</v>
      </c>
      <c r="K59" s="329"/>
    </row>
    <row r="60" spans="1:11">
      <c r="A60" s="334">
        <v>47</v>
      </c>
      <c r="B60" s="354">
        <v>2279</v>
      </c>
      <c r="C60" s="328" t="s">
        <v>769</v>
      </c>
      <c r="D60" s="328" t="s">
        <v>843</v>
      </c>
      <c r="E60" s="329" t="s">
        <v>852</v>
      </c>
      <c r="F60" s="330"/>
      <c r="G60" s="331">
        <v>498.48</v>
      </c>
      <c r="H60" s="332" t="s">
        <v>1006</v>
      </c>
      <c r="I60" s="332">
        <v>498.47</v>
      </c>
      <c r="J60" s="333">
        <v>498.47</v>
      </c>
      <c r="K60" s="161"/>
    </row>
    <row r="61" spans="1:11">
      <c r="A61" s="334">
        <v>48</v>
      </c>
      <c r="B61" s="354">
        <v>2246</v>
      </c>
      <c r="C61" s="328" t="s">
        <v>769</v>
      </c>
      <c r="D61" s="338" t="s">
        <v>817</v>
      </c>
      <c r="E61" s="329" t="s">
        <v>852</v>
      </c>
      <c r="F61" s="330"/>
      <c r="G61" s="331">
        <v>587.34</v>
      </c>
      <c r="H61" s="332" t="s">
        <v>1006</v>
      </c>
      <c r="I61" s="332">
        <v>587.34</v>
      </c>
      <c r="J61" s="333">
        <v>587.34</v>
      </c>
      <c r="K61" s="188"/>
    </row>
    <row r="62" spans="1:11">
      <c r="A62" s="334">
        <v>49</v>
      </c>
      <c r="B62" s="354">
        <v>2018</v>
      </c>
      <c r="C62" s="328" t="s">
        <v>770</v>
      </c>
      <c r="D62" s="328" t="s">
        <v>818</v>
      </c>
      <c r="E62" s="329" t="s">
        <v>852</v>
      </c>
      <c r="F62" s="330"/>
      <c r="G62" s="331">
        <v>1465.64</v>
      </c>
      <c r="H62" s="332" t="s">
        <v>1006</v>
      </c>
      <c r="I62" s="332">
        <v>1465.63</v>
      </c>
      <c r="J62" s="333">
        <v>1465.63</v>
      </c>
      <c r="K62" s="161"/>
    </row>
    <row r="63" spans="1:11">
      <c r="A63" s="334">
        <v>50</v>
      </c>
      <c r="B63" s="354">
        <v>1692</v>
      </c>
      <c r="C63" s="328" t="s">
        <v>771</v>
      </c>
      <c r="D63" s="338" t="s">
        <v>819</v>
      </c>
      <c r="E63" s="329" t="s">
        <v>854</v>
      </c>
      <c r="F63" s="330">
        <v>1</v>
      </c>
      <c r="G63" s="331">
        <v>1706.44</v>
      </c>
      <c r="H63" s="332" t="s">
        <v>1006</v>
      </c>
      <c r="I63" s="332">
        <v>1706.43</v>
      </c>
      <c r="J63" s="333">
        <v>1706.43</v>
      </c>
      <c r="K63" s="161"/>
    </row>
    <row r="64" spans="1:11">
      <c r="A64" s="334"/>
      <c r="B64" s="354">
        <v>2027</v>
      </c>
      <c r="C64" s="328" t="s">
        <v>771</v>
      </c>
      <c r="D64" s="338" t="s">
        <v>982</v>
      </c>
      <c r="E64" s="329" t="s">
        <v>852</v>
      </c>
      <c r="F64" s="330"/>
      <c r="G64" s="331">
        <v>602.73</v>
      </c>
      <c r="H64" s="332" t="s">
        <v>1006</v>
      </c>
      <c r="I64" s="332">
        <v>602.73</v>
      </c>
      <c r="J64" s="333">
        <v>602.73</v>
      </c>
      <c r="K64" s="329"/>
    </row>
    <row r="65" spans="1:15">
      <c r="A65" s="334">
        <v>52</v>
      </c>
      <c r="B65" s="354">
        <v>2060</v>
      </c>
      <c r="C65" s="328" t="s">
        <v>487</v>
      </c>
      <c r="D65" s="328" t="s">
        <v>516</v>
      </c>
      <c r="E65" s="329" t="s">
        <v>852</v>
      </c>
      <c r="F65" s="330"/>
      <c r="G65" s="331">
        <v>925.96</v>
      </c>
      <c r="H65" s="332" t="s">
        <v>1006</v>
      </c>
      <c r="I65" s="332">
        <v>925.95</v>
      </c>
      <c r="J65" s="333">
        <v>925.95</v>
      </c>
      <c r="K65" s="329"/>
    </row>
    <row r="66" spans="1:15">
      <c r="A66" s="334">
        <v>54</v>
      </c>
      <c r="B66" s="354">
        <v>1050</v>
      </c>
      <c r="C66" s="328" t="s">
        <v>773</v>
      </c>
      <c r="D66" s="328" t="s">
        <v>821</v>
      </c>
      <c r="E66" s="329" t="s">
        <v>852</v>
      </c>
      <c r="F66" s="330"/>
      <c r="G66" s="331">
        <v>1489.48</v>
      </c>
      <c r="H66" s="332" t="s">
        <v>1006</v>
      </c>
      <c r="I66" s="332">
        <v>1489.47</v>
      </c>
      <c r="J66" s="333">
        <v>1489.47</v>
      </c>
      <c r="K66" s="329"/>
    </row>
    <row r="67" spans="1:15">
      <c r="A67" s="334">
        <v>55</v>
      </c>
      <c r="B67" s="354">
        <v>1964</v>
      </c>
      <c r="C67" s="328" t="s">
        <v>491</v>
      </c>
      <c r="D67" s="328" t="s">
        <v>456</v>
      </c>
      <c r="E67" s="329" t="s">
        <v>852</v>
      </c>
      <c r="F67" s="330"/>
      <c r="G67" s="331">
        <v>744.74</v>
      </c>
      <c r="H67" s="332" t="s">
        <v>1006</v>
      </c>
      <c r="I67" s="332">
        <v>744.73</v>
      </c>
      <c r="J67" s="333">
        <v>744.73</v>
      </c>
      <c r="K67" s="329"/>
    </row>
    <row r="68" spans="1:15">
      <c r="A68" s="334">
        <v>57</v>
      </c>
      <c r="B68" s="354">
        <v>1981</v>
      </c>
      <c r="C68" s="328" t="s">
        <v>774</v>
      </c>
      <c r="D68" s="338" t="s">
        <v>822</v>
      </c>
      <c r="E68" s="329" t="s">
        <v>852</v>
      </c>
      <c r="F68" s="330"/>
      <c r="G68" s="331">
        <v>618.62</v>
      </c>
      <c r="H68" s="332" t="s">
        <v>1006</v>
      </c>
      <c r="I68" s="332">
        <v>618.62</v>
      </c>
      <c r="J68" s="333">
        <v>618.62</v>
      </c>
      <c r="K68" s="329"/>
    </row>
    <row r="69" spans="1:15">
      <c r="A69" s="334">
        <v>56</v>
      </c>
      <c r="B69" s="354">
        <v>1662</v>
      </c>
      <c r="C69" s="328" t="s">
        <v>774</v>
      </c>
      <c r="D69" s="328" t="s">
        <v>823</v>
      </c>
      <c r="E69" s="329" t="s">
        <v>852</v>
      </c>
      <c r="F69" s="330"/>
      <c r="G69" s="331">
        <v>776.01</v>
      </c>
      <c r="H69" s="332" t="s">
        <v>1006</v>
      </c>
      <c r="I69" s="332">
        <v>776.01</v>
      </c>
      <c r="J69" s="333">
        <v>776.01</v>
      </c>
      <c r="K69" s="329"/>
    </row>
    <row r="70" spans="1:15">
      <c r="A70" s="334"/>
      <c r="B70" s="354">
        <v>1708</v>
      </c>
      <c r="C70" s="328" t="s">
        <v>751</v>
      </c>
      <c r="D70" s="328" t="s">
        <v>791</v>
      </c>
      <c r="E70" s="329" t="s">
        <v>852</v>
      </c>
      <c r="F70" s="330"/>
      <c r="G70" s="331">
        <v>1489.48</v>
      </c>
      <c r="H70" s="332" t="s">
        <v>1006</v>
      </c>
      <c r="I70" s="332">
        <v>1489.47</v>
      </c>
      <c r="J70" s="333">
        <v>1489.47</v>
      </c>
      <c r="K70" s="329"/>
    </row>
    <row r="71" spans="1:15">
      <c r="A71" s="334">
        <v>58</v>
      </c>
      <c r="B71" s="354">
        <v>1630</v>
      </c>
      <c r="C71" s="328" t="s">
        <v>775</v>
      </c>
      <c r="D71" s="338" t="s">
        <v>824</v>
      </c>
      <c r="E71" s="329" t="s">
        <v>852</v>
      </c>
      <c r="F71" s="330"/>
      <c r="G71" s="331">
        <v>1060</v>
      </c>
      <c r="H71" s="332" t="s">
        <v>1006</v>
      </c>
      <c r="I71" s="332">
        <v>1060</v>
      </c>
      <c r="J71" s="333">
        <v>1060</v>
      </c>
      <c r="K71" s="329"/>
    </row>
    <row r="72" spans="1:15">
      <c r="A72" s="334">
        <v>59</v>
      </c>
      <c r="B72" s="354">
        <v>2212</v>
      </c>
      <c r="C72" s="328" t="s">
        <v>776</v>
      </c>
      <c r="D72" s="338" t="s">
        <v>825</v>
      </c>
      <c r="E72" s="329" t="s">
        <v>852</v>
      </c>
      <c r="F72" s="330"/>
      <c r="G72" s="331">
        <v>594.79999999999995</v>
      </c>
      <c r="H72" s="332" t="s">
        <v>1006</v>
      </c>
      <c r="I72" s="332">
        <v>594.79</v>
      </c>
      <c r="J72" s="333">
        <v>594.79</v>
      </c>
      <c r="K72" s="329"/>
    </row>
    <row r="73" spans="1:15">
      <c r="A73" s="334">
        <v>61</v>
      </c>
      <c r="B73" s="354">
        <v>2010</v>
      </c>
      <c r="C73" s="328" t="s">
        <v>777</v>
      </c>
      <c r="D73" s="328" t="s">
        <v>826</v>
      </c>
      <c r="E73" s="329" t="s">
        <v>852</v>
      </c>
      <c r="F73" s="330"/>
      <c r="G73" s="331">
        <v>886.72</v>
      </c>
      <c r="H73" s="332" t="s">
        <v>1006</v>
      </c>
      <c r="I73" s="332">
        <v>886.72</v>
      </c>
      <c r="J73" s="335">
        <v>886.72</v>
      </c>
      <c r="K73" s="329"/>
    </row>
    <row r="74" spans="1:15">
      <c r="A74" s="334">
        <v>60</v>
      </c>
      <c r="B74" s="354">
        <v>2187</v>
      </c>
      <c r="C74" s="328" t="s">
        <v>777</v>
      </c>
      <c r="D74" s="328" t="s">
        <v>827</v>
      </c>
      <c r="E74" s="329" t="s">
        <v>853</v>
      </c>
      <c r="F74" s="330">
        <v>2</v>
      </c>
      <c r="G74" s="331">
        <v>1681.28</v>
      </c>
      <c r="H74" s="332" t="s">
        <v>1006</v>
      </c>
      <c r="I74" s="332">
        <v>1681.28</v>
      </c>
      <c r="J74" s="333">
        <v>1681.28</v>
      </c>
      <c r="K74" s="329"/>
    </row>
    <row r="75" spans="1:15">
      <c r="A75" s="334">
        <v>62</v>
      </c>
      <c r="B75" s="354">
        <v>2095</v>
      </c>
      <c r="C75" s="328" t="s">
        <v>778</v>
      </c>
      <c r="D75" s="338" t="s">
        <v>828</v>
      </c>
      <c r="E75" s="329" t="s">
        <v>852</v>
      </c>
      <c r="F75" s="330"/>
      <c r="G75" s="331">
        <v>587.34</v>
      </c>
      <c r="H75" s="332" t="s">
        <v>1006</v>
      </c>
      <c r="I75" s="332">
        <v>587.34</v>
      </c>
      <c r="J75" s="333">
        <v>587.34</v>
      </c>
      <c r="K75" s="329"/>
    </row>
    <row r="76" spans="1:15">
      <c r="A76" s="334">
        <v>63</v>
      </c>
      <c r="B76" s="354">
        <v>2064</v>
      </c>
      <c r="C76" s="328" t="s">
        <v>778</v>
      </c>
      <c r="D76" s="338" t="s">
        <v>829</v>
      </c>
      <c r="E76" s="341" t="s">
        <v>856</v>
      </c>
      <c r="F76" s="330">
        <v>2</v>
      </c>
      <c r="G76" s="331">
        <v>1402.26</v>
      </c>
      <c r="H76" s="332">
        <v>657.84</v>
      </c>
      <c r="I76" s="332">
        <v>2060.1</v>
      </c>
      <c r="J76" s="333">
        <v>2060.09</v>
      </c>
      <c r="K76" s="329"/>
    </row>
    <row r="77" spans="1:15">
      <c r="A77" s="334"/>
      <c r="B77" s="354">
        <v>2089</v>
      </c>
      <c r="C77" s="328" t="s">
        <v>870</v>
      </c>
      <c r="D77" s="338" t="s">
        <v>1007</v>
      </c>
      <c r="E77" s="329" t="s">
        <v>852</v>
      </c>
      <c r="F77" s="330"/>
      <c r="G77" s="331">
        <v>587.34</v>
      </c>
      <c r="H77" s="332" t="s">
        <v>1006</v>
      </c>
      <c r="I77" s="332">
        <v>587.34</v>
      </c>
      <c r="J77" s="333">
        <v>587.34</v>
      </c>
      <c r="K77" s="329"/>
    </row>
    <row r="78" spans="1:15">
      <c r="A78" s="296"/>
      <c r="B78" s="66"/>
      <c r="C78" s="29"/>
      <c r="D78" s="29"/>
      <c r="E78" s="342"/>
      <c r="F78" s="343"/>
      <c r="G78" s="344"/>
      <c r="H78" s="345">
        <f>SUM(H5:H77)</f>
        <v>2493.88</v>
      </c>
      <c r="I78" s="344"/>
      <c r="J78" s="346"/>
      <c r="K78" s="385"/>
      <c r="L78" s="216"/>
      <c r="N78" s="15"/>
      <c r="O78" s="15"/>
    </row>
    <row r="79" spans="1:15">
      <c r="A79" s="296"/>
      <c r="E79" s="342"/>
      <c r="F79" s="343"/>
      <c r="G79" s="344"/>
      <c r="H79" s="344"/>
      <c r="I79" s="344"/>
      <c r="J79" s="346"/>
      <c r="K79" s="385"/>
      <c r="L79" s="216"/>
      <c r="N79" s="15"/>
      <c r="O79" s="15"/>
    </row>
    <row r="80" spans="1:15">
      <c r="A80" s="438" t="s">
        <v>652</v>
      </c>
      <c r="B80" s="439"/>
      <c r="C80" s="439"/>
      <c r="D80" s="439"/>
      <c r="E80" s="439"/>
      <c r="F80" s="439"/>
      <c r="G80" s="440"/>
      <c r="H80" s="347"/>
      <c r="I80" s="348">
        <f>SUM(I5:I77)</f>
        <v>73605.100000000006</v>
      </c>
      <c r="J80" s="383">
        <f>SUM(J5:J77)</f>
        <v>72698.490000000005</v>
      </c>
      <c r="K80" s="386"/>
    </row>
    <row r="81" spans="1:19">
      <c r="A81" s="441" t="s">
        <v>1028</v>
      </c>
      <c r="B81" s="442"/>
      <c r="C81" s="443"/>
      <c r="D81" s="351"/>
      <c r="E81" s="352" t="s">
        <v>258</v>
      </c>
      <c r="F81" s="334">
        <v>72</v>
      </c>
      <c r="G81" s="329" t="s">
        <v>1029</v>
      </c>
      <c r="H81" s="351"/>
      <c r="I81" s="352" t="s">
        <v>258</v>
      </c>
      <c r="J81" s="343">
        <v>71</v>
      </c>
      <c r="K81" s="161"/>
    </row>
    <row r="82" spans="1:19">
      <c r="A82" s="353"/>
      <c r="B82" s="352"/>
      <c r="C82" s="351"/>
      <c r="D82" s="351"/>
      <c r="E82" s="351" t="s">
        <v>930</v>
      </c>
      <c r="F82" s="330">
        <v>5</v>
      </c>
      <c r="G82" s="329"/>
      <c r="H82" s="351"/>
      <c r="I82" s="351" t="s">
        <v>930</v>
      </c>
      <c r="J82" s="343">
        <v>4</v>
      </c>
      <c r="K82" s="161"/>
    </row>
    <row r="83" spans="1:19">
      <c r="A83" s="441"/>
      <c r="B83" s="442"/>
      <c r="C83" s="443"/>
      <c r="D83" s="351"/>
      <c r="E83" s="352" t="s">
        <v>931</v>
      </c>
      <c r="F83" s="355">
        <v>27</v>
      </c>
      <c r="G83" s="329"/>
      <c r="H83" s="351"/>
      <c r="I83" s="352" t="s">
        <v>931</v>
      </c>
      <c r="J83" s="343">
        <v>27</v>
      </c>
      <c r="K83" s="161"/>
    </row>
    <row r="84" spans="1:19">
      <c r="A84" s="444"/>
      <c r="B84" s="445"/>
      <c r="C84" s="446"/>
      <c r="D84" s="356"/>
      <c r="E84" s="357" t="s">
        <v>246</v>
      </c>
      <c r="F84" s="358">
        <v>104</v>
      </c>
      <c r="G84" s="329"/>
      <c r="H84" s="356"/>
      <c r="I84" s="357" t="s">
        <v>246</v>
      </c>
      <c r="J84" s="384">
        <v>102</v>
      </c>
      <c r="K84" s="161"/>
    </row>
    <row r="85" spans="1:19">
      <c r="A85" s="447" t="s">
        <v>830</v>
      </c>
      <c r="B85" s="448"/>
      <c r="C85" s="448"/>
      <c r="D85" s="448"/>
      <c r="E85" s="448"/>
      <c r="F85" s="448"/>
      <c r="G85" s="449"/>
      <c r="H85" s="359"/>
      <c r="I85" s="359"/>
      <c r="J85" s="360"/>
      <c r="K85" s="387"/>
      <c r="M85" s="15"/>
    </row>
    <row r="86" spans="1:19">
      <c r="A86" s="7"/>
      <c r="B86" s="354">
        <v>2305</v>
      </c>
      <c r="C86" s="328" t="s">
        <v>959</v>
      </c>
      <c r="D86" s="328" t="s">
        <v>960</v>
      </c>
      <c r="E86" s="329" t="s">
        <v>852</v>
      </c>
      <c r="F86" s="330"/>
      <c r="G86" s="331">
        <v>-1347.46</v>
      </c>
      <c r="H86" s="332" t="s">
        <v>1006</v>
      </c>
      <c r="I86" s="331">
        <v>-1347.46</v>
      </c>
      <c r="J86" s="331">
        <v>-1347.46</v>
      </c>
      <c r="K86" s="161" t="s">
        <v>1016</v>
      </c>
      <c r="M86" s="15"/>
    </row>
    <row r="87" spans="1:19">
      <c r="A87" s="334"/>
      <c r="B87" s="354">
        <v>2305</v>
      </c>
      <c r="C87" s="328" t="s">
        <v>959</v>
      </c>
      <c r="D87" s="328" t="s">
        <v>960</v>
      </c>
      <c r="E87" s="329" t="s">
        <v>852</v>
      </c>
      <c r="F87" s="330"/>
      <c r="G87" s="331">
        <v>-1347.46</v>
      </c>
      <c r="H87" s="332" t="s">
        <v>1006</v>
      </c>
      <c r="I87" s="331">
        <v>-1347.46</v>
      </c>
      <c r="J87" s="331">
        <v>-1347.46</v>
      </c>
      <c r="K87" s="161" t="s">
        <v>1017</v>
      </c>
      <c r="M87" s="15"/>
    </row>
    <row r="88" spans="1:19">
      <c r="A88" s="361"/>
      <c r="B88" s="354">
        <v>2318</v>
      </c>
      <c r="C88" s="328" t="s">
        <v>1018</v>
      </c>
      <c r="D88" s="328" t="s">
        <v>1019</v>
      </c>
      <c r="E88" s="382" t="s">
        <v>851</v>
      </c>
      <c r="F88" s="330"/>
      <c r="G88" s="331">
        <v>575.41999999999996</v>
      </c>
      <c r="H88" s="332">
        <v>594.79999999999995</v>
      </c>
      <c r="I88" s="332">
        <v>1170.22</v>
      </c>
      <c r="J88" s="333">
        <v>1170.22</v>
      </c>
      <c r="K88" s="196" t="s">
        <v>1021</v>
      </c>
      <c r="L88" s="362"/>
      <c r="M88" s="363"/>
      <c r="N88" s="362"/>
      <c r="O88" s="362"/>
      <c r="P88" s="362"/>
      <c r="Q88" s="362"/>
      <c r="R88" s="362"/>
      <c r="S88" s="362"/>
    </row>
    <row r="89" spans="1:19">
      <c r="A89" s="361"/>
      <c r="B89" s="354">
        <v>2318</v>
      </c>
      <c r="C89" s="328" t="s">
        <v>1018</v>
      </c>
      <c r="D89" s="328" t="s">
        <v>1019</v>
      </c>
      <c r="E89" s="382" t="s">
        <v>851</v>
      </c>
      <c r="F89" s="330"/>
      <c r="G89" s="331">
        <v>575.41999999999996</v>
      </c>
      <c r="H89" s="332">
        <v>594.79999999999995</v>
      </c>
      <c r="I89" s="332">
        <v>1170.22</v>
      </c>
      <c r="J89" s="333">
        <v>1170.22</v>
      </c>
      <c r="K89" s="196" t="s">
        <v>1022</v>
      </c>
      <c r="L89" s="362"/>
      <c r="M89" s="363"/>
      <c r="N89" s="362"/>
      <c r="O89" s="362"/>
      <c r="P89" s="362"/>
      <c r="Q89" s="362"/>
      <c r="R89" s="362"/>
      <c r="S89" s="362"/>
    </row>
    <row r="90" spans="1:19">
      <c r="A90" s="361"/>
      <c r="B90" s="354">
        <v>2307</v>
      </c>
      <c r="C90" s="328" t="s">
        <v>974</v>
      </c>
      <c r="D90" s="328" t="s">
        <v>975</v>
      </c>
      <c r="E90" s="329" t="s">
        <v>852</v>
      </c>
      <c r="F90" s="330"/>
      <c r="G90" s="331">
        <v>-811.76</v>
      </c>
      <c r="H90" s="332"/>
      <c r="I90" s="332">
        <v>-811.76</v>
      </c>
      <c r="J90" s="333">
        <v>-811.76</v>
      </c>
      <c r="K90" s="196" t="s">
        <v>1016</v>
      </c>
      <c r="L90" s="362"/>
      <c r="M90" s="363"/>
      <c r="N90" s="362"/>
      <c r="O90" s="362"/>
      <c r="P90" s="362"/>
      <c r="Q90" s="362"/>
      <c r="R90" s="362"/>
      <c r="S90" s="362"/>
    </row>
    <row r="91" spans="1:19">
      <c r="A91" s="361"/>
      <c r="B91" s="354">
        <v>2307</v>
      </c>
      <c r="C91" s="328" t="s">
        <v>974</v>
      </c>
      <c r="D91" s="328" t="s">
        <v>975</v>
      </c>
      <c r="E91" s="329" t="s">
        <v>852</v>
      </c>
      <c r="F91" s="330"/>
      <c r="G91" s="331">
        <v>-811.76</v>
      </c>
      <c r="H91" s="332"/>
      <c r="I91" s="332">
        <v>-811.76</v>
      </c>
      <c r="J91" s="333">
        <v>-811.76</v>
      </c>
      <c r="K91" s="196" t="s">
        <v>1017</v>
      </c>
      <c r="M91" s="378"/>
      <c r="N91" s="216"/>
      <c r="O91" s="3"/>
      <c r="P91" s="269"/>
      <c r="Q91" s="270"/>
      <c r="R91" s="270"/>
      <c r="S91" s="379"/>
    </row>
    <row r="92" spans="1:19">
      <c r="A92" s="334"/>
      <c r="B92" s="354">
        <v>2319</v>
      </c>
      <c r="C92" s="328" t="s">
        <v>757</v>
      </c>
      <c r="D92" s="328" t="s">
        <v>1026</v>
      </c>
      <c r="E92" s="382" t="s">
        <v>852</v>
      </c>
      <c r="F92" s="330"/>
      <c r="G92" s="331">
        <v>594.79</v>
      </c>
      <c r="H92" s="332">
        <v>0</v>
      </c>
      <c r="I92" s="332">
        <v>594.79</v>
      </c>
      <c r="J92" s="333">
        <v>594.79</v>
      </c>
      <c r="K92" s="196" t="s">
        <v>1021</v>
      </c>
      <c r="L92" s="362"/>
      <c r="M92" s="363"/>
      <c r="N92" s="362"/>
      <c r="O92" s="362"/>
      <c r="P92" s="362"/>
      <c r="Q92" s="362"/>
      <c r="R92" s="362"/>
      <c r="S92" s="362"/>
    </row>
    <row r="93" spans="1:19">
      <c r="A93" s="334"/>
      <c r="B93" s="354">
        <v>2319</v>
      </c>
      <c r="C93" s="328" t="s">
        <v>757</v>
      </c>
      <c r="D93" s="328" t="s">
        <v>1026</v>
      </c>
      <c r="E93" s="382" t="s">
        <v>852</v>
      </c>
      <c r="F93" s="330"/>
      <c r="G93" s="331">
        <v>594.79</v>
      </c>
      <c r="H93" s="332">
        <v>0</v>
      </c>
      <c r="I93" s="332">
        <v>594.79</v>
      </c>
      <c r="J93" s="333">
        <v>594.79</v>
      </c>
      <c r="K93" s="196" t="s">
        <v>1022</v>
      </c>
      <c r="L93" s="362"/>
      <c r="M93" s="363"/>
      <c r="N93" s="362"/>
      <c r="O93" s="362"/>
      <c r="P93" s="362"/>
      <c r="Q93" s="362"/>
      <c r="R93" s="362"/>
      <c r="S93" s="362"/>
    </row>
    <row r="94" spans="1:19">
      <c r="A94" s="334"/>
      <c r="B94" s="354"/>
      <c r="C94" s="328"/>
      <c r="D94" s="338"/>
      <c r="E94" s="329"/>
      <c r="F94" s="330"/>
      <c r="G94" s="331"/>
      <c r="H94" s="332"/>
      <c r="I94" s="332"/>
      <c r="J94" s="333"/>
      <c r="K94" s="380"/>
      <c r="L94" s="362"/>
      <c r="M94" s="363"/>
      <c r="N94" s="362"/>
      <c r="O94" s="362"/>
      <c r="P94" s="362"/>
      <c r="Q94" s="362"/>
      <c r="R94" s="362"/>
      <c r="S94" s="362"/>
    </row>
    <row r="95" spans="1:19">
      <c r="A95" s="334"/>
      <c r="B95" s="354"/>
      <c r="C95" s="328"/>
      <c r="D95" s="338"/>
      <c r="E95" s="329"/>
      <c r="F95" s="330"/>
      <c r="G95" s="331"/>
      <c r="H95" s="332"/>
      <c r="I95" s="332"/>
      <c r="J95" s="333"/>
      <c r="K95" s="161"/>
      <c r="L95" s="362"/>
      <c r="M95" s="363"/>
      <c r="N95" s="362"/>
      <c r="O95" s="362"/>
      <c r="P95" s="362"/>
      <c r="Q95" s="362"/>
      <c r="R95" s="362"/>
      <c r="S95" s="362"/>
    </row>
    <row r="96" spans="1:19">
      <c r="A96" s="334"/>
      <c r="B96" s="354"/>
      <c r="C96" s="328"/>
      <c r="D96" s="338"/>
      <c r="E96" s="329"/>
      <c r="F96" s="330"/>
      <c r="G96" s="331"/>
      <c r="H96" s="332"/>
      <c r="I96" s="332"/>
      <c r="J96" s="333"/>
      <c r="K96" s="380"/>
      <c r="L96" s="362"/>
      <c r="M96" s="363"/>
      <c r="N96" s="362"/>
      <c r="O96" s="362"/>
      <c r="P96" s="362"/>
      <c r="Q96" s="362"/>
      <c r="R96" s="362"/>
      <c r="S96" s="362"/>
    </row>
    <row r="97" spans="1:19">
      <c r="A97" s="334"/>
      <c r="B97" s="354"/>
      <c r="C97" s="328"/>
      <c r="D97" s="338"/>
      <c r="E97" s="329"/>
      <c r="F97" s="330"/>
      <c r="G97" s="331"/>
      <c r="H97" s="332"/>
      <c r="I97" s="332"/>
      <c r="J97" s="333"/>
      <c r="K97" s="380"/>
      <c r="L97" s="362"/>
      <c r="M97" s="363"/>
      <c r="N97" s="362"/>
      <c r="O97" s="362"/>
      <c r="P97" s="362"/>
      <c r="Q97" s="362"/>
      <c r="R97" s="362"/>
      <c r="S97" s="362"/>
    </row>
    <row r="98" spans="1:19">
      <c r="A98" s="334"/>
      <c r="B98" s="354"/>
      <c r="C98" s="328"/>
      <c r="D98" s="338"/>
      <c r="E98" s="329"/>
      <c r="F98" s="330"/>
      <c r="G98" s="331"/>
      <c r="H98" s="332"/>
      <c r="I98" s="332"/>
      <c r="J98" s="333"/>
      <c r="K98" s="380"/>
      <c r="L98" s="362"/>
      <c r="M98" s="363"/>
      <c r="N98" s="362"/>
      <c r="O98" s="362"/>
      <c r="P98" s="362"/>
      <c r="Q98" s="362"/>
      <c r="R98" s="362"/>
      <c r="S98" s="362"/>
    </row>
    <row r="99" spans="1:19">
      <c r="A99" s="334"/>
      <c r="B99" s="354"/>
      <c r="C99" s="328"/>
      <c r="D99" s="338"/>
      <c r="E99" s="329"/>
      <c r="F99" s="330"/>
      <c r="G99" s="331"/>
      <c r="H99" s="332"/>
      <c r="I99" s="332"/>
      <c r="J99" s="333"/>
      <c r="K99" s="161"/>
      <c r="L99" s="362"/>
      <c r="M99" s="363"/>
      <c r="N99" s="362"/>
      <c r="O99" s="362"/>
      <c r="P99" s="362"/>
      <c r="Q99" s="362"/>
      <c r="R99" s="362"/>
      <c r="S99" s="362"/>
    </row>
    <row r="100" spans="1:19">
      <c r="A100" s="334"/>
      <c r="B100" s="354"/>
      <c r="C100" s="328"/>
      <c r="D100" s="328"/>
      <c r="E100" s="329"/>
      <c r="F100" s="330"/>
      <c r="G100" s="331"/>
      <c r="H100" s="332"/>
      <c r="I100" s="332"/>
      <c r="J100" s="333"/>
      <c r="K100" s="161"/>
      <c r="M100" s="15"/>
    </row>
    <row r="101" spans="1:19">
      <c r="A101" s="438" t="s">
        <v>846</v>
      </c>
      <c r="B101" s="439"/>
      <c r="C101" s="439"/>
      <c r="D101" s="439"/>
      <c r="E101" s="439"/>
      <c r="F101" s="439"/>
      <c r="G101" s="440"/>
      <c r="H101" s="348">
        <f>SUM(H86:H98)</f>
        <v>1189.5999999999999</v>
      </c>
      <c r="I101" s="347"/>
      <c r="J101" s="348">
        <f>SUM(J86:J100)</f>
        <v>-788.42000000000007</v>
      </c>
      <c r="K101" s="364"/>
    </row>
    <row r="102" spans="1:19">
      <c r="A102" s="365"/>
      <c r="B102" s="366"/>
      <c r="C102" s="366"/>
      <c r="D102" s="366"/>
      <c r="E102" s="366"/>
      <c r="F102" s="367"/>
      <c r="G102" s="368"/>
      <c r="H102" s="368"/>
      <c r="I102" s="368"/>
      <c r="J102" s="349"/>
      <c r="K102" s="364"/>
    </row>
    <row r="103" spans="1:19" ht="16">
      <c r="A103" s="435" t="s">
        <v>881</v>
      </c>
      <c r="B103" s="436"/>
      <c r="C103" s="436"/>
      <c r="D103" s="436"/>
      <c r="E103" s="436"/>
      <c r="F103" s="436"/>
      <c r="G103" s="437"/>
      <c r="H103" s="369"/>
      <c r="I103" s="369"/>
      <c r="J103" s="370">
        <f>SUM(J80,J101)</f>
        <v>71910.070000000007</v>
      </c>
      <c r="K103" s="350"/>
    </row>
    <row r="104" spans="1:19" ht="18">
      <c r="F104" s="3"/>
      <c r="G104" s="371" t="s">
        <v>1013</v>
      </c>
      <c r="H104" s="372">
        <v>45245</v>
      </c>
    </row>
    <row r="105" spans="1:19" ht="18">
      <c r="F105" s="3"/>
      <c r="G105" s="371" t="s">
        <v>1014</v>
      </c>
      <c r="H105" s="373" t="s">
        <v>990</v>
      </c>
      <c r="I105" s="373"/>
    </row>
    <row r="106" spans="1:19">
      <c r="F106" s="3"/>
      <c r="G106" s="216"/>
      <c r="H106" s="216"/>
      <c r="I106" s="216"/>
      <c r="J106" s="3"/>
      <c r="K106" s="15"/>
      <c r="L106" s="216"/>
    </row>
    <row r="107" spans="1:19">
      <c r="F107" s="3"/>
      <c r="G107" s="216"/>
      <c r="H107" s="269"/>
      <c r="I107" s="216"/>
      <c r="J107" s="270"/>
      <c r="K107" s="15"/>
      <c r="L107" s="216"/>
    </row>
    <row r="108" spans="1:19">
      <c r="F108" s="3"/>
      <c r="G108" s="216"/>
      <c r="H108" s="269"/>
      <c r="I108" s="216"/>
      <c r="J108" s="270"/>
      <c r="K108" s="15"/>
      <c r="L108" s="216"/>
    </row>
    <row r="109" spans="1:19">
      <c r="F109" s="3"/>
      <c r="G109" s="216"/>
      <c r="H109" s="388">
        <f>SUM(H78,H101)</f>
        <v>3683.48</v>
      </c>
      <c r="I109" s="269">
        <f>J103-H109</f>
        <v>68226.590000000011</v>
      </c>
      <c r="J109" s="3"/>
      <c r="K109" s="15"/>
      <c r="L109" s="216"/>
    </row>
    <row r="110" spans="1:19">
      <c r="F110" s="3"/>
      <c r="G110" s="216"/>
      <c r="H110" s="216"/>
      <c r="I110" s="216"/>
      <c r="J110" s="3"/>
      <c r="K110" s="15"/>
      <c r="L110" s="216"/>
      <c r="P110" s="3"/>
      <c r="Q110" s="3"/>
      <c r="R110" s="3"/>
      <c r="S110" s="3"/>
    </row>
  </sheetData>
  <mergeCells count="7">
    <mergeCell ref="A103:G103"/>
    <mergeCell ref="A80:G80"/>
    <mergeCell ref="A81:C81"/>
    <mergeCell ref="A83:C83"/>
    <mergeCell ref="A84:C84"/>
    <mergeCell ref="A85:G85"/>
    <mergeCell ref="A101:G10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7EED-A659-B241-969A-852E4B7E90C5}">
  <dimension ref="A1:S104"/>
  <sheetViews>
    <sheetView topLeftCell="A72" zoomScale="112" workbookViewId="0">
      <selection activeCell="D38" sqref="D38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6" customWidth="1"/>
    <col min="4" max="4" width="23.5" customWidth="1"/>
    <col min="5" max="5" width="8" customWidth="1"/>
    <col min="6" max="6" width="8.6640625" style="3" customWidth="1"/>
    <col min="7" max="7" width="11.33203125" style="216" customWidth="1"/>
    <col min="8" max="8" width="10.66406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45231</v>
      </c>
      <c r="K2" s="230"/>
    </row>
    <row r="3" spans="1:14" ht="14" customHeight="1">
      <c r="J3" s="201"/>
      <c r="K3" s="231" t="s">
        <v>832</v>
      </c>
    </row>
    <row r="4" spans="1:14" ht="42">
      <c r="A4" s="50" t="s">
        <v>226</v>
      </c>
      <c r="B4" s="219" t="s">
        <v>500</v>
      </c>
      <c r="C4" s="50" t="s">
        <v>498</v>
      </c>
      <c r="D4" s="50" t="s">
        <v>499</v>
      </c>
      <c r="E4" s="279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10"/>
      <c r="B5" s="29" t="s">
        <v>955</v>
      </c>
      <c r="C5" s="29" t="s">
        <v>943</v>
      </c>
      <c r="D5" s="29" t="s">
        <v>944</v>
      </c>
      <c r="E5" s="161" t="s">
        <v>852</v>
      </c>
      <c r="F5" s="7"/>
      <c r="G5" s="251">
        <v>520.32000000000005</v>
      </c>
      <c r="H5" s="51">
        <v>0</v>
      </c>
      <c r="I5" s="51">
        <v>520.32000000000005</v>
      </c>
      <c r="J5" s="285">
        <v>520.32000000000005</v>
      </c>
      <c r="K5" s="161"/>
      <c r="L5" s="254"/>
    </row>
    <row r="6" spans="1:14">
      <c r="A6" s="10"/>
      <c r="B6" s="161">
        <v>2305</v>
      </c>
      <c r="C6" s="29" t="s">
        <v>959</v>
      </c>
      <c r="D6" s="29" t="s">
        <v>960</v>
      </c>
      <c r="E6" s="161" t="s">
        <v>852</v>
      </c>
      <c r="F6" s="7"/>
      <c r="G6" s="251">
        <v>1347.46</v>
      </c>
      <c r="H6" s="51">
        <v>0</v>
      </c>
      <c r="I6" s="251">
        <v>1347.46</v>
      </c>
      <c r="J6" s="265">
        <v>1347.46</v>
      </c>
      <c r="K6" s="161" t="s">
        <v>998</v>
      </c>
      <c r="L6" s="254"/>
    </row>
    <row r="7" spans="1:14">
      <c r="A7" s="7">
        <v>1</v>
      </c>
      <c r="B7" s="29" t="s">
        <v>741</v>
      </c>
      <c r="C7" s="29" t="s">
        <v>742</v>
      </c>
      <c r="D7" s="29" t="s">
        <v>779</v>
      </c>
      <c r="E7" s="161" t="s">
        <v>852</v>
      </c>
      <c r="F7" s="7"/>
      <c r="G7" s="251">
        <v>1158.3</v>
      </c>
      <c r="H7" s="51"/>
      <c r="I7" s="51">
        <f>G7+H7</f>
        <v>1158.3</v>
      </c>
      <c r="J7" s="121">
        <f>H7+I7</f>
        <v>1158.3</v>
      </c>
      <c r="K7" s="161"/>
      <c r="L7"/>
    </row>
    <row r="8" spans="1:14">
      <c r="A8" s="7">
        <v>2</v>
      </c>
      <c r="B8" s="29" t="s">
        <v>658</v>
      </c>
      <c r="C8" s="29" t="s">
        <v>743</v>
      </c>
      <c r="D8" s="161" t="s">
        <v>780</v>
      </c>
      <c r="E8" s="161" t="s">
        <v>852</v>
      </c>
      <c r="F8" s="7"/>
      <c r="G8" s="251">
        <v>498.48</v>
      </c>
      <c r="H8" s="51">
        <v>0</v>
      </c>
      <c r="I8" s="51">
        <v>498.47</v>
      </c>
      <c r="J8" s="285">
        <v>498.47</v>
      </c>
      <c r="L8"/>
    </row>
    <row r="9" spans="1:14">
      <c r="A9" s="7"/>
      <c r="B9" t="s">
        <v>951</v>
      </c>
      <c r="C9" s="29" t="s">
        <v>950</v>
      </c>
      <c r="D9" s="161" t="s">
        <v>949</v>
      </c>
      <c r="E9" s="161" t="s">
        <v>852</v>
      </c>
      <c r="F9" s="7"/>
      <c r="G9" s="51">
        <v>1395.13</v>
      </c>
      <c r="H9" s="51">
        <v>0</v>
      </c>
      <c r="I9" s="51">
        <v>1395.13</v>
      </c>
      <c r="J9" s="121">
        <v>1395.13</v>
      </c>
      <c r="K9" s="295"/>
      <c r="L9"/>
    </row>
    <row r="10" spans="1:14">
      <c r="A10" s="7">
        <v>3</v>
      </c>
      <c r="B10" s="29" t="s">
        <v>659</v>
      </c>
      <c r="C10" s="29" t="s">
        <v>744</v>
      </c>
      <c r="D10" s="161" t="s">
        <v>781</v>
      </c>
      <c r="E10" s="161" t="s">
        <v>853</v>
      </c>
      <c r="F10" s="7">
        <v>2</v>
      </c>
      <c r="G10" s="251">
        <v>1637.1</v>
      </c>
      <c r="H10" s="51">
        <v>0</v>
      </c>
      <c r="I10" s="51">
        <v>1637.09</v>
      </c>
      <c r="J10" s="121">
        <v>1637.09</v>
      </c>
      <c r="K10" s="161"/>
      <c r="L10"/>
    </row>
    <row r="11" spans="1:14">
      <c r="A11" s="7">
        <v>4</v>
      </c>
      <c r="B11" s="29" t="s">
        <v>660</v>
      </c>
      <c r="C11" s="29" t="s">
        <v>462</v>
      </c>
      <c r="D11" s="29" t="s">
        <v>425</v>
      </c>
      <c r="E11" s="161" t="s">
        <v>853</v>
      </c>
      <c r="F11" s="7">
        <v>2</v>
      </c>
      <c r="G11" s="251">
        <v>1607.22</v>
      </c>
      <c r="H11" s="51">
        <v>0</v>
      </c>
      <c r="I11" s="51">
        <v>1607.22</v>
      </c>
      <c r="J11" s="285">
        <v>1607.22</v>
      </c>
      <c r="K11" s="161"/>
      <c r="L11"/>
    </row>
    <row r="12" spans="1:14">
      <c r="A12" s="7">
        <v>5</v>
      </c>
      <c r="B12" s="29" t="s">
        <v>833</v>
      </c>
      <c r="C12" s="29" t="s">
        <v>834</v>
      </c>
      <c r="D12" s="29" t="s">
        <v>835</v>
      </c>
      <c r="E12" s="161" t="s">
        <v>852</v>
      </c>
      <c r="F12" s="7"/>
      <c r="G12" s="251">
        <v>614.66</v>
      </c>
      <c r="H12" s="51">
        <v>0</v>
      </c>
      <c r="I12" s="51">
        <v>614.65</v>
      </c>
      <c r="J12" s="285">
        <v>614.65</v>
      </c>
      <c r="K12" s="161"/>
      <c r="L12"/>
    </row>
    <row r="13" spans="1:14">
      <c r="A13" s="7">
        <v>6</v>
      </c>
      <c r="B13" s="29" t="s">
        <v>661</v>
      </c>
      <c r="C13" s="29" t="s">
        <v>460</v>
      </c>
      <c r="D13" s="29" t="s">
        <v>426</v>
      </c>
      <c r="E13" s="161" t="s">
        <v>852</v>
      </c>
      <c r="F13" s="7"/>
      <c r="G13" s="251">
        <v>1292.3599999999999</v>
      </c>
      <c r="H13" s="51">
        <v>0</v>
      </c>
      <c r="I13" s="51">
        <v>1292.3499999999999</v>
      </c>
      <c r="J13" s="285">
        <v>1292.3499999999999</v>
      </c>
      <c r="K13" s="161"/>
      <c r="L13"/>
    </row>
    <row r="14" spans="1:14" s="1" customFormat="1">
      <c r="A14" s="7">
        <v>8</v>
      </c>
      <c r="B14" s="29" t="s">
        <v>663</v>
      </c>
      <c r="C14" s="29" t="s">
        <v>745</v>
      </c>
      <c r="D14" s="37" t="s">
        <v>784</v>
      </c>
      <c r="E14" s="161" t="s">
        <v>852</v>
      </c>
      <c r="F14" s="7"/>
      <c r="G14" s="251">
        <v>587.34</v>
      </c>
      <c r="H14" s="51">
        <v>0</v>
      </c>
      <c r="I14" s="51">
        <v>587.34</v>
      </c>
      <c r="J14" s="285">
        <v>587.34</v>
      </c>
      <c r="K14" s="161"/>
      <c r="L14"/>
      <c r="M14"/>
      <c r="N14"/>
    </row>
    <row r="15" spans="1:14">
      <c r="A15" s="7">
        <v>7</v>
      </c>
      <c r="B15" s="29" t="s">
        <v>837</v>
      </c>
      <c r="C15" s="29" t="s">
        <v>745</v>
      </c>
      <c r="D15" s="61" t="s">
        <v>838</v>
      </c>
      <c r="E15" s="161" t="s">
        <v>852</v>
      </c>
      <c r="F15" s="7"/>
      <c r="G15" s="251">
        <v>776.02</v>
      </c>
      <c r="H15" s="51">
        <v>0</v>
      </c>
      <c r="I15" s="51">
        <v>776.01</v>
      </c>
      <c r="J15" s="285">
        <v>776.01</v>
      </c>
      <c r="K15" s="161"/>
      <c r="L15"/>
    </row>
    <row r="16" spans="1:14" s="1" customFormat="1">
      <c r="A16" s="7">
        <v>9</v>
      </c>
      <c r="B16" s="29" t="s">
        <v>662</v>
      </c>
      <c r="C16" s="29" t="s">
        <v>745</v>
      </c>
      <c r="D16" s="61" t="s">
        <v>783</v>
      </c>
      <c r="E16" s="161" t="s">
        <v>852</v>
      </c>
      <c r="F16" s="7"/>
      <c r="G16" s="251">
        <v>618.62</v>
      </c>
      <c r="H16" s="51">
        <v>0</v>
      </c>
      <c r="I16" s="51">
        <v>618.62</v>
      </c>
      <c r="J16" s="285">
        <v>618.62</v>
      </c>
      <c r="K16" s="29"/>
      <c r="L16"/>
      <c r="M16"/>
      <c r="N16"/>
    </row>
    <row r="17" spans="1:14" s="1" customFormat="1">
      <c r="A17" s="7"/>
      <c r="B17" t="s">
        <v>953</v>
      </c>
      <c r="C17" s="29" t="s">
        <v>806</v>
      </c>
      <c r="D17" s="61" t="s">
        <v>952</v>
      </c>
      <c r="E17" s="161" t="s">
        <v>852</v>
      </c>
      <c r="F17" s="7"/>
      <c r="G17" s="251">
        <v>606.71</v>
      </c>
      <c r="H17" s="51">
        <v>0</v>
      </c>
      <c r="I17" s="51">
        <v>606.71</v>
      </c>
      <c r="J17" s="285">
        <v>606.71</v>
      </c>
      <c r="K17" s="6"/>
      <c r="L17"/>
      <c r="M17"/>
      <c r="N17"/>
    </row>
    <row r="18" spans="1:14">
      <c r="A18" s="7">
        <v>10</v>
      </c>
      <c r="B18" s="29" t="s">
        <v>839</v>
      </c>
      <c r="C18" s="29" t="s">
        <v>840</v>
      </c>
      <c r="D18" s="29" t="s">
        <v>841</v>
      </c>
      <c r="E18" s="161" t="s">
        <v>855</v>
      </c>
      <c r="F18" s="7">
        <v>1</v>
      </c>
      <c r="G18" s="251">
        <v>1012.42</v>
      </c>
      <c r="H18" s="51">
        <v>626.58000000000004</v>
      </c>
      <c r="I18" s="51">
        <f>G18+H18</f>
        <v>1639</v>
      </c>
      <c r="J18" s="285">
        <v>1638.99</v>
      </c>
      <c r="K18" s="161"/>
      <c r="L18"/>
    </row>
    <row r="19" spans="1:14">
      <c r="A19" s="7">
        <v>11</v>
      </c>
      <c r="B19" s="29" t="s">
        <v>664</v>
      </c>
      <c r="C19" s="29" t="s">
        <v>746</v>
      </c>
      <c r="D19" s="29" t="s">
        <v>785</v>
      </c>
      <c r="E19" s="161" t="s">
        <v>854</v>
      </c>
      <c r="F19" s="7">
        <v>1</v>
      </c>
      <c r="G19" s="251">
        <v>1843.96</v>
      </c>
      <c r="H19" s="51">
        <v>0</v>
      </c>
      <c r="I19" s="51">
        <v>1843.95</v>
      </c>
      <c r="J19" s="285">
        <v>1843.95</v>
      </c>
      <c r="K19" s="161"/>
      <c r="L19"/>
    </row>
    <row r="20" spans="1:14">
      <c r="A20" s="7">
        <v>12</v>
      </c>
      <c r="B20" s="29" t="s">
        <v>665</v>
      </c>
      <c r="C20" s="29" t="s">
        <v>746</v>
      </c>
      <c r="D20" s="29" t="s">
        <v>786</v>
      </c>
      <c r="E20" s="161" t="s">
        <v>852</v>
      </c>
      <c r="F20" s="7"/>
      <c r="G20" s="251">
        <v>626.58000000000004</v>
      </c>
      <c r="H20" s="51">
        <v>0</v>
      </c>
      <c r="I20" s="51">
        <v>626.57000000000005</v>
      </c>
      <c r="J20" s="285">
        <v>626.57000000000005</v>
      </c>
      <c r="K20" s="161"/>
      <c r="L20"/>
    </row>
    <row r="21" spans="1:14">
      <c r="A21" s="7">
        <v>13</v>
      </c>
      <c r="B21" s="29" t="s">
        <v>666</v>
      </c>
      <c r="C21" s="29" t="s">
        <v>747</v>
      </c>
      <c r="D21" s="37" t="s">
        <v>787</v>
      </c>
      <c r="E21" s="161" t="s">
        <v>854</v>
      </c>
      <c r="F21" s="7">
        <v>1</v>
      </c>
      <c r="G21" s="251">
        <v>996.54</v>
      </c>
      <c r="H21" s="51">
        <v>0</v>
      </c>
      <c r="I21" s="51">
        <v>996.53</v>
      </c>
      <c r="J21" s="285">
        <v>996.53</v>
      </c>
      <c r="K21" s="161"/>
      <c r="L21"/>
    </row>
    <row r="22" spans="1:14">
      <c r="A22" s="7">
        <v>14</v>
      </c>
      <c r="B22" s="220" t="s">
        <v>934</v>
      </c>
      <c r="C22" s="29" t="s">
        <v>932</v>
      </c>
      <c r="D22" s="37" t="s">
        <v>933</v>
      </c>
      <c r="E22" s="161" t="s">
        <v>852</v>
      </c>
      <c r="F22" s="7"/>
      <c r="G22" s="251">
        <v>539.67999999999995</v>
      </c>
      <c r="H22" s="51">
        <v>0</v>
      </c>
      <c r="I22" s="51">
        <v>539.67999999999995</v>
      </c>
      <c r="J22" s="285">
        <v>539.67999999999995</v>
      </c>
      <c r="K22" s="152" t="s">
        <v>999</v>
      </c>
      <c r="L22"/>
    </row>
    <row r="23" spans="1:14" s="1" customFormat="1">
      <c r="A23" s="7">
        <v>15</v>
      </c>
      <c r="B23" s="29" t="s">
        <v>667</v>
      </c>
      <c r="C23" s="29" t="s">
        <v>466</v>
      </c>
      <c r="D23" s="29" t="s">
        <v>431</v>
      </c>
      <c r="E23" s="161" t="s">
        <v>853</v>
      </c>
      <c r="F23" s="7">
        <v>2</v>
      </c>
      <c r="G23" s="251">
        <v>1383.21</v>
      </c>
      <c r="H23" s="51">
        <v>0</v>
      </c>
      <c r="I23" s="51">
        <v>1383.21</v>
      </c>
      <c r="J23" s="285">
        <v>1383.21</v>
      </c>
      <c r="K23" s="161"/>
      <c r="L23"/>
      <c r="M23"/>
      <c r="N23"/>
    </row>
    <row r="24" spans="1:14">
      <c r="A24" s="7">
        <v>16</v>
      </c>
      <c r="B24" s="29" t="s">
        <v>668</v>
      </c>
      <c r="C24" s="29" t="s">
        <v>748</v>
      </c>
      <c r="D24" s="37" t="s">
        <v>788</v>
      </c>
      <c r="E24" s="161" t="s">
        <v>852</v>
      </c>
      <c r="F24" s="7"/>
      <c r="G24" s="251">
        <v>1107.1600000000001</v>
      </c>
      <c r="H24" s="51">
        <v>0</v>
      </c>
      <c r="I24" s="51">
        <v>1107.1600000000001</v>
      </c>
      <c r="J24" s="285">
        <v>1107.1600000000001</v>
      </c>
      <c r="K24" s="161"/>
      <c r="L24"/>
    </row>
    <row r="25" spans="1:14">
      <c r="A25" s="7">
        <v>17</v>
      </c>
      <c r="B25" s="29" t="s">
        <v>669</v>
      </c>
      <c r="C25" s="29" t="s">
        <v>749</v>
      </c>
      <c r="D25" s="37" t="s">
        <v>789</v>
      </c>
      <c r="E25" s="161" t="s">
        <v>852</v>
      </c>
      <c r="F25" s="7"/>
      <c r="G25" s="251">
        <v>539.67999999999995</v>
      </c>
      <c r="H25" s="51">
        <v>0</v>
      </c>
      <c r="I25" s="51">
        <v>539.67999999999995</v>
      </c>
      <c r="J25" s="285">
        <v>539.67999999999995</v>
      </c>
      <c r="K25" s="161"/>
      <c r="L25"/>
    </row>
    <row r="26" spans="1:14">
      <c r="A26" s="7"/>
      <c r="B26" s="161">
        <v>1961</v>
      </c>
      <c r="C26" s="29" t="s">
        <v>967</v>
      </c>
      <c r="D26" s="37" t="s">
        <v>968</v>
      </c>
      <c r="E26" s="161" t="s">
        <v>852</v>
      </c>
      <c r="F26" s="7"/>
      <c r="G26" s="251">
        <v>1209.94</v>
      </c>
      <c r="H26" s="51">
        <v>0</v>
      </c>
      <c r="I26" s="51">
        <v>1209.94</v>
      </c>
      <c r="J26" s="285">
        <v>1209.94</v>
      </c>
      <c r="K26" s="161"/>
      <c r="L26"/>
    </row>
    <row r="27" spans="1:14">
      <c r="A27" s="7">
        <v>18</v>
      </c>
      <c r="B27" s="29" t="s">
        <v>729</v>
      </c>
      <c r="C27" s="29" t="s">
        <v>750</v>
      </c>
      <c r="D27" s="37" t="s">
        <v>790</v>
      </c>
      <c r="E27" s="161" t="s">
        <v>852</v>
      </c>
      <c r="F27" s="7"/>
      <c r="G27" s="251">
        <v>618.62</v>
      </c>
      <c r="H27" s="51">
        <v>0</v>
      </c>
      <c r="I27" s="51">
        <v>618.62</v>
      </c>
      <c r="J27" s="285">
        <v>618.62</v>
      </c>
      <c r="K27" s="161"/>
      <c r="L27"/>
    </row>
    <row r="28" spans="1:14">
      <c r="A28" s="7">
        <v>20</v>
      </c>
      <c r="B28" s="29" t="s">
        <v>672</v>
      </c>
      <c r="C28" s="29" t="s">
        <v>752</v>
      </c>
      <c r="D28" s="29" t="s">
        <v>792</v>
      </c>
      <c r="E28" s="161" t="s">
        <v>853</v>
      </c>
      <c r="F28" s="7">
        <v>2</v>
      </c>
      <c r="G28" s="251">
        <v>1414.18</v>
      </c>
      <c r="H28" s="51">
        <v>0</v>
      </c>
      <c r="I28" s="51">
        <v>1414.17</v>
      </c>
      <c r="J28" s="285">
        <v>1414.17</v>
      </c>
      <c r="K28" s="161"/>
      <c r="L28"/>
    </row>
    <row r="29" spans="1:14">
      <c r="A29" s="7">
        <v>21</v>
      </c>
      <c r="B29" s="29" t="s">
        <v>674</v>
      </c>
      <c r="C29" s="29" t="s">
        <v>753</v>
      </c>
      <c r="D29" s="29" t="s">
        <v>794</v>
      </c>
      <c r="E29" s="161" t="s">
        <v>852</v>
      </c>
      <c r="F29" s="7"/>
      <c r="G29" s="251">
        <v>602.74</v>
      </c>
      <c r="H29" s="51">
        <v>0</v>
      </c>
      <c r="I29" s="51">
        <v>602.73</v>
      </c>
      <c r="J29" s="285">
        <v>602.73</v>
      </c>
      <c r="K29" s="161"/>
      <c r="L29"/>
    </row>
    <row r="30" spans="1:14">
      <c r="A30" s="7"/>
      <c r="B30" s="161">
        <v>2223</v>
      </c>
      <c r="C30" s="29" t="s">
        <v>972</v>
      </c>
      <c r="D30" s="29" t="s">
        <v>973</v>
      </c>
      <c r="E30" s="161" t="s">
        <v>852</v>
      </c>
      <c r="F30" s="7"/>
      <c r="G30" s="251">
        <v>508.4</v>
      </c>
      <c r="H30" s="51"/>
      <c r="I30" s="51">
        <v>508.4</v>
      </c>
      <c r="J30" s="285">
        <v>508.4</v>
      </c>
      <c r="K30" s="161"/>
      <c r="L30"/>
    </row>
    <row r="31" spans="1:14">
      <c r="A31" s="7"/>
      <c r="B31" s="161">
        <v>2307</v>
      </c>
      <c r="C31" s="29" t="s">
        <v>974</v>
      </c>
      <c r="D31" s="29" t="s">
        <v>975</v>
      </c>
      <c r="E31" s="161" t="s">
        <v>852</v>
      </c>
      <c r="F31" s="7"/>
      <c r="G31" s="251">
        <v>811.76</v>
      </c>
      <c r="H31" s="51"/>
      <c r="I31" s="51">
        <v>811.76</v>
      </c>
      <c r="J31" s="285">
        <v>811.76</v>
      </c>
      <c r="K31" s="161" t="s">
        <v>998</v>
      </c>
      <c r="L31"/>
    </row>
    <row r="32" spans="1:14">
      <c r="A32" s="7">
        <v>22</v>
      </c>
      <c r="B32" s="29" t="s">
        <v>715</v>
      </c>
      <c r="C32" s="29" t="s">
        <v>754</v>
      </c>
      <c r="D32" s="61" t="s">
        <v>795</v>
      </c>
      <c r="E32" s="161" t="s">
        <v>852</v>
      </c>
      <c r="F32" s="7"/>
      <c r="G32" s="251">
        <v>1209.94</v>
      </c>
      <c r="H32" s="51">
        <v>0</v>
      </c>
      <c r="I32" s="51">
        <v>1209.94</v>
      </c>
      <c r="J32" s="285">
        <v>1209.94</v>
      </c>
      <c r="K32" s="161"/>
      <c r="L32"/>
    </row>
    <row r="33" spans="1:12">
      <c r="A33" s="7">
        <v>23</v>
      </c>
      <c r="B33" s="29" t="s">
        <v>716</v>
      </c>
      <c r="C33" s="29" t="s">
        <v>439</v>
      </c>
      <c r="D33" s="29" t="s">
        <v>505</v>
      </c>
      <c r="E33" s="161" t="s">
        <v>852</v>
      </c>
      <c r="F33" s="7"/>
      <c r="G33" s="251">
        <v>1489.48</v>
      </c>
      <c r="H33" s="51">
        <v>0</v>
      </c>
      <c r="I33" s="51">
        <v>1489.47</v>
      </c>
      <c r="J33" s="285">
        <v>1489.47</v>
      </c>
      <c r="K33" s="161"/>
      <c r="L33"/>
    </row>
    <row r="34" spans="1:12">
      <c r="A34" s="7">
        <v>24</v>
      </c>
      <c r="B34" s="220" t="s">
        <v>675</v>
      </c>
      <c r="C34" s="29" t="s">
        <v>755</v>
      </c>
      <c r="D34" s="29" t="s">
        <v>796</v>
      </c>
      <c r="E34" s="161" t="s">
        <v>852</v>
      </c>
      <c r="F34" s="7"/>
      <c r="G34" s="251">
        <v>646.42999999999995</v>
      </c>
      <c r="H34" s="51">
        <v>0</v>
      </c>
      <c r="I34" s="51">
        <f>SUM(G34:H34)</f>
        <v>646.42999999999995</v>
      </c>
      <c r="J34" s="285">
        <v>646.42999999999995</v>
      </c>
      <c r="K34" s="161"/>
      <c r="L34"/>
    </row>
    <row r="35" spans="1:12">
      <c r="A35" s="7">
        <v>26</v>
      </c>
      <c r="B35" s="29" t="s">
        <v>676</v>
      </c>
      <c r="C35" s="29" t="s">
        <v>755</v>
      </c>
      <c r="D35" s="29" t="s">
        <v>797</v>
      </c>
      <c r="E35" s="161" t="s">
        <v>852</v>
      </c>
      <c r="F35" s="7"/>
      <c r="G35" s="251">
        <v>1012.84</v>
      </c>
      <c r="H35" s="51">
        <v>0</v>
      </c>
      <c r="I35" s="51">
        <v>1012.83</v>
      </c>
      <c r="J35" s="285">
        <v>1012.83</v>
      </c>
      <c r="K35" s="161"/>
      <c r="L35"/>
    </row>
    <row r="36" spans="1:12" s="12" customFormat="1" ht="14" customHeight="1">
      <c r="A36" s="7">
        <v>25</v>
      </c>
      <c r="B36" s="29" t="s">
        <v>677</v>
      </c>
      <c r="C36" s="29" t="s">
        <v>755</v>
      </c>
      <c r="D36" s="37" t="s">
        <v>798</v>
      </c>
      <c r="E36" s="161" t="s">
        <v>853</v>
      </c>
      <c r="F36" s="7">
        <v>2</v>
      </c>
      <c r="G36" s="251">
        <v>1741.86</v>
      </c>
      <c r="H36" s="51">
        <v>0</v>
      </c>
      <c r="I36" s="51">
        <v>1741.85</v>
      </c>
      <c r="J36" s="285">
        <v>1741.85</v>
      </c>
      <c r="K36" s="161"/>
      <c r="L36"/>
    </row>
    <row r="37" spans="1:12">
      <c r="A37" s="7">
        <v>27</v>
      </c>
      <c r="B37" s="29" t="s">
        <v>678</v>
      </c>
      <c r="C37" s="29" t="s">
        <v>756</v>
      </c>
      <c r="D37" s="37" t="s">
        <v>799</v>
      </c>
      <c r="E37" s="161" t="s">
        <v>852</v>
      </c>
      <c r="F37" s="7"/>
      <c r="G37" s="251">
        <v>1489.48</v>
      </c>
      <c r="H37" s="51">
        <v>0</v>
      </c>
      <c r="I37" s="51">
        <v>1489.47</v>
      </c>
      <c r="J37" s="285">
        <v>1489.47</v>
      </c>
      <c r="K37" s="161"/>
      <c r="L37"/>
    </row>
    <row r="38" spans="1:12">
      <c r="A38" s="7">
        <v>28</v>
      </c>
      <c r="B38" s="29" t="s">
        <v>679</v>
      </c>
      <c r="C38" s="29" t="s">
        <v>756</v>
      </c>
      <c r="D38" s="37" t="s">
        <v>800</v>
      </c>
      <c r="E38" s="161" t="s">
        <v>852</v>
      </c>
      <c r="F38" s="7"/>
      <c r="G38" s="251">
        <v>1426.42</v>
      </c>
      <c r="H38" s="51">
        <v>0</v>
      </c>
      <c r="I38" s="51">
        <v>1426.41</v>
      </c>
      <c r="J38" s="285">
        <v>1426.41</v>
      </c>
      <c r="K38" s="161"/>
      <c r="L38"/>
    </row>
    <row r="39" spans="1:12">
      <c r="A39" s="7"/>
      <c r="B39" s="161">
        <v>2310</v>
      </c>
      <c r="C39" s="29" t="s">
        <v>756</v>
      </c>
      <c r="D39" s="37" t="s">
        <v>977</v>
      </c>
      <c r="E39" s="161" t="s">
        <v>852</v>
      </c>
      <c r="F39" s="7"/>
      <c r="G39" s="251">
        <v>811.76</v>
      </c>
      <c r="H39" s="51">
        <v>0</v>
      </c>
      <c r="I39" s="51">
        <v>811.76</v>
      </c>
      <c r="J39" s="285">
        <v>811.76</v>
      </c>
      <c r="K39" s="161"/>
      <c r="L39"/>
    </row>
    <row r="40" spans="1:12">
      <c r="A40" s="7">
        <v>29</v>
      </c>
      <c r="B40" s="29" t="s">
        <v>680</v>
      </c>
      <c r="C40" s="29" t="s">
        <v>444</v>
      </c>
      <c r="D40" s="29" t="s">
        <v>506</v>
      </c>
      <c r="E40" s="161" t="s">
        <v>852</v>
      </c>
      <c r="F40" s="7"/>
      <c r="G40" s="251">
        <v>847.02</v>
      </c>
      <c r="H40" s="51">
        <v>0</v>
      </c>
      <c r="I40" s="51">
        <v>847.01</v>
      </c>
      <c r="J40" s="285">
        <v>847.01</v>
      </c>
      <c r="K40" s="161"/>
      <c r="L40"/>
    </row>
    <row r="41" spans="1:12" ht="14" customHeight="1">
      <c r="A41" s="7">
        <v>32</v>
      </c>
      <c r="B41" s="29" t="s">
        <v>681</v>
      </c>
      <c r="C41" s="29" t="s">
        <v>757</v>
      </c>
      <c r="D41" s="29" t="s">
        <v>801</v>
      </c>
      <c r="E41" s="161" t="s">
        <v>856</v>
      </c>
      <c r="F41" s="7">
        <v>2</v>
      </c>
      <c r="G41" s="251">
        <v>1390.32</v>
      </c>
      <c r="H41" s="51">
        <v>614.66</v>
      </c>
      <c r="I41" s="51">
        <f>G41+H41</f>
        <v>2004.98</v>
      </c>
      <c r="J41" s="285">
        <v>2004.98</v>
      </c>
      <c r="K41" s="161"/>
      <c r="L41"/>
    </row>
    <row r="42" spans="1:12">
      <c r="A42" s="7">
        <v>30</v>
      </c>
      <c r="B42" s="29" t="s">
        <v>682</v>
      </c>
      <c r="C42" s="29" t="s">
        <v>757</v>
      </c>
      <c r="D42" s="29" t="s">
        <v>802</v>
      </c>
      <c r="E42" s="161" t="s">
        <v>854</v>
      </c>
      <c r="F42" s="7">
        <v>1</v>
      </c>
      <c r="G42" s="251">
        <v>1000.52</v>
      </c>
      <c r="H42" s="51">
        <v>0</v>
      </c>
      <c r="I42" s="51">
        <v>1000.51</v>
      </c>
      <c r="J42" s="285">
        <v>1000.51</v>
      </c>
      <c r="K42" s="161"/>
      <c r="L42"/>
    </row>
    <row r="43" spans="1:12">
      <c r="A43" s="7">
        <v>31</v>
      </c>
      <c r="B43" s="29" t="s">
        <v>683</v>
      </c>
      <c r="C43" s="29" t="s">
        <v>757</v>
      </c>
      <c r="D43" s="29" t="s">
        <v>803</v>
      </c>
      <c r="E43" s="161" t="s">
        <v>852</v>
      </c>
      <c r="F43" s="7"/>
      <c r="G43" s="251">
        <v>594.79999999999995</v>
      </c>
      <c r="H43" s="51">
        <v>0</v>
      </c>
      <c r="I43" s="51">
        <v>594.79</v>
      </c>
      <c r="J43" s="285">
        <v>594.79</v>
      </c>
      <c r="K43" s="161"/>
      <c r="L43"/>
    </row>
    <row r="44" spans="1:12">
      <c r="A44" s="7"/>
      <c r="B44" s="161">
        <v>2313</v>
      </c>
      <c r="C44" s="29" t="s">
        <v>1000</v>
      </c>
      <c r="D44" s="29" t="s">
        <v>1001</v>
      </c>
      <c r="E44" s="161" t="s">
        <v>853</v>
      </c>
      <c r="F44" s="7">
        <v>2</v>
      </c>
      <c r="G44" s="251">
        <v>1551.2</v>
      </c>
      <c r="H44" s="51">
        <v>0</v>
      </c>
      <c r="I44" s="51">
        <v>1551.2</v>
      </c>
      <c r="J44" s="285">
        <v>1551.2</v>
      </c>
      <c r="K44" s="161" t="s">
        <v>961</v>
      </c>
      <c r="L44"/>
    </row>
    <row r="45" spans="1:12">
      <c r="A45" s="7"/>
      <c r="B45" s="161">
        <v>2019</v>
      </c>
      <c r="C45" s="29" t="s">
        <v>476</v>
      </c>
      <c r="D45" s="29" t="s">
        <v>447</v>
      </c>
      <c r="E45" s="161" t="s">
        <v>854</v>
      </c>
      <c r="F45" s="7">
        <v>1</v>
      </c>
      <c r="G45" s="251">
        <v>1051.6400000000001</v>
      </c>
      <c r="H45" s="51">
        <v>0</v>
      </c>
      <c r="I45" s="51">
        <v>1051.6400000000001</v>
      </c>
      <c r="J45" s="285">
        <v>1051.6400000000001</v>
      </c>
      <c r="K45" s="161"/>
      <c r="L45"/>
    </row>
    <row r="46" spans="1:12">
      <c r="A46" s="7">
        <v>34</v>
      </c>
      <c r="B46" s="29" t="s">
        <v>686</v>
      </c>
      <c r="C46" s="29" t="s">
        <v>758</v>
      </c>
      <c r="D46" s="29" t="s">
        <v>805</v>
      </c>
      <c r="E46" s="161" t="s">
        <v>852</v>
      </c>
      <c r="F46" s="7"/>
      <c r="G46" s="251">
        <v>539.67999999999995</v>
      </c>
      <c r="H46" s="51">
        <v>0</v>
      </c>
      <c r="I46" s="51">
        <v>539.67999999999995</v>
      </c>
      <c r="J46" s="285">
        <v>539.67999999999995</v>
      </c>
      <c r="K46" s="161"/>
      <c r="L46"/>
    </row>
    <row r="47" spans="1:12">
      <c r="A47" s="7">
        <v>35</v>
      </c>
      <c r="B47" s="29" t="s">
        <v>687</v>
      </c>
      <c r="C47" s="29" t="s">
        <v>478</v>
      </c>
      <c r="D47" s="29" t="s">
        <v>448</v>
      </c>
      <c r="E47" s="161" t="s">
        <v>852</v>
      </c>
      <c r="F47" s="7"/>
      <c r="G47" s="251">
        <v>1489.48</v>
      </c>
      <c r="H47" s="51">
        <v>0</v>
      </c>
      <c r="I47" s="51">
        <v>1489.47</v>
      </c>
      <c r="J47" s="285">
        <v>1489.47</v>
      </c>
      <c r="K47" s="161"/>
      <c r="L47"/>
    </row>
    <row r="48" spans="1:12">
      <c r="A48" s="7">
        <v>36</v>
      </c>
      <c r="B48" s="29" t="s">
        <v>688</v>
      </c>
      <c r="C48" s="29" t="s">
        <v>759</v>
      </c>
      <c r="D48" s="37" t="s">
        <v>806</v>
      </c>
      <c r="E48" s="161" t="s">
        <v>852</v>
      </c>
      <c r="F48" s="7"/>
      <c r="G48" s="251">
        <v>602.74</v>
      </c>
      <c r="H48" s="51">
        <v>0</v>
      </c>
      <c r="I48" s="51">
        <v>602.73</v>
      </c>
      <c r="J48" s="285">
        <v>602.73</v>
      </c>
      <c r="K48" s="161"/>
      <c r="L48"/>
    </row>
    <row r="49" spans="1:12">
      <c r="A49" s="7">
        <v>37</v>
      </c>
      <c r="B49" s="29" t="s">
        <v>689</v>
      </c>
      <c r="C49" s="29" t="s">
        <v>760</v>
      </c>
      <c r="D49" s="29" t="s">
        <v>807</v>
      </c>
      <c r="E49" s="161" t="s">
        <v>852</v>
      </c>
      <c r="F49" s="7"/>
      <c r="G49" s="251">
        <v>508.4</v>
      </c>
      <c r="H49" s="51">
        <v>0</v>
      </c>
      <c r="I49" s="51">
        <v>508.4</v>
      </c>
      <c r="J49" s="285">
        <v>508.4</v>
      </c>
      <c r="K49" s="161"/>
      <c r="L49"/>
    </row>
    <row r="50" spans="1:12">
      <c r="A50" s="7"/>
      <c r="B50" s="161">
        <v>2315</v>
      </c>
      <c r="C50" s="29" t="s">
        <v>1004</v>
      </c>
      <c r="D50" s="29" t="s">
        <v>1005</v>
      </c>
      <c r="E50" s="161" t="s">
        <v>852</v>
      </c>
      <c r="F50" s="7"/>
      <c r="G50" s="251">
        <v>614.65</v>
      </c>
      <c r="H50" s="51">
        <v>0</v>
      </c>
      <c r="I50" s="51">
        <v>614.65</v>
      </c>
      <c r="J50" s="285">
        <v>614.65</v>
      </c>
      <c r="K50" s="161" t="s">
        <v>961</v>
      </c>
      <c r="L50"/>
    </row>
    <row r="51" spans="1:12">
      <c r="A51" s="7">
        <v>38</v>
      </c>
      <c r="B51" s="29" t="s">
        <v>690</v>
      </c>
      <c r="C51" s="29" t="s">
        <v>761</v>
      </c>
      <c r="D51" s="29" t="s">
        <v>808</v>
      </c>
      <c r="E51" s="161" t="s">
        <v>852</v>
      </c>
      <c r="F51" s="7"/>
      <c r="G51" s="251">
        <v>539.67999999999995</v>
      </c>
      <c r="H51" s="51">
        <v>0</v>
      </c>
      <c r="I51" s="51">
        <v>539.67999999999995</v>
      </c>
      <c r="J51" s="285">
        <v>539.67999999999995</v>
      </c>
      <c r="K51" s="161"/>
      <c r="L51"/>
    </row>
    <row r="52" spans="1:12">
      <c r="A52" s="7">
        <v>40</v>
      </c>
      <c r="B52" s="29" t="s">
        <v>692</v>
      </c>
      <c r="C52" s="29" t="s">
        <v>762</v>
      </c>
      <c r="D52" s="29" t="s">
        <v>810</v>
      </c>
      <c r="E52" s="161" t="s">
        <v>854</v>
      </c>
      <c r="F52" s="7">
        <v>1</v>
      </c>
      <c r="G52" s="251">
        <v>1008.46</v>
      </c>
      <c r="H52" s="51">
        <v>0</v>
      </c>
      <c r="I52" s="51">
        <v>1008.45</v>
      </c>
      <c r="J52" s="285">
        <v>1008.45</v>
      </c>
      <c r="K52" s="161"/>
      <c r="L52"/>
    </row>
    <row r="53" spans="1:12">
      <c r="A53" s="7">
        <v>41</v>
      </c>
      <c r="B53" s="29" t="s">
        <v>693</v>
      </c>
      <c r="C53" s="29" t="s">
        <v>763</v>
      </c>
      <c r="D53" s="29" t="s">
        <v>811</v>
      </c>
      <c r="E53" s="161" t="s">
        <v>852</v>
      </c>
      <c r="F53" s="7"/>
      <c r="G53" s="251">
        <v>606.72</v>
      </c>
      <c r="H53" s="51">
        <v>0</v>
      </c>
      <c r="I53" s="51">
        <v>606.71</v>
      </c>
      <c r="J53" s="285">
        <v>606.71</v>
      </c>
      <c r="K53" s="161"/>
      <c r="L53"/>
    </row>
    <row r="54" spans="1:12">
      <c r="A54" s="7">
        <v>42</v>
      </c>
      <c r="B54" s="29" t="s">
        <v>694</v>
      </c>
      <c r="C54" s="29" t="s">
        <v>764</v>
      </c>
      <c r="D54" s="29" t="s">
        <v>812</v>
      </c>
      <c r="E54" s="161" t="s">
        <v>854</v>
      </c>
      <c r="F54" s="7">
        <v>1</v>
      </c>
      <c r="G54" s="251">
        <v>1169.82</v>
      </c>
      <c r="H54" s="51">
        <v>0</v>
      </c>
      <c r="I54" s="51">
        <v>1169.81</v>
      </c>
      <c r="J54" s="285">
        <v>1169.81</v>
      </c>
      <c r="K54" s="161"/>
      <c r="L54"/>
    </row>
    <row r="55" spans="1:12">
      <c r="A55" s="7">
        <v>43</v>
      </c>
      <c r="B55" s="29" t="s">
        <v>695</v>
      </c>
      <c r="C55" s="29" t="s">
        <v>765</v>
      </c>
      <c r="D55" s="29" t="s">
        <v>813</v>
      </c>
      <c r="E55" s="161" t="s">
        <v>854</v>
      </c>
      <c r="F55" s="7">
        <v>1</v>
      </c>
      <c r="G55" s="251">
        <v>1406.64</v>
      </c>
      <c r="H55" s="51">
        <v>0</v>
      </c>
      <c r="I55" s="51">
        <v>1406.63</v>
      </c>
      <c r="J55" s="285">
        <v>1406.63</v>
      </c>
      <c r="K55" s="161"/>
      <c r="L55"/>
    </row>
    <row r="56" spans="1:12">
      <c r="A56" s="7">
        <v>44</v>
      </c>
      <c r="B56" s="29" t="s">
        <v>696</v>
      </c>
      <c r="C56" s="29" t="s">
        <v>766</v>
      </c>
      <c r="D56" s="37" t="s">
        <v>814</v>
      </c>
      <c r="E56" s="161" t="s">
        <v>852</v>
      </c>
      <c r="F56" s="7"/>
      <c r="G56" s="251">
        <v>1158.3</v>
      </c>
      <c r="H56" s="51">
        <v>0</v>
      </c>
      <c r="I56" s="51">
        <v>1158.3</v>
      </c>
      <c r="J56" s="285">
        <v>1158.3</v>
      </c>
      <c r="K56" s="161"/>
      <c r="L56"/>
    </row>
    <row r="57" spans="1:12">
      <c r="A57" s="7">
        <v>45</v>
      </c>
      <c r="B57" s="29" t="s">
        <v>697</v>
      </c>
      <c r="C57" s="29" t="s">
        <v>767</v>
      </c>
      <c r="D57" s="37" t="s">
        <v>815</v>
      </c>
      <c r="E57" s="161" t="s">
        <v>854</v>
      </c>
      <c r="F57" s="7">
        <v>1</v>
      </c>
      <c r="G57" s="251">
        <v>1706.44</v>
      </c>
      <c r="H57" s="51">
        <v>0</v>
      </c>
      <c r="I57" s="51">
        <v>1706.43</v>
      </c>
      <c r="J57" s="285">
        <v>1706.43</v>
      </c>
      <c r="K57" s="161"/>
      <c r="L57"/>
    </row>
    <row r="58" spans="1:12">
      <c r="A58" s="7">
        <v>47</v>
      </c>
      <c r="B58" s="29" t="s">
        <v>842</v>
      </c>
      <c r="C58" s="29" t="s">
        <v>769</v>
      </c>
      <c r="D58" s="29" t="s">
        <v>843</v>
      </c>
      <c r="E58" s="161" t="s">
        <v>852</v>
      </c>
      <c r="F58" s="7"/>
      <c r="G58" s="251">
        <v>498.48</v>
      </c>
      <c r="H58" s="51">
        <v>0</v>
      </c>
      <c r="I58" s="51">
        <v>498.47</v>
      </c>
      <c r="J58" s="285">
        <v>498.47</v>
      </c>
      <c r="K58" s="161"/>
      <c r="L58"/>
    </row>
    <row r="59" spans="1:12">
      <c r="A59" s="7">
        <v>48</v>
      </c>
      <c r="B59" s="29" t="s">
        <v>698</v>
      </c>
      <c r="C59" s="29" t="s">
        <v>769</v>
      </c>
      <c r="D59" s="37" t="s">
        <v>817</v>
      </c>
      <c r="E59" s="161" t="s">
        <v>852</v>
      </c>
      <c r="F59" s="7"/>
      <c r="G59" s="251">
        <v>587.34</v>
      </c>
      <c r="H59" s="51">
        <v>0</v>
      </c>
      <c r="I59" s="51">
        <v>587.34</v>
      </c>
      <c r="J59" s="285">
        <v>587.34</v>
      </c>
      <c r="K59" s="225"/>
      <c r="L59"/>
    </row>
    <row r="60" spans="1:12">
      <c r="A60" s="7">
        <v>49</v>
      </c>
      <c r="B60" s="29" t="s">
        <v>699</v>
      </c>
      <c r="C60" s="29" t="s">
        <v>770</v>
      </c>
      <c r="D60" s="29" t="s">
        <v>818</v>
      </c>
      <c r="E60" s="161" t="s">
        <v>852</v>
      </c>
      <c r="F60" s="7"/>
      <c r="G60" s="251">
        <v>1465.64</v>
      </c>
      <c r="H60" s="51">
        <v>0</v>
      </c>
      <c r="I60" s="51">
        <v>1465.63</v>
      </c>
      <c r="J60" s="285">
        <v>1465.63</v>
      </c>
      <c r="K60" s="161"/>
      <c r="L60"/>
    </row>
    <row r="61" spans="1:12">
      <c r="A61" s="7">
        <v>50</v>
      </c>
      <c r="B61" s="29" t="s">
        <v>700</v>
      </c>
      <c r="C61" s="29" t="s">
        <v>771</v>
      </c>
      <c r="D61" s="37" t="s">
        <v>819</v>
      </c>
      <c r="E61" s="161" t="s">
        <v>854</v>
      </c>
      <c r="F61" s="7">
        <v>1</v>
      </c>
      <c r="G61" s="251">
        <v>1706.44</v>
      </c>
      <c r="H61" s="51">
        <v>0</v>
      </c>
      <c r="I61" s="51">
        <v>1706.43</v>
      </c>
      <c r="J61" s="285">
        <v>1706.43</v>
      </c>
      <c r="K61" s="161"/>
      <c r="L61"/>
    </row>
    <row r="62" spans="1:12">
      <c r="A62" s="7"/>
      <c r="B62" s="161">
        <v>2027</v>
      </c>
      <c r="C62" s="29" t="s">
        <v>771</v>
      </c>
      <c r="D62" s="37" t="s">
        <v>982</v>
      </c>
      <c r="E62" s="161" t="s">
        <v>852</v>
      </c>
      <c r="F62" s="7"/>
      <c r="G62" s="251">
        <v>602.73</v>
      </c>
      <c r="H62" s="51">
        <v>0</v>
      </c>
      <c r="I62" s="51">
        <v>602.73</v>
      </c>
      <c r="J62" s="285">
        <v>602.73</v>
      </c>
      <c r="K62" s="161"/>
      <c r="L62"/>
    </row>
    <row r="63" spans="1:12">
      <c r="A63" s="7">
        <v>52</v>
      </c>
      <c r="B63" s="29" t="s">
        <v>702</v>
      </c>
      <c r="C63" s="29" t="s">
        <v>487</v>
      </c>
      <c r="D63" s="29" t="s">
        <v>516</v>
      </c>
      <c r="E63" s="161" t="s">
        <v>852</v>
      </c>
      <c r="F63" s="7"/>
      <c r="G63" s="251">
        <v>925.96</v>
      </c>
      <c r="H63" s="51">
        <v>0</v>
      </c>
      <c r="I63" s="51">
        <v>925.95</v>
      </c>
      <c r="J63" s="285">
        <v>925.95</v>
      </c>
      <c r="K63" s="161"/>
      <c r="L63"/>
    </row>
    <row r="64" spans="1:12">
      <c r="A64" s="7">
        <v>54</v>
      </c>
      <c r="B64" s="29" t="s">
        <v>704</v>
      </c>
      <c r="C64" s="29" t="s">
        <v>773</v>
      </c>
      <c r="D64" s="29" t="s">
        <v>821</v>
      </c>
      <c r="E64" s="161" t="s">
        <v>852</v>
      </c>
      <c r="F64" s="7"/>
      <c r="G64" s="251">
        <v>1489.48</v>
      </c>
      <c r="H64" s="51">
        <v>0</v>
      </c>
      <c r="I64" s="51">
        <v>1489.47</v>
      </c>
      <c r="J64" s="285">
        <v>1489.47</v>
      </c>
      <c r="K64" s="161"/>
      <c r="L64"/>
    </row>
    <row r="65" spans="1:15">
      <c r="A65" s="7">
        <v>55</v>
      </c>
      <c r="B65" s="29" t="s">
        <v>705</v>
      </c>
      <c r="C65" s="29" t="s">
        <v>491</v>
      </c>
      <c r="D65" s="29" t="s">
        <v>456</v>
      </c>
      <c r="E65" s="161" t="s">
        <v>852</v>
      </c>
      <c r="F65" s="7"/>
      <c r="G65" s="251">
        <v>744.74</v>
      </c>
      <c r="H65" s="51">
        <v>0</v>
      </c>
      <c r="I65" s="51">
        <v>744.73</v>
      </c>
      <c r="J65" s="285">
        <v>744.73</v>
      </c>
      <c r="K65" s="161"/>
      <c r="L65"/>
    </row>
    <row r="66" spans="1:15">
      <c r="A66" s="7">
        <v>57</v>
      </c>
      <c r="B66" s="29" t="s">
        <v>706</v>
      </c>
      <c r="C66" s="29" t="s">
        <v>774</v>
      </c>
      <c r="D66" s="37" t="s">
        <v>822</v>
      </c>
      <c r="E66" s="161" t="s">
        <v>852</v>
      </c>
      <c r="F66" s="7"/>
      <c r="G66" s="251">
        <v>618.62</v>
      </c>
      <c r="H66" s="51">
        <v>0</v>
      </c>
      <c r="I66" s="51">
        <v>618.62</v>
      </c>
      <c r="J66" s="285">
        <v>618.62</v>
      </c>
      <c r="K66" s="161"/>
      <c r="L66"/>
    </row>
    <row r="67" spans="1:15">
      <c r="A67" s="7">
        <v>56</v>
      </c>
      <c r="B67" s="29" t="s">
        <v>707</v>
      </c>
      <c r="C67" s="29" t="s">
        <v>774</v>
      </c>
      <c r="D67" s="29" t="s">
        <v>823</v>
      </c>
      <c r="E67" s="161" t="s">
        <v>852</v>
      </c>
      <c r="F67" s="7"/>
      <c r="G67" s="251">
        <v>776.01</v>
      </c>
      <c r="H67" s="51">
        <v>0</v>
      </c>
      <c r="I67" s="51">
        <v>776.01</v>
      </c>
      <c r="J67" s="285">
        <v>776.01</v>
      </c>
      <c r="K67" s="161"/>
      <c r="L67"/>
    </row>
    <row r="68" spans="1:15">
      <c r="A68" s="7"/>
      <c r="B68" s="29" t="s">
        <v>671</v>
      </c>
      <c r="C68" s="29" t="s">
        <v>751</v>
      </c>
      <c r="D68" s="29" t="s">
        <v>791</v>
      </c>
      <c r="E68" s="161" t="s">
        <v>852</v>
      </c>
      <c r="F68" s="7"/>
      <c r="G68" s="251">
        <v>1489.48</v>
      </c>
      <c r="H68" s="51">
        <v>0</v>
      </c>
      <c r="I68" s="51">
        <v>1489.47</v>
      </c>
      <c r="J68" s="285">
        <v>1489.47</v>
      </c>
      <c r="K68" s="161"/>
      <c r="L68"/>
    </row>
    <row r="69" spans="1:15">
      <c r="A69" s="7">
        <v>58</v>
      </c>
      <c r="B69" s="29" t="s">
        <v>708</v>
      </c>
      <c r="C69" s="29" t="s">
        <v>775</v>
      </c>
      <c r="D69" s="37" t="s">
        <v>824</v>
      </c>
      <c r="E69" s="161" t="s">
        <v>852</v>
      </c>
      <c r="F69" s="7"/>
      <c r="G69" s="251">
        <v>1060</v>
      </c>
      <c r="H69" s="51">
        <v>0</v>
      </c>
      <c r="I69" s="51">
        <v>1060</v>
      </c>
      <c r="J69" s="285">
        <v>1060</v>
      </c>
      <c r="K69" s="161"/>
      <c r="L69"/>
    </row>
    <row r="70" spans="1:15">
      <c r="A70" s="7">
        <v>59</v>
      </c>
      <c r="B70" s="29" t="s">
        <v>709</v>
      </c>
      <c r="C70" s="29" t="s">
        <v>776</v>
      </c>
      <c r="D70" s="37" t="s">
        <v>825</v>
      </c>
      <c r="E70" s="161" t="s">
        <v>852</v>
      </c>
      <c r="F70" s="7"/>
      <c r="G70" s="251">
        <v>594.79999999999995</v>
      </c>
      <c r="H70" s="51">
        <v>0</v>
      </c>
      <c r="I70" s="51">
        <v>594.79</v>
      </c>
      <c r="J70" s="285">
        <v>594.79</v>
      </c>
      <c r="K70" s="161"/>
      <c r="L70"/>
    </row>
    <row r="71" spans="1:15">
      <c r="A71" s="7">
        <v>60</v>
      </c>
      <c r="B71" s="29" t="s">
        <v>711</v>
      </c>
      <c r="C71" s="29" t="s">
        <v>777</v>
      </c>
      <c r="D71" s="29" t="s">
        <v>827</v>
      </c>
      <c r="E71" s="161" t="s">
        <v>853</v>
      </c>
      <c r="F71" s="7">
        <v>2</v>
      </c>
      <c r="G71" s="251">
        <v>1681.28</v>
      </c>
      <c r="H71" s="51">
        <v>0</v>
      </c>
      <c r="I71" s="51">
        <v>1681.28</v>
      </c>
      <c r="J71" s="285">
        <v>1681.28</v>
      </c>
      <c r="K71" s="161"/>
      <c r="L71"/>
    </row>
    <row r="72" spans="1:15">
      <c r="A72" s="7">
        <v>61</v>
      </c>
      <c r="B72" s="29" t="s">
        <v>710</v>
      </c>
      <c r="C72" s="29" t="s">
        <v>777</v>
      </c>
      <c r="D72" s="29" t="s">
        <v>826</v>
      </c>
      <c r="E72" s="161" t="s">
        <v>852</v>
      </c>
      <c r="F72" s="7"/>
      <c r="G72" s="251">
        <v>886.72</v>
      </c>
      <c r="H72" s="51">
        <v>0</v>
      </c>
      <c r="I72" s="51">
        <v>886.72</v>
      </c>
      <c r="J72" s="121">
        <v>886.72</v>
      </c>
      <c r="K72" s="161"/>
      <c r="L72"/>
    </row>
    <row r="73" spans="1:15">
      <c r="A73" s="7">
        <v>62</v>
      </c>
      <c r="B73" s="29" t="s">
        <v>712</v>
      </c>
      <c r="C73" s="29" t="s">
        <v>778</v>
      </c>
      <c r="D73" s="37" t="s">
        <v>828</v>
      </c>
      <c r="E73" s="161" t="s">
        <v>852</v>
      </c>
      <c r="F73" s="7"/>
      <c r="G73" s="251">
        <v>587.34</v>
      </c>
      <c r="H73" s="51">
        <v>0</v>
      </c>
      <c r="I73" s="51">
        <v>587.34</v>
      </c>
      <c r="J73" s="285">
        <v>587.34</v>
      </c>
      <c r="K73" s="161"/>
      <c r="L73"/>
    </row>
    <row r="74" spans="1:15">
      <c r="A74" s="7">
        <v>63</v>
      </c>
      <c r="B74" s="29" t="s">
        <v>713</v>
      </c>
      <c r="C74" s="29" t="s">
        <v>778</v>
      </c>
      <c r="D74" s="37" t="s">
        <v>829</v>
      </c>
      <c r="E74" s="161" t="s">
        <v>856</v>
      </c>
      <c r="F74" s="7">
        <v>2</v>
      </c>
      <c r="G74" s="251">
        <v>1402.26</v>
      </c>
      <c r="H74" s="51">
        <v>657.84</v>
      </c>
      <c r="I74" s="51">
        <f>G74+H74</f>
        <v>2060.1</v>
      </c>
      <c r="J74" s="285">
        <v>2060.09</v>
      </c>
      <c r="K74" s="161"/>
      <c r="L74"/>
    </row>
    <row r="75" spans="1:15">
      <c r="A75" s="7"/>
      <c r="B75" s="161">
        <v>2089</v>
      </c>
      <c r="C75" s="29" t="s">
        <v>870</v>
      </c>
      <c r="D75" s="37" t="s">
        <v>1007</v>
      </c>
      <c r="E75" s="161" t="s">
        <v>852</v>
      </c>
      <c r="F75" s="7"/>
      <c r="G75" s="251">
        <v>587.34</v>
      </c>
      <c r="H75" s="51">
        <v>0</v>
      </c>
      <c r="I75" s="51">
        <v>587.34</v>
      </c>
      <c r="J75" s="285">
        <v>587.34</v>
      </c>
      <c r="K75" s="161" t="s">
        <v>961</v>
      </c>
      <c r="L75"/>
    </row>
    <row r="76" spans="1:15">
      <c r="A76" s="296"/>
      <c r="E76" s="261"/>
      <c r="F76" s="282"/>
      <c r="G76" s="262"/>
      <c r="H76" s="311">
        <v>1899.08</v>
      </c>
      <c r="I76" s="262"/>
      <c r="J76" s="263"/>
      <c r="K76" s="310"/>
      <c r="N76" s="15"/>
      <c r="O76" s="15"/>
    </row>
    <row r="77" spans="1:15">
      <c r="A77" s="296"/>
      <c r="E77" s="261"/>
      <c r="F77" s="282"/>
      <c r="G77" s="262"/>
      <c r="H77" s="262"/>
      <c r="I77" s="262"/>
      <c r="J77" s="263"/>
      <c r="K77" s="310"/>
      <c r="N77" s="15"/>
      <c r="O77" s="15"/>
    </row>
    <row r="78" spans="1:15">
      <c r="A78" s="428" t="s">
        <v>652</v>
      </c>
      <c r="B78" s="429"/>
      <c r="C78" s="429"/>
      <c r="D78" s="429"/>
      <c r="E78" s="429"/>
      <c r="F78" s="429"/>
      <c r="G78" s="430"/>
      <c r="H78" s="246"/>
      <c r="I78" s="264">
        <f>SUM(I5:I75)</f>
        <v>73092.72</v>
      </c>
      <c r="J78" s="111">
        <f>SUM(J5:J75)</f>
        <v>73092.7</v>
      </c>
      <c r="K78" s="255"/>
      <c r="L78"/>
    </row>
    <row r="79" spans="1:15">
      <c r="A79" s="431"/>
      <c r="B79" s="453"/>
      <c r="C79" s="432"/>
      <c r="D79" s="141"/>
      <c r="E79" s="271" t="s">
        <v>258</v>
      </c>
      <c r="F79" s="7">
        <v>63</v>
      </c>
      <c r="G79" s="161"/>
      <c r="H79" s="161"/>
      <c r="I79" s="161"/>
      <c r="J79" s="52"/>
      <c r="K79" s="241"/>
      <c r="L79"/>
    </row>
    <row r="80" spans="1:15">
      <c r="A80" s="271"/>
      <c r="B80" s="272"/>
      <c r="C80" s="141"/>
      <c r="D80" s="141"/>
      <c r="E80" s="141" t="s">
        <v>930</v>
      </c>
      <c r="F80" s="7">
        <v>4</v>
      </c>
      <c r="G80" s="161"/>
      <c r="H80" s="161"/>
      <c r="I80" s="161"/>
      <c r="J80" s="52"/>
      <c r="K80" s="241"/>
      <c r="L80"/>
    </row>
    <row r="81" spans="1:19">
      <c r="A81" s="431"/>
      <c r="B81" s="453"/>
      <c r="C81" s="432"/>
      <c r="D81" s="141"/>
      <c r="E81" s="271" t="s">
        <v>931</v>
      </c>
      <c r="F81" s="58">
        <f>SUM(F7:F74)</f>
        <v>28</v>
      </c>
      <c r="G81" s="161"/>
      <c r="H81" s="196"/>
      <c r="I81" s="196"/>
      <c r="J81" s="52"/>
      <c r="K81" s="241"/>
      <c r="L81"/>
    </row>
    <row r="82" spans="1:19">
      <c r="A82" s="433"/>
      <c r="B82" s="454"/>
      <c r="C82" s="434"/>
      <c r="D82" s="92"/>
      <c r="E82" s="91" t="s">
        <v>246</v>
      </c>
      <c r="F82" s="86">
        <f>F79+F81+F80</f>
        <v>95</v>
      </c>
      <c r="G82" s="161"/>
      <c r="H82" s="187"/>
      <c r="I82" s="187"/>
      <c r="J82" s="52"/>
      <c r="K82" s="241"/>
      <c r="L82"/>
    </row>
    <row r="83" spans="1:19">
      <c r="A83" s="455" t="s">
        <v>830</v>
      </c>
      <c r="B83" s="456"/>
      <c r="C83" s="456"/>
      <c r="D83" s="456"/>
      <c r="E83" s="456"/>
      <c r="F83" s="456"/>
      <c r="G83" s="457"/>
      <c r="H83" s="247"/>
      <c r="I83" s="247"/>
      <c r="J83" s="184"/>
      <c r="K83" s="256"/>
      <c r="L83"/>
      <c r="M83" s="15"/>
    </row>
    <row r="84" spans="1:19">
      <c r="A84" s="7"/>
      <c r="B84" s="161">
        <v>2313</v>
      </c>
      <c r="C84" s="29" t="s">
        <v>1000</v>
      </c>
      <c r="D84" s="29" t="s">
        <v>1001</v>
      </c>
      <c r="E84" s="161" t="s">
        <v>853</v>
      </c>
      <c r="F84" s="7">
        <v>2</v>
      </c>
      <c r="G84" s="251">
        <v>1551.2</v>
      </c>
      <c r="H84" s="51">
        <v>0</v>
      </c>
      <c r="I84" s="51">
        <v>1551.2</v>
      </c>
      <c r="J84" s="285">
        <v>1551.2</v>
      </c>
      <c r="K84" s="241" t="s">
        <v>1002</v>
      </c>
      <c r="L84"/>
      <c r="M84" s="15"/>
    </row>
    <row r="85" spans="1:19">
      <c r="A85" s="7"/>
      <c r="B85" s="161">
        <v>2313</v>
      </c>
      <c r="C85" s="29" t="s">
        <v>1000</v>
      </c>
      <c r="D85" s="29" t="s">
        <v>1001</v>
      </c>
      <c r="E85" s="161" t="s">
        <v>853</v>
      </c>
      <c r="F85" s="7">
        <v>2</v>
      </c>
      <c r="G85" s="251">
        <v>1551.2</v>
      </c>
      <c r="H85" s="51">
        <v>0</v>
      </c>
      <c r="I85" s="51">
        <v>1551.2</v>
      </c>
      <c r="J85" s="285">
        <v>1551.2</v>
      </c>
      <c r="K85" s="241" t="s">
        <v>1003</v>
      </c>
      <c r="L85"/>
      <c r="M85" s="15"/>
    </row>
    <row r="86" spans="1:19" s="297" customFormat="1">
      <c r="A86" s="299"/>
      <c r="B86" s="161">
        <v>2315</v>
      </c>
      <c r="C86" s="29" t="s">
        <v>1004</v>
      </c>
      <c r="D86" s="29" t="s">
        <v>1005</v>
      </c>
      <c r="E86" s="161" t="s">
        <v>852</v>
      </c>
      <c r="F86" s="7"/>
      <c r="G86" s="251">
        <v>614.65</v>
      </c>
      <c r="H86" s="51">
        <v>0</v>
      </c>
      <c r="I86" s="51">
        <v>614.65</v>
      </c>
      <c r="J86" s="285">
        <v>614.65</v>
      </c>
      <c r="K86" s="300" t="s">
        <v>1002</v>
      </c>
      <c r="M86" s="298"/>
    </row>
    <row r="87" spans="1:19" s="297" customFormat="1">
      <c r="A87" s="299"/>
      <c r="B87" s="161">
        <v>2315</v>
      </c>
      <c r="C87" s="29" t="s">
        <v>1004</v>
      </c>
      <c r="D87" s="29" t="s">
        <v>1005</v>
      </c>
      <c r="E87" s="161" t="s">
        <v>852</v>
      </c>
      <c r="F87" s="7"/>
      <c r="G87" s="251">
        <v>614.65</v>
      </c>
      <c r="H87" s="51">
        <v>0</v>
      </c>
      <c r="I87" s="51">
        <v>614.65</v>
      </c>
      <c r="J87" s="285">
        <v>614.65</v>
      </c>
      <c r="K87" s="302" t="s">
        <v>1003</v>
      </c>
      <c r="M87" s="298"/>
    </row>
    <row r="88" spans="1:19" s="297" customFormat="1">
      <c r="A88" s="299"/>
      <c r="B88" s="161">
        <v>2027</v>
      </c>
      <c r="C88" s="29" t="s">
        <v>771</v>
      </c>
      <c r="D88" s="37" t="s">
        <v>982</v>
      </c>
      <c r="E88" s="161" t="s">
        <v>852</v>
      </c>
      <c r="F88" s="7"/>
      <c r="G88" s="251">
        <v>602.73</v>
      </c>
      <c r="H88" s="51">
        <v>0</v>
      </c>
      <c r="I88" s="51">
        <v>602.73</v>
      </c>
      <c r="J88" s="285">
        <v>602.73</v>
      </c>
      <c r="K88" s="302" t="s">
        <v>1002</v>
      </c>
      <c r="M88" s="298"/>
    </row>
    <row r="89" spans="1:19" s="297" customFormat="1">
      <c r="A89" s="299"/>
      <c r="B89" s="161">
        <v>2027</v>
      </c>
      <c r="C89" s="29" t="s">
        <v>771</v>
      </c>
      <c r="D89" s="37" t="s">
        <v>982</v>
      </c>
      <c r="E89" s="161" t="s">
        <v>852</v>
      </c>
      <c r="F89" s="7"/>
      <c r="G89" s="251">
        <v>602.73</v>
      </c>
      <c r="H89" s="51">
        <v>0</v>
      </c>
      <c r="I89" s="51">
        <v>602.73</v>
      </c>
      <c r="J89" s="285">
        <v>602.73</v>
      </c>
      <c r="K89" s="161" t="s">
        <v>1002</v>
      </c>
      <c r="L89" s="303" t="s">
        <v>771</v>
      </c>
      <c r="M89" s="304" t="s">
        <v>982</v>
      </c>
      <c r="N89" s="305" t="s">
        <v>852</v>
      </c>
      <c r="O89" s="306"/>
      <c r="P89" s="307">
        <v>602.73</v>
      </c>
      <c r="Q89" s="308" t="s">
        <v>1006</v>
      </c>
      <c r="R89" s="308">
        <v>602.73</v>
      </c>
      <c r="S89" s="309">
        <v>602.73</v>
      </c>
    </row>
    <row r="90" spans="1:19" s="297" customFormat="1">
      <c r="A90" s="7"/>
      <c r="B90" s="161">
        <v>2089</v>
      </c>
      <c r="C90" s="29" t="s">
        <v>870</v>
      </c>
      <c r="D90" s="37" t="s">
        <v>1007</v>
      </c>
      <c r="E90" s="161" t="s">
        <v>852</v>
      </c>
      <c r="F90" s="7"/>
      <c r="G90" s="251">
        <v>587.34</v>
      </c>
      <c r="H90" s="51">
        <v>0</v>
      </c>
      <c r="I90" s="51">
        <v>587.34</v>
      </c>
      <c r="J90" s="285">
        <v>587.34</v>
      </c>
      <c r="K90" s="302" t="s">
        <v>1003</v>
      </c>
      <c r="M90" s="298"/>
    </row>
    <row r="91" spans="1:19" s="297" customFormat="1">
      <c r="A91" s="7"/>
      <c r="B91" s="161">
        <v>2089</v>
      </c>
      <c r="C91" s="29" t="s">
        <v>870</v>
      </c>
      <c r="D91" s="37" t="s">
        <v>1007</v>
      </c>
      <c r="E91" s="161" t="s">
        <v>852</v>
      </c>
      <c r="F91" s="7"/>
      <c r="G91" s="251">
        <v>587.34</v>
      </c>
      <c r="H91" s="51">
        <v>0</v>
      </c>
      <c r="I91" s="51">
        <v>587.34</v>
      </c>
      <c r="J91" s="285">
        <v>587.34</v>
      </c>
      <c r="K91" s="302" t="s">
        <v>1002</v>
      </c>
      <c r="M91" s="298"/>
    </row>
    <row r="92" spans="1:19" s="297" customFormat="1">
      <c r="A92" s="7"/>
      <c r="B92" s="161">
        <v>2089</v>
      </c>
      <c r="C92" s="29" t="s">
        <v>870</v>
      </c>
      <c r="D92" s="37" t="s">
        <v>1007</v>
      </c>
      <c r="E92" s="161" t="s">
        <v>852</v>
      </c>
      <c r="F92" s="7"/>
      <c r="G92" s="251">
        <v>587.34</v>
      </c>
      <c r="H92" s="51">
        <v>0</v>
      </c>
      <c r="I92" s="51">
        <v>587.34</v>
      </c>
      <c r="J92" s="285">
        <v>587.34</v>
      </c>
      <c r="K92" s="302" t="s">
        <v>1008</v>
      </c>
      <c r="M92" s="298"/>
    </row>
    <row r="93" spans="1:19" s="297" customFormat="1">
      <c r="A93" s="7"/>
      <c r="B93" s="161"/>
      <c r="C93" s="29" t="s">
        <v>768</v>
      </c>
      <c r="D93" s="37" t="s">
        <v>1009</v>
      </c>
      <c r="E93" s="161" t="s">
        <v>852</v>
      </c>
      <c r="F93" s="7"/>
      <c r="G93" s="251">
        <v>2931.26</v>
      </c>
      <c r="H93" s="51"/>
      <c r="I93" s="51">
        <v>2931.26</v>
      </c>
      <c r="J93" s="285">
        <v>2931.26</v>
      </c>
      <c r="K93" s="302"/>
      <c r="M93" s="298"/>
    </row>
    <row r="94" spans="1:19">
      <c r="A94" s="7"/>
      <c r="B94" s="161"/>
      <c r="C94" s="29"/>
      <c r="D94" s="29"/>
      <c r="E94" s="161"/>
      <c r="F94" s="7"/>
      <c r="G94" s="251"/>
      <c r="H94" s="51"/>
      <c r="I94" s="51"/>
      <c r="J94" s="285"/>
      <c r="K94" s="241"/>
      <c r="L94"/>
      <c r="M94" s="15"/>
    </row>
    <row r="95" spans="1:19" ht="12" customHeight="1">
      <c r="A95" s="428" t="s">
        <v>846</v>
      </c>
      <c r="B95" s="429"/>
      <c r="C95" s="429"/>
      <c r="D95" s="429"/>
      <c r="E95" s="429"/>
      <c r="F95" s="429"/>
      <c r="G95" s="430"/>
      <c r="H95" s="246"/>
      <c r="I95" s="246"/>
      <c r="J95" s="301">
        <f>SUM(J84:J94)</f>
        <v>10230.44</v>
      </c>
      <c r="K95" s="258"/>
      <c r="L95"/>
    </row>
    <row r="96" spans="1:19" ht="12" customHeight="1">
      <c r="A96" s="172"/>
      <c r="B96" s="173"/>
      <c r="C96" s="173"/>
      <c r="D96" s="173"/>
      <c r="E96" s="173"/>
      <c r="F96" s="281"/>
      <c r="G96" s="167"/>
      <c r="H96" s="167"/>
      <c r="I96" s="167"/>
      <c r="J96" s="83"/>
      <c r="K96" s="259"/>
      <c r="L96"/>
    </row>
    <row r="97" spans="1:15" ht="16">
      <c r="A97" s="450" t="s">
        <v>881</v>
      </c>
      <c r="B97" s="451"/>
      <c r="C97" s="451"/>
      <c r="D97" s="451"/>
      <c r="E97" s="451"/>
      <c r="F97" s="451"/>
      <c r="G97" s="452"/>
      <c r="H97" s="267"/>
      <c r="I97" s="267"/>
      <c r="J97" s="268">
        <f>J78+J95</f>
        <v>83323.14</v>
      </c>
      <c r="K97" s="260"/>
      <c r="L97"/>
    </row>
    <row r="98" spans="1:15" ht="18">
      <c r="G98" s="218" t="s">
        <v>250</v>
      </c>
      <c r="H98" s="238">
        <v>45177</v>
      </c>
      <c r="I98"/>
      <c r="J98"/>
      <c r="K98"/>
      <c r="L98"/>
    </row>
    <row r="99" spans="1:15" ht="18">
      <c r="G99" s="218" t="s">
        <v>251</v>
      </c>
      <c r="H99" s="239" t="s">
        <v>990</v>
      </c>
      <c r="I99"/>
      <c r="J99"/>
      <c r="K99"/>
      <c r="L99"/>
    </row>
    <row r="101" spans="1:15">
      <c r="H101" s="269">
        <f>H18+H74+H41</f>
        <v>1899.08</v>
      </c>
      <c r="J101" s="270">
        <f>J97-H101</f>
        <v>81424.06</v>
      </c>
    </row>
    <row r="102" spans="1:15">
      <c r="H102" s="269"/>
      <c r="J102" s="270"/>
    </row>
    <row r="104" spans="1:15" s="3" customFormat="1">
      <c r="A104"/>
      <c r="B104"/>
      <c r="C104"/>
      <c r="D104"/>
      <c r="E104"/>
      <c r="G104" s="216"/>
      <c r="H104" s="216"/>
      <c r="I104" s="216"/>
      <c r="K104" s="152"/>
      <c r="L104" s="216"/>
      <c r="M104"/>
      <c r="N104"/>
      <c r="O104"/>
    </row>
  </sheetData>
  <mergeCells count="7">
    <mergeCell ref="A97:G97"/>
    <mergeCell ref="A78:G78"/>
    <mergeCell ref="A79:C79"/>
    <mergeCell ref="A81:C81"/>
    <mergeCell ref="A82:C82"/>
    <mergeCell ref="A83:G83"/>
    <mergeCell ref="A95:G95"/>
  </mergeCells>
  <conditionalFormatting sqref="B8:B10 B4">
    <cfRule type="duplicateValues" dxfId="1502" priority="104"/>
  </conditionalFormatting>
  <conditionalFormatting sqref="B8:B11 B13:B75">
    <cfRule type="duplicateValues" dxfId="1501" priority="963"/>
  </conditionalFormatting>
  <conditionalFormatting sqref="B11 B13:B75">
    <cfRule type="duplicateValues" dxfId="1500" priority="965"/>
  </conditionalFormatting>
  <conditionalFormatting sqref="B84">
    <cfRule type="duplicateValues" dxfId="1499" priority="23"/>
    <cfRule type="duplicateValues" dxfId="1498" priority="24"/>
  </conditionalFormatting>
  <conditionalFormatting sqref="B85">
    <cfRule type="duplicateValues" dxfId="1497" priority="20"/>
    <cfRule type="duplicateValues" dxfId="1496" priority="21"/>
  </conditionalFormatting>
  <conditionalFormatting sqref="B86:B87">
    <cfRule type="duplicateValues" dxfId="1495" priority="17"/>
    <cfRule type="duplicateValues" dxfId="1494" priority="18"/>
  </conditionalFormatting>
  <conditionalFormatting sqref="B88">
    <cfRule type="duplicateValues" dxfId="1493" priority="14"/>
    <cfRule type="duplicateValues" dxfId="1492" priority="15"/>
  </conditionalFormatting>
  <conditionalFormatting sqref="B89">
    <cfRule type="duplicateValues" dxfId="1491" priority="11"/>
    <cfRule type="duplicateValues" dxfId="1490" priority="12"/>
  </conditionalFormatting>
  <conditionalFormatting sqref="B90">
    <cfRule type="duplicateValues" dxfId="1489" priority="8"/>
    <cfRule type="duplicateValues" dxfId="1488" priority="9"/>
  </conditionalFormatting>
  <conditionalFormatting sqref="B91">
    <cfRule type="duplicateValues" dxfId="1487" priority="5"/>
    <cfRule type="duplicateValues" dxfId="1486" priority="6"/>
  </conditionalFormatting>
  <conditionalFormatting sqref="B92:B93">
    <cfRule type="duplicateValues" dxfId="1485" priority="2"/>
    <cfRule type="duplicateValues" dxfId="1484" priority="3"/>
  </conditionalFormatting>
  <conditionalFormatting sqref="B94">
    <cfRule type="duplicateValues" dxfId="1483" priority="26"/>
    <cfRule type="duplicateValues" dxfId="1482" priority="27"/>
  </conditionalFormatting>
  <conditionalFormatting sqref="C102">
    <cfRule type="duplicateValues" dxfId="1481" priority="96"/>
    <cfRule type="duplicateValues" dxfId="1480" priority="97"/>
  </conditionalFormatting>
  <conditionalFormatting sqref="C104">
    <cfRule type="duplicateValues" dxfId="1479" priority="94"/>
    <cfRule type="duplicateValues" dxfId="1478" priority="95"/>
  </conditionalFormatting>
  <conditionalFormatting sqref="C106">
    <cfRule type="duplicateValues" dxfId="1477" priority="92"/>
    <cfRule type="duplicateValues" dxfId="1476" priority="93"/>
  </conditionalFormatting>
  <conditionalFormatting sqref="C95:F99 E76:F78 E83:F83 C78:D83 E1:F3 C1:D4">
    <cfRule type="duplicateValues" dxfId="1475" priority="100"/>
  </conditionalFormatting>
  <conditionalFormatting sqref="C95:F100 E1:F3 C1:D4 E76:F78 E83:F83 C78:D83 D102:F102 D104:F104 C103:F103 C107:F1048576 D106:F106 C105:F105">
    <cfRule type="duplicateValues" dxfId="1474" priority="99"/>
  </conditionalFormatting>
  <conditionalFormatting sqref="C100:F100 D102:F102 D104:F104 C103:F103 C107:F1048576 D106:F106 C105:F105">
    <cfRule type="duplicateValues" dxfId="1473" priority="102"/>
  </conditionalFormatting>
  <conditionalFormatting sqref="E80">
    <cfRule type="duplicateValues" dxfId="1472" priority="88"/>
    <cfRule type="duplicateValues" dxfId="1471" priority="89"/>
  </conditionalFormatting>
  <conditionalFormatting sqref="E76:F77">
    <cfRule type="duplicateValues" dxfId="1470" priority="101"/>
  </conditionalFormatting>
  <conditionalFormatting sqref="E4:G8">
    <cfRule type="containsText" dxfId="1469" priority="87" operator="containsText" text="Spouse">
      <formula>NOT(ISERROR(SEARCH("Spouse",E4)))</formula>
    </cfRule>
  </conditionalFormatting>
  <conditionalFormatting sqref="E10:G75">
    <cfRule type="containsText" dxfId="1468" priority="56" operator="containsText" text="Spouse">
      <formula>NOT(ISERROR(SEARCH("Spouse",E10)))</formula>
    </cfRule>
  </conditionalFormatting>
  <conditionalFormatting sqref="E84:G94">
    <cfRule type="containsText" dxfId="1467" priority="1" operator="containsText" text="Spouse">
      <formula>NOT(ISERROR(SEARCH("Spouse",E84)))</formula>
    </cfRule>
  </conditionalFormatting>
  <conditionalFormatting sqref="G1:H3 E9:F9 G76:I78 F79:F82 H79:I82 G83:I83 G95:I1048576">
    <cfRule type="containsText" dxfId="1466" priority="90" operator="containsText" text="Spouse">
      <formula>NOT(ISERROR(SEARCH("Spouse",E1)))</formula>
    </cfRule>
  </conditionalFormatting>
  <conditionalFormatting sqref="J6">
    <cfRule type="containsText" dxfId="1465" priority="86" operator="containsText" text="Spouse">
      <formula>NOT(ISERROR(SEARCH("Spouse",J6)))</formula>
    </cfRule>
  </conditionalFormatting>
  <conditionalFormatting sqref="K5:K7 K11:K15 K18:K21 K23:K39 K41:K58 K60:K71">
    <cfRule type="notContainsBlanks" dxfId="1464" priority="91">
      <formula>LEN(TRIM(K5))&gt;0</formula>
    </cfRule>
  </conditionalFormatting>
  <conditionalFormatting sqref="L76:L77 K78:K83 K86:K88 K90:K93 K95:K97">
    <cfRule type="notContainsBlanks" dxfId="1463" priority="98">
      <formula>LEN(TRIM(K76))&gt;0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DFE5-B234-9E45-8B0F-243A8D3F13F5}">
  <dimension ref="A1:O140"/>
  <sheetViews>
    <sheetView topLeftCell="A52" zoomScale="170" workbookViewId="0">
      <selection activeCell="N18" sqref="N18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6" customWidth="1"/>
    <col min="4" max="4" width="23.5" customWidth="1"/>
    <col min="5" max="5" width="8" customWidth="1"/>
    <col min="6" max="6" width="8.6640625" style="3" customWidth="1"/>
    <col min="7" max="7" width="11.33203125" style="216" customWidth="1"/>
    <col min="8" max="8" width="10.66406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45200</v>
      </c>
      <c r="K2" s="230"/>
    </row>
    <row r="3" spans="1:14" ht="14" customHeight="1">
      <c r="J3" s="201"/>
      <c r="K3" s="231" t="s">
        <v>832</v>
      </c>
    </row>
    <row r="4" spans="1:14" ht="42">
      <c r="A4" s="50" t="s">
        <v>226</v>
      </c>
      <c r="B4" s="219" t="s">
        <v>500</v>
      </c>
      <c r="C4" s="50" t="s">
        <v>498</v>
      </c>
      <c r="D4" s="50" t="s">
        <v>499</v>
      </c>
      <c r="E4" s="279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10"/>
      <c r="B5" s="29" t="s">
        <v>955</v>
      </c>
      <c r="C5" s="29" t="s">
        <v>943</v>
      </c>
      <c r="D5" s="29" t="s">
        <v>944</v>
      </c>
      <c r="E5" s="161" t="s">
        <v>852</v>
      </c>
      <c r="F5" s="7"/>
      <c r="G5" s="251">
        <v>520.32000000000005</v>
      </c>
      <c r="H5" s="51">
        <v>0</v>
      </c>
      <c r="I5" s="51">
        <v>520.32000000000005</v>
      </c>
      <c r="J5" s="285">
        <v>520.32000000000005</v>
      </c>
      <c r="K5" s="161"/>
      <c r="L5" s="254"/>
    </row>
    <row r="6" spans="1:14">
      <c r="A6" s="10"/>
      <c r="B6" s="161">
        <v>2305</v>
      </c>
      <c r="C6" s="29" t="s">
        <v>959</v>
      </c>
      <c r="D6" s="29" t="s">
        <v>960</v>
      </c>
      <c r="E6" s="161" t="s">
        <v>852</v>
      </c>
      <c r="F6" s="7"/>
      <c r="G6" s="251">
        <v>1347.46</v>
      </c>
      <c r="H6" s="51">
        <v>0</v>
      </c>
      <c r="I6" s="251">
        <v>1347.46</v>
      </c>
      <c r="J6" s="265">
        <v>1347.46</v>
      </c>
      <c r="K6" s="161" t="s">
        <v>961</v>
      </c>
      <c r="L6" s="254"/>
    </row>
    <row r="7" spans="1:14">
      <c r="A7" s="7">
        <v>1</v>
      </c>
      <c r="B7" s="29" t="s">
        <v>741</v>
      </c>
      <c r="C7" s="29" t="s">
        <v>742</v>
      </c>
      <c r="D7" s="29" t="s">
        <v>779</v>
      </c>
      <c r="E7" s="161" t="s">
        <v>852</v>
      </c>
      <c r="F7" s="7"/>
      <c r="G7" s="251">
        <v>1158.3</v>
      </c>
      <c r="H7" s="51"/>
      <c r="I7" s="51">
        <f>G7+H7</f>
        <v>1158.3</v>
      </c>
      <c r="J7" s="121">
        <f>H7+I7</f>
        <v>1158.3</v>
      </c>
      <c r="K7" s="161" t="s">
        <v>962</v>
      </c>
      <c r="L7"/>
    </row>
    <row r="8" spans="1:14">
      <c r="A8" s="7">
        <v>2</v>
      </c>
      <c r="B8" s="29" t="s">
        <v>658</v>
      </c>
      <c r="C8" s="29" t="s">
        <v>743</v>
      </c>
      <c r="D8" s="161" t="s">
        <v>780</v>
      </c>
      <c r="E8" s="161" t="s">
        <v>852</v>
      </c>
      <c r="F8" s="7"/>
      <c r="G8" s="251">
        <v>498.48</v>
      </c>
      <c r="H8" s="51">
        <v>0</v>
      </c>
      <c r="I8" s="51">
        <v>498.47</v>
      </c>
      <c r="J8" s="285">
        <v>498.47</v>
      </c>
      <c r="L8"/>
    </row>
    <row r="9" spans="1:14">
      <c r="A9" s="7"/>
      <c r="B9" t="s">
        <v>951</v>
      </c>
      <c r="C9" s="29" t="s">
        <v>950</v>
      </c>
      <c r="D9" s="161" t="s">
        <v>949</v>
      </c>
      <c r="E9" s="161" t="s">
        <v>852</v>
      </c>
      <c r="F9" s="7"/>
      <c r="G9" s="51">
        <v>1395.13</v>
      </c>
      <c r="H9" s="51">
        <v>0</v>
      </c>
      <c r="I9" s="51">
        <v>1395.13</v>
      </c>
      <c r="J9" s="121">
        <v>1395.13</v>
      </c>
      <c r="K9" s="295"/>
      <c r="L9"/>
    </row>
    <row r="10" spans="1:14">
      <c r="A10" s="7">
        <v>3</v>
      </c>
      <c r="B10" s="29" t="s">
        <v>659</v>
      </c>
      <c r="C10" s="29" t="s">
        <v>744</v>
      </c>
      <c r="D10" s="161" t="s">
        <v>781</v>
      </c>
      <c r="E10" s="161" t="s">
        <v>853</v>
      </c>
      <c r="F10" s="7">
        <v>2</v>
      </c>
      <c r="G10" s="251">
        <v>1637.1</v>
      </c>
      <c r="H10" s="51">
        <v>0</v>
      </c>
      <c r="I10" s="51">
        <v>1637.09</v>
      </c>
      <c r="J10" s="121">
        <v>1637.09</v>
      </c>
      <c r="K10" s="161"/>
      <c r="L10"/>
    </row>
    <row r="11" spans="1:14">
      <c r="A11" s="7">
        <v>4</v>
      </c>
      <c r="B11" s="29" t="s">
        <v>660</v>
      </c>
      <c r="C11" s="29" t="s">
        <v>462</v>
      </c>
      <c r="D11" s="29" t="s">
        <v>425</v>
      </c>
      <c r="E11" s="161" t="s">
        <v>853</v>
      </c>
      <c r="F11" s="7">
        <v>2</v>
      </c>
      <c r="G11" s="251">
        <v>1607.22</v>
      </c>
      <c r="H11" s="51">
        <v>0</v>
      </c>
      <c r="I11" s="51">
        <v>1607.22</v>
      </c>
      <c r="J11" s="285">
        <v>1607.22</v>
      </c>
      <c r="K11" s="161" t="s">
        <v>963</v>
      </c>
      <c r="L11"/>
    </row>
    <row r="12" spans="1:14">
      <c r="A12" s="7">
        <v>5</v>
      </c>
      <c r="B12" s="29" t="s">
        <v>833</v>
      </c>
      <c r="C12" s="29" t="s">
        <v>834</v>
      </c>
      <c r="D12" s="29" t="s">
        <v>835</v>
      </c>
      <c r="E12" s="161" t="s">
        <v>852</v>
      </c>
      <c r="F12" s="7"/>
      <c r="G12" s="251">
        <v>614.66</v>
      </c>
      <c r="H12" s="51">
        <v>0</v>
      </c>
      <c r="I12" s="51">
        <v>614.65</v>
      </c>
      <c r="J12" s="285">
        <v>614.65</v>
      </c>
      <c r="K12" s="161"/>
      <c r="L12"/>
    </row>
    <row r="13" spans="1:14">
      <c r="A13" s="7">
        <v>6</v>
      </c>
      <c r="B13" s="29" t="s">
        <v>661</v>
      </c>
      <c r="C13" s="29" t="s">
        <v>460</v>
      </c>
      <c r="D13" s="29" t="s">
        <v>426</v>
      </c>
      <c r="E13" s="161" t="s">
        <v>852</v>
      </c>
      <c r="F13" s="7"/>
      <c r="G13" s="251">
        <v>1292.3599999999999</v>
      </c>
      <c r="H13" s="51">
        <v>0</v>
      </c>
      <c r="I13" s="51">
        <v>1292.3499999999999</v>
      </c>
      <c r="J13" s="285">
        <v>1292.3499999999999</v>
      </c>
      <c r="K13" s="161" t="s">
        <v>964</v>
      </c>
      <c r="L13"/>
    </row>
    <row r="14" spans="1:14" s="1" customFormat="1">
      <c r="A14" s="7">
        <v>8</v>
      </c>
      <c r="B14" s="29" t="s">
        <v>663</v>
      </c>
      <c r="C14" s="29" t="s">
        <v>745</v>
      </c>
      <c r="D14" s="37" t="s">
        <v>784</v>
      </c>
      <c r="E14" s="161" t="s">
        <v>852</v>
      </c>
      <c r="F14" s="7"/>
      <c r="G14" s="251">
        <v>587.34</v>
      </c>
      <c r="H14" s="51">
        <v>0</v>
      </c>
      <c r="I14" s="51">
        <v>587.34</v>
      </c>
      <c r="J14" s="285">
        <v>587.34</v>
      </c>
      <c r="K14" s="161"/>
      <c r="L14"/>
      <c r="M14"/>
      <c r="N14"/>
    </row>
    <row r="15" spans="1:14">
      <c r="A15" s="7">
        <v>7</v>
      </c>
      <c r="B15" s="29" t="s">
        <v>837</v>
      </c>
      <c r="C15" s="29" t="s">
        <v>745</v>
      </c>
      <c r="D15" s="61" t="s">
        <v>838</v>
      </c>
      <c r="E15" s="161" t="s">
        <v>852</v>
      </c>
      <c r="F15" s="7"/>
      <c r="G15" s="251">
        <v>776.02</v>
      </c>
      <c r="H15" s="51">
        <v>0</v>
      </c>
      <c r="I15" s="51">
        <v>776.01</v>
      </c>
      <c r="J15" s="285">
        <v>776.01</v>
      </c>
      <c r="K15" s="161"/>
      <c r="L15"/>
    </row>
    <row r="16" spans="1:14" s="1" customFormat="1">
      <c r="A16" s="7">
        <v>9</v>
      </c>
      <c r="B16" s="29" t="s">
        <v>662</v>
      </c>
      <c r="C16" s="29" t="s">
        <v>745</v>
      </c>
      <c r="D16" s="61" t="s">
        <v>783</v>
      </c>
      <c r="E16" s="161" t="s">
        <v>852</v>
      </c>
      <c r="F16" s="7"/>
      <c r="G16" s="251">
        <v>618.62</v>
      </c>
      <c r="H16" s="51">
        <v>0</v>
      </c>
      <c r="I16" s="51">
        <v>618.62</v>
      </c>
      <c r="J16" s="285">
        <v>618.62</v>
      </c>
      <c r="K16" s="29"/>
      <c r="L16"/>
      <c r="M16"/>
      <c r="N16"/>
    </row>
    <row r="17" spans="1:14" s="1" customFormat="1">
      <c r="A17" s="7"/>
      <c r="B17" t="s">
        <v>953</v>
      </c>
      <c r="C17" s="29" t="s">
        <v>806</v>
      </c>
      <c r="D17" s="61" t="s">
        <v>952</v>
      </c>
      <c r="E17" s="161" t="s">
        <v>852</v>
      </c>
      <c r="F17" s="7"/>
      <c r="G17" s="251">
        <v>606.71</v>
      </c>
      <c r="H17" s="51">
        <v>0</v>
      </c>
      <c r="I17" s="51">
        <v>606.71</v>
      </c>
      <c r="J17" s="285">
        <v>606.71</v>
      </c>
      <c r="K17" s="6"/>
      <c r="L17"/>
      <c r="M17"/>
      <c r="N17"/>
    </row>
    <row r="18" spans="1:14">
      <c r="A18" s="7">
        <v>10</v>
      </c>
      <c r="B18" s="29" t="s">
        <v>839</v>
      </c>
      <c r="C18" s="29" t="s">
        <v>840</v>
      </c>
      <c r="D18" s="29" t="s">
        <v>841</v>
      </c>
      <c r="E18" s="161" t="s">
        <v>855</v>
      </c>
      <c r="F18" s="7">
        <v>1</v>
      </c>
      <c r="G18" s="251">
        <v>1012.42</v>
      </c>
      <c r="H18" s="51">
        <v>626.58000000000004</v>
      </c>
      <c r="I18" s="51">
        <f>G18+H18</f>
        <v>1639</v>
      </c>
      <c r="J18" s="285">
        <v>1638.99</v>
      </c>
      <c r="K18" s="161"/>
      <c r="L18"/>
    </row>
    <row r="19" spans="1:14">
      <c r="A19" s="7">
        <v>11</v>
      </c>
      <c r="B19" s="29" t="s">
        <v>664</v>
      </c>
      <c r="C19" s="29" t="s">
        <v>746</v>
      </c>
      <c r="D19" s="29" t="s">
        <v>785</v>
      </c>
      <c r="E19" s="161" t="s">
        <v>854</v>
      </c>
      <c r="F19" s="7">
        <v>1</v>
      </c>
      <c r="G19" s="251">
        <v>1843.96</v>
      </c>
      <c r="H19" s="51">
        <v>0</v>
      </c>
      <c r="I19" s="51">
        <v>1843.95</v>
      </c>
      <c r="J19" s="285">
        <v>1843.95</v>
      </c>
      <c r="K19" s="161"/>
      <c r="L19"/>
    </row>
    <row r="20" spans="1:14">
      <c r="A20" s="7">
        <v>12</v>
      </c>
      <c r="B20" s="29" t="s">
        <v>665</v>
      </c>
      <c r="C20" s="29" t="s">
        <v>746</v>
      </c>
      <c r="D20" s="29" t="s">
        <v>786</v>
      </c>
      <c r="E20" s="161" t="s">
        <v>852</v>
      </c>
      <c r="F20" s="7"/>
      <c r="G20" s="251">
        <v>626.58000000000004</v>
      </c>
      <c r="H20" s="51">
        <v>0</v>
      </c>
      <c r="I20" s="51">
        <v>626.57000000000005</v>
      </c>
      <c r="J20" s="285">
        <v>626.57000000000005</v>
      </c>
      <c r="K20" s="161"/>
      <c r="L20"/>
    </row>
    <row r="21" spans="1:14">
      <c r="A21" s="7">
        <v>13</v>
      </c>
      <c r="B21" s="29" t="s">
        <v>666</v>
      </c>
      <c r="C21" s="29" t="s">
        <v>747</v>
      </c>
      <c r="D21" s="37" t="s">
        <v>787</v>
      </c>
      <c r="E21" s="161" t="s">
        <v>854</v>
      </c>
      <c r="F21" s="7">
        <v>1</v>
      </c>
      <c r="G21" s="251">
        <v>996.54</v>
      </c>
      <c r="H21" s="51">
        <v>0</v>
      </c>
      <c r="I21" s="51">
        <v>996.53</v>
      </c>
      <c r="J21" s="285">
        <v>996.53</v>
      </c>
      <c r="K21" s="161"/>
      <c r="L21"/>
    </row>
    <row r="22" spans="1:14">
      <c r="A22" s="7">
        <v>14</v>
      </c>
      <c r="B22" s="220" t="s">
        <v>934</v>
      </c>
      <c r="C22" s="29" t="s">
        <v>932</v>
      </c>
      <c r="D22" s="37" t="s">
        <v>933</v>
      </c>
      <c r="E22" s="161" t="s">
        <v>852</v>
      </c>
      <c r="F22" s="7"/>
      <c r="G22" s="251">
        <v>539.67999999999995</v>
      </c>
      <c r="H22" s="51">
        <v>0</v>
      </c>
      <c r="I22" s="51">
        <v>539.67999999999995</v>
      </c>
      <c r="J22" s="285">
        <v>539.67999999999995</v>
      </c>
      <c r="L22"/>
    </row>
    <row r="23" spans="1:14" s="1" customFormat="1">
      <c r="A23" s="7">
        <v>15</v>
      </c>
      <c r="B23" s="29" t="s">
        <v>667</v>
      </c>
      <c r="C23" s="29" t="s">
        <v>466</v>
      </c>
      <c r="D23" s="29" t="s">
        <v>431</v>
      </c>
      <c r="E23" s="161" t="s">
        <v>853</v>
      </c>
      <c r="F23" s="7">
        <v>2</v>
      </c>
      <c r="G23" s="251">
        <v>1881.68</v>
      </c>
      <c r="H23" s="51">
        <v>0</v>
      </c>
      <c r="I23" s="51">
        <v>1881.68</v>
      </c>
      <c r="J23" s="285">
        <v>1383.21</v>
      </c>
      <c r="K23" s="161" t="s">
        <v>985</v>
      </c>
      <c r="L23"/>
      <c r="M23"/>
      <c r="N23"/>
    </row>
    <row r="24" spans="1:14">
      <c r="A24" s="7">
        <v>16</v>
      </c>
      <c r="B24" s="29" t="s">
        <v>668</v>
      </c>
      <c r="C24" s="29" t="s">
        <v>748</v>
      </c>
      <c r="D24" s="37" t="s">
        <v>788</v>
      </c>
      <c r="E24" s="161" t="s">
        <v>852</v>
      </c>
      <c r="F24" s="7"/>
      <c r="G24" s="251">
        <v>1107.1600000000001</v>
      </c>
      <c r="H24" s="51">
        <v>0</v>
      </c>
      <c r="I24" s="51">
        <v>1107.1600000000001</v>
      </c>
      <c r="J24" s="285">
        <v>1107.1600000000001</v>
      </c>
      <c r="K24" s="161"/>
      <c r="L24"/>
    </row>
    <row r="25" spans="1:14">
      <c r="A25" s="7">
        <v>17</v>
      </c>
      <c r="B25" s="29" t="s">
        <v>669</v>
      </c>
      <c r="C25" s="29" t="s">
        <v>749</v>
      </c>
      <c r="D25" s="37" t="s">
        <v>789</v>
      </c>
      <c r="E25" s="161" t="s">
        <v>852</v>
      </c>
      <c r="F25" s="7"/>
      <c r="G25" s="251">
        <v>539.67999999999995</v>
      </c>
      <c r="H25" s="51">
        <v>0</v>
      </c>
      <c r="I25" s="51">
        <v>539.67999999999995</v>
      </c>
      <c r="J25" s="285">
        <v>539.67999999999995</v>
      </c>
      <c r="K25" s="161"/>
      <c r="L25"/>
    </row>
    <row r="26" spans="1:14">
      <c r="A26" s="7"/>
      <c r="B26" s="161">
        <v>1961</v>
      </c>
      <c r="C26" s="29" t="s">
        <v>967</v>
      </c>
      <c r="D26" s="37" t="s">
        <v>968</v>
      </c>
      <c r="E26" s="161" t="s">
        <v>852</v>
      </c>
      <c r="F26" s="7"/>
      <c r="G26" s="251">
        <v>1209.94</v>
      </c>
      <c r="H26" s="51">
        <v>0</v>
      </c>
      <c r="I26" s="51">
        <v>1209.94</v>
      </c>
      <c r="J26" s="285">
        <v>1209.94</v>
      </c>
      <c r="K26" s="161"/>
      <c r="L26"/>
    </row>
    <row r="27" spans="1:14">
      <c r="A27" s="7">
        <v>18</v>
      </c>
      <c r="B27" s="29" t="s">
        <v>729</v>
      </c>
      <c r="C27" s="29" t="s">
        <v>750</v>
      </c>
      <c r="D27" s="37" t="s">
        <v>790</v>
      </c>
      <c r="E27" s="161" t="s">
        <v>852</v>
      </c>
      <c r="F27" s="7"/>
      <c r="G27" s="251">
        <v>618.62</v>
      </c>
      <c r="H27" s="51">
        <v>0</v>
      </c>
      <c r="I27" s="51">
        <v>618.62</v>
      </c>
      <c r="J27" s="285">
        <v>618.62</v>
      </c>
      <c r="K27" s="161"/>
      <c r="L27"/>
    </row>
    <row r="28" spans="1:14">
      <c r="A28" s="7">
        <v>19</v>
      </c>
      <c r="B28" s="29" t="s">
        <v>671</v>
      </c>
      <c r="C28" s="29" t="s">
        <v>751</v>
      </c>
      <c r="D28" s="29" t="s">
        <v>791</v>
      </c>
      <c r="E28" s="161" t="s">
        <v>852</v>
      </c>
      <c r="F28" s="7"/>
      <c r="G28" s="251">
        <v>1489.48</v>
      </c>
      <c r="H28" s="51">
        <v>0</v>
      </c>
      <c r="I28" s="51">
        <v>1489.47</v>
      </c>
      <c r="J28" s="285">
        <v>1489.47</v>
      </c>
      <c r="K28" s="161"/>
      <c r="L28"/>
    </row>
    <row r="29" spans="1:14">
      <c r="A29" s="7">
        <v>20</v>
      </c>
      <c r="B29" s="29" t="s">
        <v>672</v>
      </c>
      <c r="C29" s="29" t="s">
        <v>752</v>
      </c>
      <c r="D29" s="29" t="s">
        <v>792</v>
      </c>
      <c r="E29" s="161" t="s">
        <v>853</v>
      </c>
      <c r="F29" s="7">
        <v>2</v>
      </c>
      <c r="G29" s="251">
        <v>1414.18</v>
      </c>
      <c r="H29" s="51">
        <v>0</v>
      </c>
      <c r="I29" s="51">
        <v>1414.17</v>
      </c>
      <c r="J29" s="285">
        <v>1414.17</v>
      </c>
      <c r="K29" s="161"/>
      <c r="L29"/>
    </row>
    <row r="30" spans="1:14">
      <c r="A30" s="7">
        <v>21</v>
      </c>
      <c r="B30" s="29" t="s">
        <v>674</v>
      </c>
      <c r="C30" s="29" t="s">
        <v>753</v>
      </c>
      <c r="D30" s="29" t="s">
        <v>794</v>
      </c>
      <c r="E30" s="161" t="s">
        <v>852</v>
      </c>
      <c r="F30" s="7"/>
      <c r="G30" s="251">
        <v>602.74</v>
      </c>
      <c r="H30" s="51">
        <v>0</v>
      </c>
      <c r="I30" s="51">
        <v>602.73</v>
      </c>
      <c r="J30" s="285">
        <v>602.73</v>
      </c>
      <c r="K30" s="161"/>
      <c r="L30"/>
    </row>
    <row r="31" spans="1:14">
      <c r="A31" s="7"/>
      <c r="B31" s="161">
        <v>2223</v>
      </c>
      <c r="C31" s="29" t="s">
        <v>972</v>
      </c>
      <c r="D31" s="29" t="s">
        <v>973</v>
      </c>
      <c r="E31" s="161" t="s">
        <v>852</v>
      </c>
      <c r="F31" s="7"/>
      <c r="G31" s="251">
        <v>508.4</v>
      </c>
      <c r="H31" s="51"/>
      <c r="I31" s="51">
        <v>508.4</v>
      </c>
      <c r="J31" s="285">
        <v>508.4</v>
      </c>
      <c r="K31" s="161"/>
      <c r="L31"/>
    </row>
    <row r="32" spans="1:14">
      <c r="A32" s="7"/>
      <c r="B32" s="161">
        <v>2307</v>
      </c>
      <c r="C32" s="29" t="s">
        <v>974</v>
      </c>
      <c r="D32" s="29" t="s">
        <v>975</v>
      </c>
      <c r="E32" s="161" t="s">
        <v>852</v>
      </c>
      <c r="F32" s="7"/>
      <c r="G32" s="251">
        <v>811.76</v>
      </c>
      <c r="H32" s="51"/>
      <c r="I32" s="51">
        <v>811.76</v>
      </c>
      <c r="J32" s="285">
        <v>811.76</v>
      </c>
      <c r="K32" s="161"/>
      <c r="L32"/>
    </row>
    <row r="33" spans="1:12">
      <c r="A33" s="7">
        <v>22</v>
      </c>
      <c r="B33" s="29" t="s">
        <v>715</v>
      </c>
      <c r="C33" s="29" t="s">
        <v>754</v>
      </c>
      <c r="D33" s="61" t="s">
        <v>795</v>
      </c>
      <c r="E33" s="161" t="s">
        <v>852</v>
      </c>
      <c r="F33" s="7"/>
      <c r="G33" s="251">
        <v>1209.94</v>
      </c>
      <c r="H33" s="51">
        <v>0</v>
      </c>
      <c r="I33" s="51">
        <v>1209.94</v>
      </c>
      <c r="J33" s="285">
        <v>1209.94</v>
      </c>
      <c r="K33" s="161"/>
      <c r="L33"/>
    </row>
    <row r="34" spans="1:12">
      <c r="A34" s="7">
        <v>23</v>
      </c>
      <c r="B34" s="29" t="s">
        <v>716</v>
      </c>
      <c r="C34" s="29" t="s">
        <v>439</v>
      </c>
      <c r="D34" s="29" t="s">
        <v>505</v>
      </c>
      <c r="E34" s="161" t="s">
        <v>852</v>
      </c>
      <c r="F34" s="7"/>
      <c r="G34" s="251">
        <v>1489.48</v>
      </c>
      <c r="H34" s="51">
        <v>0</v>
      </c>
      <c r="I34" s="51">
        <v>1489.47</v>
      </c>
      <c r="J34" s="285">
        <v>1489.47</v>
      </c>
      <c r="K34" s="161"/>
      <c r="L34"/>
    </row>
    <row r="35" spans="1:12">
      <c r="A35" s="7">
        <v>24</v>
      </c>
      <c r="B35" s="220" t="s">
        <v>675</v>
      </c>
      <c r="C35" s="29" t="s">
        <v>755</v>
      </c>
      <c r="D35" s="29" t="s">
        <v>796</v>
      </c>
      <c r="E35" s="161" t="s">
        <v>852</v>
      </c>
      <c r="F35" s="7"/>
      <c r="G35" s="251">
        <v>646.42999999999995</v>
      </c>
      <c r="H35" s="51">
        <v>0</v>
      </c>
      <c r="I35" s="51">
        <f>SUM(G35:H35)</f>
        <v>646.42999999999995</v>
      </c>
      <c r="J35" s="285">
        <v>646.42999999999995</v>
      </c>
      <c r="K35" s="161"/>
      <c r="L35"/>
    </row>
    <row r="36" spans="1:12">
      <c r="A36" s="7">
        <v>26</v>
      </c>
      <c r="B36" s="29" t="s">
        <v>676</v>
      </c>
      <c r="C36" s="29" t="s">
        <v>755</v>
      </c>
      <c r="D36" s="29" t="s">
        <v>797</v>
      </c>
      <c r="E36" s="161" t="s">
        <v>852</v>
      </c>
      <c r="F36" s="7"/>
      <c r="G36" s="251">
        <v>1012.84</v>
      </c>
      <c r="H36" s="51">
        <v>0</v>
      </c>
      <c r="I36" s="51">
        <v>1012.83</v>
      </c>
      <c r="J36" s="285">
        <v>1012.83</v>
      </c>
      <c r="K36" s="161"/>
      <c r="L36"/>
    </row>
    <row r="37" spans="1:12" s="12" customFormat="1" ht="14" customHeight="1">
      <c r="A37" s="7">
        <v>25</v>
      </c>
      <c r="B37" s="29" t="s">
        <v>677</v>
      </c>
      <c r="C37" s="29" t="s">
        <v>755</v>
      </c>
      <c r="D37" s="37" t="s">
        <v>798</v>
      </c>
      <c r="E37" s="161" t="s">
        <v>853</v>
      </c>
      <c r="F37" s="7">
        <v>2</v>
      </c>
      <c r="G37" s="251">
        <v>1741.86</v>
      </c>
      <c r="H37" s="51">
        <v>0</v>
      </c>
      <c r="I37" s="51">
        <v>1741.85</v>
      </c>
      <c r="J37" s="285">
        <v>1741.85</v>
      </c>
      <c r="K37" s="161"/>
      <c r="L37"/>
    </row>
    <row r="38" spans="1:12">
      <c r="A38" s="7">
        <v>27</v>
      </c>
      <c r="B38" s="29" t="s">
        <v>678</v>
      </c>
      <c r="C38" s="29" t="s">
        <v>756</v>
      </c>
      <c r="D38" s="37" t="s">
        <v>799</v>
      </c>
      <c r="E38" s="161" t="s">
        <v>852</v>
      </c>
      <c r="F38" s="7"/>
      <c r="G38" s="251">
        <v>1489.48</v>
      </c>
      <c r="H38" s="51">
        <v>0</v>
      </c>
      <c r="I38" s="51">
        <v>1489.47</v>
      </c>
      <c r="J38" s="285">
        <v>1489.47</v>
      </c>
      <c r="K38" s="161"/>
      <c r="L38"/>
    </row>
    <row r="39" spans="1:12">
      <c r="A39" s="7">
        <v>28</v>
      </c>
      <c r="B39" s="29" t="s">
        <v>679</v>
      </c>
      <c r="C39" s="29" t="s">
        <v>756</v>
      </c>
      <c r="D39" s="37" t="s">
        <v>800</v>
      </c>
      <c r="E39" s="161" t="s">
        <v>852</v>
      </c>
      <c r="F39" s="7"/>
      <c r="G39" s="251">
        <v>1426.42</v>
      </c>
      <c r="H39" s="51">
        <v>0</v>
      </c>
      <c r="I39" s="51">
        <v>1426.41</v>
      </c>
      <c r="J39" s="285">
        <v>1426.41</v>
      </c>
      <c r="K39" s="161"/>
      <c r="L39"/>
    </row>
    <row r="40" spans="1:12">
      <c r="A40" s="7"/>
      <c r="B40" s="161">
        <v>2310</v>
      </c>
      <c r="C40" s="29" t="s">
        <v>756</v>
      </c>
      <c r="D40" s="37" t="s">
        <v>977</v>
      </c>
      <c r="E40" s="161" t="s">
        <v>852</v>
      </c>
      <c r="F40" s="7"/>
      <c r="G40" s="251">
        <v>811.76</v>
      </c>
      <c r="H40" s="51">
        <v>0</v>
      </c>
      <c r="I40" s="51">
        <v>811.76</v>
      </c>
      <c r="J40" s="285">
        <v>811.76</v>
      </c>
      <c r="K40" s="161" t="s">
        <v>961</v>
      </c>
      <c r="L40"/>
    </row>
    <row r="41" spans="1:12">
      <c r="A41" s="7">
        <v>29</v>
      </c>
      <c r="B41" s="29" t="s">
        <v>680</v>
      </c>
      <c r="C41" s="29" t="s">
        <v>444</v>
      </c>
      <c r="D41" s="29" t="s">
        <v>506</v>
      </c>
      <c r="E41" s="161" t="s">
        <v>852</v>
      </c>
      <c r="F41" s="7"/>
      <c r="G41" s="251">
        <v>847.02</v>
      </c>
      <c r="H41" s="51">
        <v>0</v>
      </c>
      <c r="I41" s="51">
        <v>847.01</v>
      </c>
      <c r="J41" s="285">
        <v>847.01</v>
      </c>
      <c r="K41" s="161"/>
      <c r="L41"/>
    </row>
    <row r="42" spans="1:12" ht="14" customHeight="1">
      <c r="A42" s="7">
        <v>32</v>
      </c>
      <c r="B42" s="29" t="s">
        <v>681</v>
      </c>
      <c r="C42" s="29" t="s">
        <v>757</v>
      </c>
      <c r="D42" s="29" t="s">
        <v>801</v>
      </c>
      <c r="E42" s="161" t="s">
        <v>856</v>
      </c>
      <c r="F42" s="7">
        <v>2</v>
      </c>
      <c r="G42" s="251">
        <v>1390.32</v>
      </c>
      <c r="H42" s="51">
        <v>614.66</v>
      </c>
      <c r="I42" s="51">
        <f>G42+H42</f>
        <v>2004.98</v>
      </c>
      <c r="J42" s="285">
        <v>2004.98</v>
      </c>
      <c r="K42" s="161"/>
      <c r="L42"/>
    </row>
    <row r="43" spans="1:12">
      <c r="A43" s="7">
        <v>30</v>
      </c>
      <c r="B43" s="29" t="s">
        <v>682</v>
      </c>
      <c r="C43" s="29" t="s">
        <v>757</v>
      </c>
      <c r="D43" s="29" t="s">
        <v>802</v>
      </c>
      <c r="E43" s="161" t="s">
        <v>854</v>
      </c>
      <c r="F43" s="7">
        <v>1</v>
      </c>
      <c r="G43" s="251">
        <v>1000.52</v>
      </c>
      <c r="H43" s="51">
        <v>0</v>
      </c>
      <c r="I43" s="51">
        <v>1000.51</v>
      </c>
      <c r="J43" s="285">
        <v>1000.51</v>
      </c>
      <c r="K43" s="161"/>
      <c r="L43"/>
    </row>
    <row r="44" spans="1:12">
      <c r="A44" s="7">
        <v>31</v>
      </c>
      <c r="B44" s="29" t="s">
        <v>683</v>
      </c>
      <c r="C44" s="29" t="s">
        <v>757</v>
      </c>
      <c r="D44" s="29" t="s">
        <v>803</v>
      </c>
      <c r="E44" s="161" t="s">
        <v>852</v>
      </c>
      <c r="F44" s="7"/>
      <c r="G44" s="251">
        <v>594.79999999999995</v>
      </c>
      <c r="H44" s="51">
        <v>0</v>
      </c>
      <c r="I44" s="51">
        <v>594.79</v>
      </c>
      <c r="J44" s="285">
        <v>594.79</v>
      </c>
      <c r="K44" s="161"/>
      <c r="L44"/>
    </row>
    <row r="45" spans="1:12">
      <c r="A45" s="7"/>
      <c r="B45" s="161">
        <v>2019</v>
      </c>
      <c r="C45" s="29" t="s">
        <v>476</v>
      </c>
      <c r="D45" s="29" t="s">
        <v>447</v>
      </c>
      <c r="E45" s="161" t="s">
        <v>854</v>
      </c>
      <c r="F45" s="7">
        <v>1</v>
      </c>
      <c r="G45" s="251">
        <v>1051.6400000000001</v>
      </c>
      <c r="H45" s="51">
        <v>0</v>
      </c>
      <c r="I45" s="51">
        <v>1051.6400000000001</v>
      </c>
      <c r="J45" s="285">
        <v>1051.6400000000001</v>
      </c>
      <c r="K45" s="161" t="s">
        <v>961</v>
      </c>
      <c r="L45"/>
    </row>
    <row r="46" spans="1:12">
      <c r="A46" s="7">
        <v>34</v>
      </c>
      <c r="B46" s="29" t="s">
        <v>686</v>
      </c>
      <c r="C46" s="29" t="s">
        <v>758</v>
      </c>
      <c r="D46" s="29" t="s">
        <v>805</v>
      </c>
      <c r="E46" s="161" t="s">
        <v>852</v>
      </c>
      <c r="F46" s="7"/>
      <c r="G46" s="251">
        <v>539.67999999999995</v>
      </c>
      <c r="H46" s="51">
        <v>0</v>
      </c>
      <c r="I46" s="51">
        <v>539.67999999999995</v>
      </c>
      <c r="J46" s="285">
        <v>539.67999999999995</v>
      </c>
      <c r="K46" s="161"/>
      <c r="L46"/>
    </row>
    <row r="47" spans="1:12">
      <c r="A47" s="7">
        <v>35</v>
      </c>
      <c r="B47" s="29" t="s">
        <v>687</v>
      </c>
      <c r="C47" s="29" t="s">
        <v>478</v>
      </c>
      <c r="D47" s="29" t="s">
        <v>448</v>
      </c>
      <c r="E47" s="161" t="s">
        <v>852</v>
      </c>
      <c r="F47" s="7"/>
      <c r="G47" s="251">
        <v>1489.48</v>
      </c>
      <c r="H47" s="51">
        <v>0</v>
      </c>
      <c r="I47" s="51">
        <v>1489.47</v>
      </c>
      <c r="J47" s="285">
        <v>1489.47</v>
      </c>
      <c r="K47" s="161"/>
      <c r="L47"/>
    </row>
    <row r="48" spans="1:12">
      <c r="A48" s="7">
        <v>36</v>
      </c>
      <c r="B48" s="29" t="s">
        <v>688</v>
      </c>
      <c r="C48" s="29" t="s">
        <v>759</v>
      </c>
      <c r="D48" s="37" t="s">
        <v>806</v>
      </c>
      <c r="E48" s="161" t="s">
        <v>852</v>
      </c>
      <c r="F48" s="7"/>
      <c r="G48" s="251">
        <v>602.74</v>
      </c>
      <c r="H48" s="51">
        <v>0</v>
      </c>
      <c r="I48" s="51">
        <v>602.73</v>
      </c>
      <c r="J48" s="285">
        <v>602.73</v>
      </c>
      <c r="K48" s="161"/>
      <c r="L48"/>
    </row>
    <row r="49" spans="1:12">
      <c r="A49" s="7">
        <v>37</v>
      </c>
      <c r="B49" s="29" t="s">
        <v>689</v>
      </c>
      <c r="C49" s="29" t="s">
        <v>760</v>
      </c>
      <c r="D49" s="29" t="s">
        <v>807</v>
      </c>
      <c r="E49" s="161" t="s">
        <v>852</v>
      </c>
      <c r="F49" s="7"/>
      <c r="G49" s="251">
        <v>508.4</v>
      </c>
      <c r="H49" s="51">
        <v>0</v>
      </c>
      <c r="I49" s="51">
        <v>508.4</v>
      </c>
      <c r="J49" s="285">
        <v>508.4</v>
      </c>
      <c r="K49" s="161"/>
      <c r="L49"/>
    </row>
    <row r="50" spans="1:12">
      <c r="A50" s="7">
        <v>38</v>
      </c>
      <c r="B50" s="29" t="s">
        <v>690</v>
      </c>
      <c r="C50" s="29" t="s">
        <v>761</v>
      </c>
      <c r="D50" s="29" t="s">
        <v>808</v>
      </c>
      <c r="E50" s="161" t="s">
        <v>852</v>
      </c>
      <c r="F50" s="7"/>
      <c r="G50" s="251">
        <v>539.67999999999995</v>
      </c>
      <c r="H50" s="51">
        <v>0</v>
      </c>
      <c r="I50" s="51">
        <v>539.67999999999995</v>
      </c>
      <c r="J50" s="285">
        <v>539.67999999999995</v>
      </c>
      <c r="K50" s="161"/>
      <c r="L50"/>
    </row>
    <row r="51" spans="1:12">
      <c r="A51" s="7">
        <v>40</v>
      </c>
      <c r="B51" s="29" t="s">
        <v>692</v>
      </c>
      <c r="C51" s="29" t="s">
        <v>762</v>
      </c>
      <c r="D51" s="29" t="s">
        <v>810</v>
      </c>
      <c r="E51" s="161" t="s">
        <v>854</v>
      </c>
      <c r="F51" s="7">
        <v>1</v>
      </c>
      <c r="G51" s="251">
        <v>1008.46</v>
      </c>
      <c r="H51" s="51">
        <v>0</v>
      </c>
      <c r="I51" s="51">
        <v>1008.45</v>
      </c>
      <c r="J51" s="285">
        <v>1008.45</v>
      </c>
      <c r="K51" s="161"/>
      <c r="L51"/>
    </row>
    <row r="52" spans="1:12">
      <c r="A52" s="7">
        <v>41</v>
      </c>
      <c r="B52" s="29" t="s">
        <v>693</v>
      </c>
      <c r="C52" s="29" t="s">
        <v>763</v>
      </c>
      <c r="D52" s="29" t="s">
        <v>811</v>
      </c>
      <c r="E52" s="161" t="s">
        <v>852</v>
      </c>
      <c r="F52" s="7"/>
      <c r="G52" s="251">
        <v>606.72</v>
      </c>
      <c r="H52" s="51">
        <v>0</v>
      </c>
      <c r="I52" s="51">
        <v>606.71</v>
      </c>
      <c r="J52" s="285">
        <v>606.71</v>
      </c>
      <c r="K52" s="161"/>
      <c r="L52"/>
    </row>
    <row r="53" spans="1:12">
      <c r="A53" s="7">
        <v>42</v>
      </c>
      <c r="B53" s="29" t="s">
        <v>694</v>
      </c>
      <c r="C53" s="29" t="s">
        <v>764</v>
      </c>
      <c r="D53" s="29" t="s">
        <v>812</v>
      </c>
      <c r="E53" s="161" t="s">
        <v>854</v>
      </c>
      <c r="F53" s="7">
        <v>1</v>
      </c>
      <c r="G53" s="251">
        <v>1169.82</v>
      </c>
      <c r="H53" s="51">
        <v>0</v>
      </c>
      <c r="I53" s="51">
        <v>1169.81</v>
      </c>
      <c r="J53" s="285">
        <v>1169.81</v>
      </c>
      <c r="K53" s="161"/>
      <c r="L53"/>
    </row>
    <row r="54" spans="1:12">
      <c r="A54" s="7">
        <v>43</v>
      </c>
      <c r="B54" s="29" t="s">
        <v>695</v>
      </c>
      <c r="C54" s="29" t="s">
        <v>765</v>
      </c>
      <c r="D54" s="29" t="s">
        <v>813</v>
      </c>
      <c r="E54" s="161" t="s">
        <v>854</v>
      </c>
      <c r="F54" s="7">
        <v>1</v>
      </c>
      <c r="G54" s="251">
        <v>1406.64</v>
      </c>
      <c r="H54" s="51">
        <v>0</v>
      </c>
      <c r="I54" s="51">
        <v>1406.63</v>
      </c>
      <c r="J54" s="285">
        <v>1406.63</v>
      </c>
      <c r="K54" s="161"/>
      <c r="L54"/>
    </row>
    <row r="55" spans="1:12">
      <c r="A55" s="7">
        <v>44</v>
      </c>
      <c r="B55" s="29" t="s">
        <v>696</v>
      </c>
      <c r="C55" s="29" t="s">
        <v>766</v>
      </c>
      <c r="D55" s="37" t="s">
        <v>814</v>
      </c>
      <c r="E55" s="161" t="s">
        <v>852</v>
      </c>
      <c r="F55" s="7"/>
      <c r="G55" s="251">
        <v>1158.3</v>
      </c>
      <c r="H55" s="51">
        <v>0</v>
      </c>
      <c r="I55" s="51">
        <v>1158.3</v>
      </c>
      <c r="J55" s="285">
        <v>1158.3</v>
      </c>
      <c r="K55" s="161"/>
      <c r="L55"/>
    </row>
    <row r="56" spans="1:12">
      <c r="A56" s="7">
        <v>45</v>
      </c>
      <c r="B56" s="29" t="s">
        <v>697</v>
      </c>
      <c r="C56" s="29" t="s">
        <v>767</v>
      </c>
      <c r="D56" s="37" t="s">
        <v>815</v>
      </c>
      <c r="E56" s="161" t="s">
        <v>854</v>
      </c>
      <c r="F56" s="7">
        <v>1</v>
      </c>
      <c r="G56" s="251">
        <v>1706.44</v>
      </c>
      <c r="H56" s="51">
        <v>0</v>
      </c>
      <c r="I56" s="51">
        <v>1706.43</v>
      </c>
      <c r="J56" s="285">
        <v>1706.43</v>
      </c>
      <c r="K56" s="161"/>
      <c r="L56"/>
    </row>
    <row r="57" spans="1:12">
      <c r="A57" s="7">
        <v>47</v>
      </c>
      <c r="B57" s="29" t="s">
        <v>842</v>
      </c>
      <c r="C57" s="29" t="s">
        <v>769</v>
      </c>
      <c r="D57" s="29" t="s">
        <v>843</v>
      </c>
      <c r="E57" s="161" t="s">
        <v>852</v>
      </c>
      <c r="F57" s="7"/>
      <c r="G57" s="251">
        <v>498.48</v>
      </c>
      <c r="H57" s="51">
        <v>0</v>
      </c>
      <c r="I57" s="51">
        <v>498.47</v>
      </c>
      <c r="J57" s="285">
        <v>498.47</v>
      </c>
      <c r="K57" s="161"/>
      <c r="L57"/>
    </row>
    <row r="58" spans="1:12">
      <c r="A58" s="7">
        <v>48</v>
      </c>
      <c r="B58" s="29" t="s">
        <v>698</v>
      </c>
      <c r="C58" s="29" t="s">
        <v>769</v>
      </c>
      <c r="D58" s="37" t="s">
        <v>817</v>
      </c>
      <c r="E58" s="161" t="s">
        <v>852</v>
      </c>
      <c r="F58" s="7"/>
      <c r="G58" s="251">
        <v>587.34</v>
      </c>
      <c r="H58" s="51">
        <v>0</v>
      </c>
      <c r="I58" s="51">
        <v>587.34</v>
      </c>
      <c r="J58" s="285">
        <v>587.34</v>
      </c>
      <c r="K58" s="225"/>
      <c r="L58"/>
    </row>
    <row r="59" spans="1:12">
      <c r="A59" s="7">
        <v>49</v>
      </c>
      <c r="B59" s="29" t="s">
        <v>699</v>
      </c>
      <c r="C59" s="29" t="s">
        <v>770</v>
      </c>
      <c r="D59" s="29" t="s">
        <v>818</v>
      </c>
      <c r="E59" s="161" t="s">
        <v>852</v>
      </c>
      <c r="F59" s="7"/>
      <c r="G59" s="251">
        <v>1465.64</v>
      </c>
      <c r="H59" s="51">
        <v>0</v>
      </c>
      <c r="I59" s="51">
        <v>1465.63</v>
      </c>
      <c r="J59" s="285">
        <v>1465.63</v>
      </c>
      <c r="K59" s="161"/>
      <c r="L59"/>
    </row>
    <row r="60" spans="1:12">
      <c r="A60" s="7">
        <v>50</v>
      </c>
      <c r="B60" s="29" t="s">
        <v>700</v>
      </c>
      <c r="C60" s="29" t="s">
        <v>771</v>
      </c>
      <c r="D60" s="37" t="s">
        <v>819</v>
      </c>
      <c r="E60" s="161" t="s">
        <v>854</v>
      </c>
      <c r="F60" s="7">
        <v>1</v>
      </c>
      <c r="G60" s="251">
        <v>1706.44</v>
      </c>
      <c r="H60" s="51">
        <v>0</v>
      </c>
      <c r="I60" s="51">
        <v>1706.43</v>
      </c>
      <c r="J60" s="285">
        <v>1706.43</v>
      </c>
      <c r="K60" s="161"/>
      <c r="L60"/>
    </row>
    <row r="61" spans="1:12">
      <c r="A61" s="7">
        <v>52</v>
      </c>
      <c r="B61" s="29" t="s">
        <v>702</v>
      </c>
      <c r="C61" s="29" t="s">
        <v>487</v>
      </c>
      <c r="D61" s="29" t="s">
        <v>516</v>
      </c>
      <c r="E61" s="161" t="s">
        <v>852</v>
      </c>
      <c r="F61" s="7"/>
      <c r="G61" s="251">
        <v>925.96</v>
      </c>
      <c r="H61" s="51">
        <v>0</v>
      </c>
      <c r="I61" s="51">
        <v>925.95</v>
      </c>
      <c r="J61" s="285">
        <v>925.95</v>
      </c>
      <c r="K61" s="161"/>
      <c r="L61"/>
    </row>
    <row r="62" spans="1:12">
      <c r="A62" s="7">
        <v>54</v>
      </c>
      <c r="B62" s="29" t="s">
        <v>704</v>
      </c>
      <c r="C62" s="29" t="s">
        <v>773</v>
      </c>
      <c r="D62" s="29" t="s">
        <v>821</v>
      </c>
      <c r="E62" s="161" t="s">
        <v>852</v>
      </c>
      <c r="F62" s="7"/>
      <c r="G62" s="251">
        <v>1489.48</v>
      </c>
      <c r="H62" s="51">
        <v>0</v>
      </c>
      <c r="I62" s="51">
        <v>1489.47</v>
      </c>
      <c r="J62" s="285">
        <v>1489.47</v>
      </c>
      <c r="K62" s="161"/>
      <c r="L62"/>
    </row>
    <row r="63" spans="1:12">
      <c r="A63" s="7">
        <v>55</v>
      </c>
      <c r="B63" s="29" t="s">
        <v>705</v>
      </c>
      <c r="C63" s="29" t="s">
        <v>491</v>
      </c>
      <c r="D63" s="29" t="s">
        <v>456</v>
      </c>
      <c r="E63" s="161" t="s">
        <v>852</v>
      </c>
      <c r="F63" s="7"/>
      <c r="G63" s="251">
        <v>744.74</v>
      </c>
      <c r="H63" s="51">
        <v>0</v>
      </c>
      <c r="I63" s="51">
        <v>744.73</v>
      </c>
      <c r="J63" s="285">
        <v>744.73</v>
      </c>
      <c r="K63" s="161"/>
      <c r="L63"/>
    </row>
    <row r="64" spans="1:12">
      <c r="A64" s="7">
        <v>57</v>
      </c>
      <c r="B64" s="29" t="s">
        <v>706</v>
      </c>
      <c r="C64" s="29" t="s">
        <v>774</v>
      </c>
      <c r="D64" s="37" t="s">
        <v>822</v>
      </c>
      <c r="E64" s="161" t="s">
        <v>852</v>
      </c>
      <c r="F64" s="7"/>
      <c r="G64" s="251">
        <v>618.62</v>
      </c>
      <c r="H64" s="51">
        <v>0</v>
      </c>
      <c r="I64" s="51">
        <v>618.62</v>
      </c>
      <c r="J64" s="285">
        <v>618.62</v>
      </c>
      <c r="K64" s="161"/>
      <c r="L64"/>
    </row>
    <row r="65" spans="1:15">
      <c r="A65" s="7">
        <v>56</v>
      </c>
      <c r="B65" s="29" t="s">
        <v>707</v>
      </c>
      <c r="C65" s="29" t="s">
        <v>774</v>
      </c>
      <c r="D65" s="29" t="s">
        <v>823</v>
      </c>
      <c r="E65" s="161" t="s">
        <v>852</v>
      </c>
      <c r="F65" s="7"/>
      <c r="G65" s="251">
        <v>776.01</v>
      </c>
      <c r="H65" s="51">
        <v>0</v>
      </c>
      <c r="I65" s="51">
        <v>776.01</v>
      </c>
      <c r="J65" s="285">
        <v>776.01</v>
      </c>
      <c r="K65" s="161" t="s">
        <v>983</v>
      </c>
      <c r="L65"/>
    </row>
    <row r="66" spans="1:15">
      <c r="A66" s="7">
        <v>58</v>
      </c>
      <c r="B66" s="29" t="s">
        <v>708</v>
      </c>
      <c r="C66" s="29" t="s">
        <v>775</v>
      </c>
      <c r="D66" s="37" t="s">
        <v>824</v>
      </c>
      <c r="E66" s="161" t="s">
        <v>854</v>
      </c>
      <c r="F66" s="7">
        <v>1</v>
      </c>
      <c r="G66" s="251">
        <v>1558.48</v>
      </c>
      <c r="H66" s="51">
        <v>0</v>
      </c>
      <c r="I66" s="51">
        <v>1558.47</v>
      </c>
      <c r="J66" s="285">
        <v>1060</v>
      </c>
      <c r="K66" s="161" t="s">
        <v>984</v>
      </c>
      <c r="L66"/>
    </row>
    <row r="67" spans="1:15">
      <c r="A67" s="7">
        <v>59</v>
      </c>
      <c r="B67" s="29" t="s">
        <v>709</v>
      </c>
      <c r="C67" s="29" t="s">
        <v>776</v>
      </c>
      <c r="D67" s="37" t="s">
        <v>825</v>
      </c>
      <c r="E67" s="161" t="s">
        <v>852</v>
      </c>
      <c r="F67" s="7"/>
      <c r="G67" s="251">
        <v>594.79999999999995</v>
      </c>
      <c r="H67" s="51">
        <v>0</v>
      </c>
      <c r="I67" s="51">
        <v>594.79</v>
      </c>
      <c r="J67" s="285">
        <v>594.79</v>
      </c>
      <c r="K67" s="161"/>
      <c r="L67"/>
    </row>
    <row r="68" spans="1:15">
      <c r="A68" s="7">
        <v>60</v>
      </c>
      <c r="B68" s="29" t="s">
        <v>711</v>
      </c>
      <c r="C68" s="29" t="s">
        <v>777</v>
      </c>
      <c r="D68" s="29" t="s">
        <v>827</v>
      </c>
      <c r="E68" s="161" t="s">
        <v>853</v>
      </c>
      <c r="F68" s="7">
        <v>2</v>
      </c>
      <c r="G68" s="251">
        <v>1681.28</v>
      </c>
      <c r="H68" s="51">
        <v>0</v>
      </c>
      <c r="I68" s="51">
        <v>1681.28</v>
      </c>
      <c r="J68" s="285">
        <v>1681.28</v>
      </c>
      <c r="K68" s="161"/>
      <c r="L68"/>
    </row>
    <row r="69" spans="1:15">
      <c r="A69" s="7">
        <v>61</v>
      </c>
      <c r="B69" s="29" t="s">
        <v>710</v>
      </c>
      <c r="C69" s="29" t="s">
        <v>777</v>
      </c>
      <c r="D69" s="29" t="s">
        <v>826</v>
      </c>
      <c r="E69" s="161" t="s">
        <v>852</v>
      </c>
      <c r="F69" s="7"/>
      <c r="G69" s="251">
        <v>886.72</v>
      </c>
      <c r="H69" s="51">
        <v>0</v>
      </c>
      <c r="I69" s="51">
        <v>886.72</v>
      </c>
      <c r="J69" s="121">
        <v>886.72</v>
      </c>
      <c r="K69" s="161"/>
      <c r="L69"/>
    </row>
    <row r="70" spans="1:15">
      <c r="A70" s="7">
        <v>62</v>
      </c>
      <c r="B70" s="29" t="s">
        <v>712</v>
      </c>
      <c r="C70" s="29" t="s">
        <v>778</v>
      </c>
      <c r="D70" s="37" t="s">
        <v>828</v>
      </c>
      <c r="E70" s="161" t="s">
        <v>852</v>
      </c>
      <c r="F70" s="7"/>
      <c r="G70" s="251">
        <v>587.34</v>
      </c>
      <c r="H70" s="51">
        <v>0</v>
      </c>
      <c r="I70" s="51">
        <v>587.34</v>
      </c>
      <c r="J70" s="285">
        <v>587.34</v>
      </c>
      <c r="K70" s="161"/>
      <c r="L70"/>
    </row>
    <row r="71" spans="1:15">
      <c r="A71" s="7">
        <v>63</v>
      </c>
      <c r="B71" s="29" t="s">
        <v>713</v>
      </c>
      <c r="C71" s="29" t="s">
        <v>778</v>
      </c>
      <c r="D71" s="37" t="s">
        <v>829</v>
      </c>
      <c r="E71" s="161" t="s">
        <v>856</v>
      </c>
      <c r="F71" s="7">
        <v>2</v>
      </c>
      <c r="G71" s="251">
        <v>1402.26</v>
      </c>
      <c r="H71" s="51">
        <v>657.84</v>
      </c>
      <c r="I71" s="51">
        <f>G71+H71</f>
        <v>2060.1</v>
      </c>
      <c r="J71" s="285">
        <v>2060.09</v>
      </c>
      <c r="K71" s="161"/>
      <c r="L71"/>
    </row>
    <row r="72" spans="1:15">
      <c r="A72" s="113"/>
      <c r="E72" s="261"/>
      <c r="F72" s="282"/>
      <c r="G72" s="262"/>
      <c r="H72" s="262"/>
      <c r="I72" s="262"/>
      <c r="J72" s="263"/>
      <c r="K72" s="117"/>
      <c r="N72" s="15"/>
      <c r="O72" s="15"/>
    </row>
    <row r="73" spans="1:15">
      <c r="A73" s="428" t="s">
        <v>652</v>
      </c>
      <c r="B73" s="429"/>
      <c r="C73" s="429"/>
      <c r="D73" s="429"/>
      <c r="E73" s="429"/>
      <c r="F73" s="429"/>
      <c r="G73" s="430"/>
      <c r="H73" s="246"/>
      <c r="I73" s="264">
        <f>SUM(I5:I71)</f>
        <v>70733.74000000002</v>
      </c>
      <c r="J73" s="111">
        <f>SUM(J5:J71)</f>
        <v>69736.780000000013</v>
      </c>
      <c r="K73" s="255"/>
      <c r="L73"/>
    </row>
    <row r="74" spans="1:15">
      <c r="A74" s="431"/>
      <c r="B74" s="453"/>
      <c r="C74" s="432"/>
      <c r="D74" s="141"/>
      <c r="E74" s="271" t="s">
        <v>258</v>
      </c>
      <c r="F74" s="7">
        <v>63</v>
      </c>
      <c r="G74" s="161"/>
      <c r="H74" s="161"/>
      <c r="I74" s="161"/>
      <c r="J74" s="52"/>
      <c r="K74" s="241"/>
      <c r="L74"/>
    </row>
    <row r="75" spans="1:15">
      <c r="A75" s="271"/>
      <c r="B75" s="272"/>
      <c r="C75" s="141"/>
      <c r="D75" s="141"/>
      <c r="E75" s="141" t="s">
        <v>930</v>
      </c>
      <c r="F75" s="7">
        <v>4</v>
      </c>
      <c r="G75" s="161"/>
      <c r="H75" s="161"/>
      <c r="I75" s="161"/>
      <c r="J75" s="52"/>
      <c r="K75" s="241"/>
      <c r="L75"/>
    </row>
    <row r="76" spans="1:15">
      <c r="A76" s="431"/>
      <c r="B76" s="453"/>
      <c r="C76" s="432"/>
      <c r="D76" s="141"/>
      <c r="E76" s="271" t="s">
        <v>931</v>
      </c>
      <c r="F76" s="58">
        <f>SUM(F7:F71)</f>
        <v>27</v>
      </c>
      <c r="G76" s="161"/>
      <c r="H76" s="196"/>
      <c r="I76" s="196"/>
      <c r="J76" s="52"/>
      <c r="K76" s="241"/>
      <c r="L76"/>
    </row>
    <row r="77" spans="1:15">
      <c r="A77" s="433"/>
      <c r="B77" s="454"/>
      <c r="C77" s="434"/>
      <c r="D77" s="92"/>
      <c r="E77" s="91" t="s">
        <v>246</v>
      </c>
      <c r="F77" s="86">
        <f>F74+F76+F75</f>
        <v>94</v>
      </c>
      <c r="G77" s="161"/>
      <c r="H77" s="187"/>
      <c r="I77" s="187"/>
      <c r="J77" s="52"/>
      <c r="K77" s="241"/>
      <c r="L77"/>
    </row>
    <row r="78" spans="1:15">
      <c r="A78" s="455" t="s">
        <v>830</v>
      </c>
      <c r="B78" s="456"/>
      <c r="C78" s="456"/>
      <c r="D78" s="456"/>
      <c r="E78" s="456"/>
      <c r="F78" s="456"/>
      <c r="G78" s="457"/>
      <c r="H78" s="247"/>
      <c r="I78" s="247"/>
      <c r="J78" s="184"/>
      <c r="K78" s="256"/>
      <c r="L78"/>
      <c r="M78" s="15"/>
    </row>
    <row r="79" spans="1:15" s="1" customFormat="1">
      <c r="A79" s="291"/>
      <c r="M79" s="116"/>
    </row>
    <row r="80" spans="1:15" s="287" customFormat="1">
      <c r="A80" s="196"/>
      <c r="B80" s="29" t="s">
        <v>660</v>
      </c>
      <c r="C80" s="29" t="s">
        <v>462</v>
      </c>
      <c r="D80" s="29" t="s">
        <v>425</v>
      </c>
      <c r="E80" s="161" t="s">
        <v>853</v>
      </c>
      <c r="F80" s="7">
        <v>2</v>
      </c>
      <c r="G80" s="251"/>
      <c r="H80" s="51"/>
      <c r="I80" s="51"/>
      <c r="J80" s="51">
        <v>18.309999999999999</v>
      </c>
      <c r="K80" s="161" t="s">
        <v>976</v>
      </c>
      <c r="M80" s="289"/>
    </row>
    <row r="81" spans="1:13" s="287" customFormat="1">
      <c r="A81" s="196"/>
      <c r="B81" s="29" t="s">
        <v>661</v>
      </c>
      <c r="C81" s="29" t="s">
        <v>460</v>
      </c>
      <c r="D81" s="29" t="s">
        <v>426</v>
      </c>
      <c r="E81" s="161" t="s">
        <v>852</v>
      </c>
      <c r="F81" s="7"/>
      <c r="G81" s="251"/>
      <c r="H81" s="51"/>
      <c r="I81" s="51"/>
      <c r="J81" s="51">
        <v>50.81</v>
      </c>
      <c r="K81" s="161" t="s">
        <v>976</v>
      </c>
      <c r="M81" s="289"/>
    </row>
    <row r="82" spans="1:13" s="287" customFormat="1">
      <c r="A82" s="196"/>
      <c r="B82" s="29" t="s">
        <v>662</v>
      </c>
      <c r="C82" s="29" t="s">
        <v>745</v>
      </c>
      <c r="D82" s="61" t="s">
        <v>783</v>
      </c>
      <c r="E82" s="161" t="s">
        <v>852</v>
      </c>
      <c r="F82" s="7"/>
      <c r="G82" s="51"/>
      <c r="H82" s="51"/>
      <c r="I82" s="51"/>
      <c r="J82" s="51">
        <v>3.67</v>
      </c>
      <c r="K82" s="161" t="s">
        <v>976</v>
      </c>
      <c r="M82" s="289"/>
    </row>
    <row r="83" spans="1:13" s="287" customFormat="1">
      <c r="A83" s="196"/>
      <c r="B83" s="29" t="s">
        <v>991</v>
      </c>
      <c r="C83" s="29" t="s">
        <v>965</v>
      </c>
      <c r="D83" s="61" t="s">
        <v>966</v>
      </c>
      <c r="E83" s="161"/>
      <c r="F83" s="7"/>
      <c r="G83" s="51"/>
      <c r="H83" s="51"/>
      <c r="I83" s="51"/>
      <c r="J83" s="51">
        <v>3.66</v>
      </c>
      <c r="K83" s="241" t="s">
        <v>976</v>
      </c>
      <c r="M83" s="289"/>
    </row>
    <row r="84" spans="1:13" s="287" customFormat="1">
      <c r="A84" s="196"/>
      <c r="B84" s="29" t="s">
        <v>664</v>
      </c>
      <c r="C84" s="29" t="s">
        <v>746</v>
      </c>
      <c r="D84" s="29" t="s">
        <v>785</v>
      </c>
      <c r="E84" s="161" t="s">
        <v>854</v>
      </c>
      <c r="F84" s="7">
        <v>1</v>
      </c>
      <c r="G84" s="51"/>
      <c r="H84" s="51"/>
      <c r="I84" s="51"/>
      <c r="J84" s="51">
        <v>25.18</v>
      </c>
      <c r="K84" s="241" t="s">
        <v>976</v>
      </c>
      <c r="M84" s="289"/>
    </row>
    <row r="85" spans="1:13" s="287" customFormat="1">
      <c r="A85" s="196"/>
      <c r="B85" s="29" t="s">
        <v>665</v>
      </c>
      <c r="C85" s="29" t="s">
        <v>746</v>
      </c>
      <c r="D85" s="29" t="s">
        <v>786</v>
      </c>
      <c r="E85" s="161" t="s">
        <v>852</v>
      </c>
      <c r="F85" s="7"/>
      <c r="G85" s="51"/>
      <c r="H85" s="51"/>
      <c r="I85" s="51"/>
      <c r="J85" s="51">
        <v>3.66</v>
      </c>
      <c r="K85" s="241" t="s">
        <v>976</v>
      </c>
      <c r="M85" s="289"/>
    </row>
    <row r="86" spans="1:13" s="287" customFormat="1">
      <c r="A86" s="196"/>
      <c r="B86" s="29" t="s">
        <v>666</v>
      </c>
      <c r="C86" s="29" t="s">
        <v>747</v>
      </c>
      <c r="D86" s="37" t="s">
        <v>787</v>
      </c>
      <c r="E86" s="161" t="s">
        <v>854</v>
      </c>
      <c r="F86" s="7">
        <v>1</v>
      </c>
      <c r="G86" s="51"/>
      <c r="H86" s="51"/>
      <c r="I86" s="51"/>
      <c r="J86" s="51">
        <v>14.19</v>
      </c>
      <c r="K86" s="241" t="s">
        <v>976</v>
      </c>
      <c r="M86" s="289"/>
    </row>
    <row r="87" spans="1:13" s="287" customFormat="1">
      <c r="A87" s="196"/>
      <c r="B87" s="29" t="s">
        <v>667</v>
      </c>
      <c r="C87" s="29" t="s">
        <v>466</v>
      </c>
      <c r="D87" s="29" t="s">
        <v>431</v>
      </c>
      <c r="E87" s="161" t="s">
        <v>853</v>
      </c>
      <c r="F87" s="7">
        <v>2</v>
      </c>
      <c r="G87" s="51"/>
      <c r="H87" s="51"/>
      <c r="I87" s="51"/>
      <c r="J87" s="51">
        <v>34.33</v>
      </c>
      <c r="K87" s="241" t="s">
        <v>976</v>
      </c>
      <c r="M87" s="289"/>
    </row>
    <row r="88" spans="1:13" s="287" customFormat="1">
      <c r="A88" s="196"/>
      <c r="B88" s="29" t="s">
        <v>668</v>
      </c>
      <c r="C88" s="29" t="s">
        <v>748</v>
      </c>
      <c r="D88" s="37" t="s">
        <v>788</v>
      </c>
      <c r="E88" s="161" t="s">
        <v>852</v>
      </c>
      <c r="F88" s="7"/>
      <c r="G88" s="51"/>
      <c r="H88" s="51"/>
      <c r="I88" s="51"/>
      <c r="J88" s="51">
        <v>43.48</v>
      </c>
      <c r="K88" s="241" t="s">
        <v>976</v>
      </c>
      <c r="M88" s="289"/>
    </row>
    <row r="89" spans="1:13" s="287" customFormat="1">
      <c r="A89" s="196"/>
      <c r="B89" s="29" t="s">
        <v>669</v>
      </c>
      <c r="C89" s="29" t="s">
        <v>749</v>
      </c>
      <c r="D89" s="37" t="s">
        <v>789</v>
      </c>
      <c r="E89" s="161" t="s">
        <v>852</v>
      </c>
      <c r="F89" s="7"/>
      <c r="G89" s="51"/>
      <c r="H89" s="51"/>
      <c r="I89" s="51"/>
      <c r="J89" s="51">
        <v>10.99</v>
      </c>
      <c r="K89" s="241" t="s">
        <v>976</v>
      </c>
      <c r="M89" s="289"/>
    </row>
    <row r="90" spans="1:13" s="287" customFormat="1">
      <c r="A90" s="196"/>
      <c r="B90" s="161">
        <v>1961</v>
      </c>
      <c r="C90" s="29" t="s">
        <v>967</v>
      </c>
      <c r="D90" s="37" t="s">
        <v>968</v>
      </c>
      <c r="E90" s="161" t="s">
        <v>852</v>
      </c>
      <c r="F90" s="7"/>
      <c r="G90" s="51"/>
      <c r="H90" s="51"/>
      <c r="I90" s="51"/>
      <c r="J90" s="51">
        <v>2419.88</v>
      </c>
      <c r="K90" s="241" t="s">
        <v>971</v>
      </c>
      <c r="M90" s="289"/>
    </row>
    <row r="91" spans="1:13" s="287" customFormat="1">
      <c r="A91" s="196"/>
      <c r="B91" s="161" t="s">
        <v>991</v>
      </c>
      <c r="C91" s="29" t="s">
        <v>969</v>
      </c>
      <c r="D91" s="37" t="s">
        <v>970</v>
      </c>
      <c r="E91" s="161"/>
      <c r="F91" s="7"/>
      <c r="G91" s="51"/>
      <c r="H91" s="51"/>
      <c r="I91" s="51"/>
      <c r="J91" s="51">
        <v>57.22</v>
      </c>
      <c r="K91" s="241" t="s">
        <v>976</v>
      </c>
      <c r="M91" s="289"/>
    </row>
    <row r="92" spans="1:13" s="287" customFormat="1">
      <c r="A92" s="196"/>
      <c r="B92" s="29" t="s">
        <v>729</v>
      </c>
      <c r="C92" s="29" t="s">
        <v>750</v>
      </c>
      <c r="D92" s="37" t="s">
        <v>790</v>
      </c>
      <c r="E92" s="161" t="s">
        <v>852</v>
      </c>
      <c r="F92" s="7"/>
      <c r="G92" s="51"/>
      <c r="H92" s="51"/>
      <c r="I92" s="51"/>
      <c r="J92" s="51">
        <v>36.159999999999997</v>
      </c>
      <c r="K92" s="287" t="s">
        <v>976</v>
      </c>
      <c r="M92" s="289"/>
    </row>
    <row r="93" spans="1:13" s="287" customFormat="1">
      <c r="A93" s="196"/>
      <c r="B93" s="161" t="s">
        <v>991</v>
      </c>
      <c r="C93" s="29" t="s">
        <v>752</v>
      </c>
      <c r="D93" s="37" t="s">
        <v>793</v>
      </c>
      <c r="E93" s="161"/>
      <c r="F93" s="7"/>
      <c r="G93" s="51"/>
      <c r="H93" s="51"/>
      <c r="I93" s="51"/>
      <c r="J93" s="51">
        <v>10.99</v>
      </c>
      <c r="K93" s="241" t="s">
        <v>976</v>
      </c>
      <c r="M93" s="289"/>
    </row>
    <row r="94" spans="1:13" s="287" customFormat="1">
      <c r="A94" s="196"/>
      <c r="B94" s="29" t="s">
        <v>674</v>
      </c>
      <c r="C94" s="29" t="s">
        <v>753</v>
      </c>
      <c r="D94" s="29" t="s">
        <v>794</v>
      </c>
      <c r="E94" s="161" t="s">
        <v>852</v>
      </c>
      <c r="F94" s="7"/>
      <c r="G94" s="51"/>
      <c r="H94" s="51"/>
      <c r="I94" s="51"/>
      <c r="J94" s="51">
        <v>6.87</v>
      </c>
      <c r="K94" s="241" t="s">
        <v>976</v>
      </c>
      <c r="M94" s="289"/>
    </row>
    <row r="95" spans="1:13" s="287" customFormat="1">
      <c r="A95" s="196"/>
      <c r="B95" s="161">
        <v>2223</v>
      </c>
      <c r="C95" s="29" t="s">
        <v>972</v>
      </c>
      <c r="D95" s="29" t="s">
        <v>973</v>
      </c>
      <c r="E95" s="161" t="s">
        <v>852</v>
      </c>
      <c r="F95" s="7"/>
      <c r="G95" s="51"/>
      <c r="H95" s="51"/>
      <c r="I95" s="51"/>
      <c r="J95" s="51">
        <v>1016.8</v>
      </c>
      <c r="K95" s="241" t="s">
        <v>971</v>
      </c>
      <c r="M95" s="289"/>
    </row>
    <row r="96" spans="1:13" s="287" customFormat="1">
      <c r="A96" s="196"/>
      <c r="B96" s="29" t="s">
        <v>715</v>
      </c>
      <c r="C96" s="29" t="s">
        <v>754</v>
      </c>
      <c r="D96" s="61" t="s">
        <v>795</v>
      </c>
      <c r="E96" s="161" t="s">
        <v>852</v>
      </c>
      <c r="F96" s="7"/>
      <c r="G96" s="51"/>
      <c r="H96" s="51"/>
      <c r="I96" s="51"/>
      <c r="J96" s="51">
        <v>47.15</v>
      </c>
      <c r="K96" s="241" t="s">
        <v>976</v>
      </c>
      <c r="M96" s="289"/>
    </row>
    <row r="97" spans="1:13" s="287" customFormat="1">
      <c r="A97" s="196"/>
      <c r="B97" s="29" t="s">
        <v>676</v>
      </c>
      <c r="C97" s="29" t="s">
        <v>755</v>
      </c>
      <c r="D97" s="29" t="s">
        <v>797</v>
      </c>
      <c r="E97" s="161" t="s">
        <v>852</v>
      </c>
      <c r="F97" s="7"/>
      <c r="G97" s="51"/>
      <c r="H97" s="51"/>
      <c r="I97" s="51"/>
      <c r="J97" s="51">
        <v>39.83</v>
      </c>
      <c r="K97" s="241" t="s">
        <v>976</v>
      </c>
      <c r="M97" s="289"/>
    </row>
    <row r="98" spans="1:13" s="287" customFormat="1">
      <c r="A98" s="196"/>
      <c r="B98" s="29" t="s">
        <v>677</v>
      </c>
      <c r="C98" s="29" t="s">
        <v>755</v>
      </c>
      <c r="D98" s="37" t="s">
        <v>798</v>
      </c>
      <c r="E98" s="161" t="s">
        <v>853</v>
      </c>
      <c r="F98" s="7">
        <v>2</v>
      </c>
      <c r="G98" s="51"/>
      <c r="H98" s="51"/>
      <c r="I98" s="51"/>
      <c r="J98" s="51">
        <v>44.86</v>
      </c>
      <c r="K98" s="241" t="s">
        <v>976</v>
      </c>
      <c r="M98" s="289"/>
    </row>
    <row r="99" spans="1:13" s="287" customFormat="1">
      <c r="A99" s="196"/>
      <c r="B99" s="29" t="s">
        <v>678</v>
      </c>
      <c r="C99" s="29" t="s">
        <v>756</v>
      </c>
      <c r="D99" s="37" t="s">
        <v>799</v>
      </c>
      <c r="E99" s="161" t="s">
        <v>852</v>
      </c>
      <c r="F99" s="7"/>
      <c r="G99" s="51"/>
      <c r="H99" s="51"/>
      <c r="I99" s="51"/>
      <c r="J99" s="51">
        <v>36.159999999999997</v>
      </c>
      <c r="K99" s="241" t="s">
        <v>976</v>
      </c>
      <c r="M99" s="289"/>
    </row>
    <row r="100" spans="1:13" s="287" customFormat="1">
      <c r="A100" s="196"/>
      <c r="B100" s="29" t="s">
        <v>679</v>
      </c>
      <c r="C100" s="29" t="s">
        <v>756</v>
      </c>
      <c r="D100" s="37" t="s">
        <v>800</v>
      </c>
      <c r="E100" s="161" t="s">
        <v>852</v>
      </c>
      <c r="F100" s="7"/>
      <c r="G100" s="51"/>
      <c r="H100" s="51"/>
      <c r="I100" s="51"/>
      <c r="J100" s="51">
        <v>43.94</v>
      </c>
      <c r="K100" s="241" t="s">
        <v>976</v>
      </c>
      <c r="M100" s="289"/>
    </row>
    <row r="101" spans="1:13" s="287" customFormat="1">
      <c r="A101" s="196"/>
      <c r="B101" s="161">
        <v>2310</v>
      </c>
      <c r="C101" s="29" t="s">
        <v>756</v>
      </c>
      <c r="D101" s="37" t="s">
        <v>977</v>
      </c>
      <c r="E101" s="161" t="s">
        <v>852</v>
      </c>
      <c r="F101" s="7"/>
      <c r="G101" s="51"/>
      <c r="H101" s="51"/>
      <c r="I101" s="51"/>
      <c r="J101" s="51">
        <v>1623.52</v>
      </c>
      <c r="K101" s="241" t="s">
        <v>971</v>
      </c>
      <c r="M101" s="289"/>
    </row>
    <row r="102" spans="1:13" s="287" customFormat="1">
      <c r="A102" s="196"/>
      <c r="B102" s="29" t="s">
        <v>680</v>
      </c>
      <c r="C102" s="29" t="s">
        <v>444</v>
      </c>
      <c r="D102" s="29" t="s">
        <v>506</v>
      </c>
      <c r="E102" s="161" t="s">
        <v>852</v>
      </c>
      <c r="F102" s="7"/>
      <c r="G102" s="51"/>
      <c r="H102" s="51"/>
      <c r="I102" s="51"/>
      <c r="J102" s="51">
        <v>32.96</v>
      </c>
      <c r="K102" s="241" t="s">
        <v>976</v>
      </c>
      <c r="M102" s="289"/>
    </row>
    <row r="103" spans="1:13" s="287" customFormat="1">
      <c r="A103" s="196"/>
      <c r="B103" s="29" t="s">
        <v>682</v>
      </c>
      <c r="C103" s="29" t="s">
        <v>757</v>
      </c>
      <c r="D103" s="29" t="s">
        <v>802</v>
      </c>
      <c r="E103" s="161" t="s">
        <v>854</v>
      </c>
      <c r="F103" s="7">
        <v>1</v>
      </c>
      <c r="G103" s="51"/>
      <c r="H103" s="51"/>
      <c r="I103" s="51"/>
      <c r="J103" s="51">
        <v>7.32</v>
      </c>
      <c r="K103" s="241" t="s">
        <v>976</v>
      </c>
      <c r="M103" s="289"/>
    </row>
    <row r="104" spans="1:13" s="287" customFormat="1">
      <c r="A104" s="196"/>
      <c r="B104" s="29" t="s">
        <v>683</v>
      </c>
      <c r="C104" s="29" t="s">
        <v>757</v>
      </c>
      <c r="D104" s="29" t="s">
        <v>803</v>
      </c>
      <c r="E104" s="161" t="s">
        <v>852</v>
      </c>
      <c r="F104" s="7"/>
      <c r="G104" s="51"/>
      <c r="H104" s="51"/>
      <c r="I104" s="51"/>
      <c r="J104" s="51">
        <v>10.99</v>
      </c>
      <c r="K104" s="241" t="s">
        <v>976</v>
      </c>
      <c r="M104" s="289"/>
    </row>
    <row r="105" spans="1:13" s="287" customFormat="1">
      <c r="A105" s="196"/>
      <c r="B105" s="29" t="s">
        <v>991</v>
      </c>
      <c r="C105" s="29" t="s">
        <v>445</v>
      </c>
      <c r="D105" s="29" t="s">
        <v>978</v>
      </c>
      <c r="E105" s="161"/>
      <c r="F105" s="7"/>
      <c r="G105" s="51"/>
      <c r="H105" s="51"/>
      <c r="I105" s="51"/>
      <c r="J105" s="51">
        <v>43.49</v>
      </c>
      <c r="K105" s="241" t="s">
        <v>976</v>
      </c>
      <c r="M105" s="289"/>
    </row>
    <row r="106" spans="1:13" s="287" customFormat="1">
      <c r="A106" s="196"/>
      <c r="B106" s="29" t="s">
        <v>684</v>
      </c>
      <c r="C106" s="29" t="s">
        <v>476</v>
      </c>
      <c r="D106" s="37" t="s">
        <v>804</v>
      </c>
      <c r="E106" s="161" t="s">
        <v>852</v>
      </c>
      <c r="F106" s="7"/>
      <c r="G106" s="51"/>
      <c r="H106" s="51"/>
      <c r="I106" s="51"/>
      <c r="J106" s="51">
        <v>-1217.7</v>
      </c>
      <c r="K106" s="241" t="s">
        <v>979</v>
      </c>
      <c r="M106" s="289"/>
    </row>
    <row r="107" spans="1:13" s="287" customFormat="1">
      <c r="A107" s="196"/>
      <c r="B107" s="161">
        <v>2019</v>
      </c>
      <c r="C107" s="29" t="s">
        <v>476</v>
      </c>
      <c r="D107" s="29" t="s">
        <v>447</v>
      </c>
      <c r="E107" s="161" t="s">
        <v>854</v>
      </c>
      <c r="F107" s="7">
        <v>1</v>
      </c>
      <c r="G107" s="51"/>
      <c r="H107" s="51"/>
      <c r="I107" s="51"/>
      <c r="J107" s="51">
        <v>1720.46</v>
      </c>
      <c r="K107" s="241" t="s">
        <v>979</v>
      </c>
      <c r="M107" s="289"/>
    </row>
    <row r="108" spans="1:13" s="287" customFormat="1">
      <c r="A108" s="196"/>
      <c r="B108" s="29" t="s">
        <v>687</v>
      </c>
      <c r="C108" s="29" t="s">
        <v>478</v>
      </c>
      <c r="D108" s="29" t="s">
        <v>448</v>
      </c>
      <c r="E108" s="161" t="s">
        <v>852</v>
      </c>
      <c r="F108" s="7"/>
      <c r="G108" s="51"/>
      <c r="H108" s="51"/>
      <c r="I108" s="51"/>
      <c r="J108" s="51">
        <v>36.159999999999997</v>
      </c>
      <c r="K108" s="241" t="s">
        <v>976</v>
      </c>
      <c r="M108" s="289"/>
    </row>
    <row r="109" spans="1:13" s="287" customFormat="1">
      <c r="A109" s="196"/>
      <c r="B109" s="29" t="s">
        <v>688</v>
      </c>
      <c r="C109" s="29" t="s">
        <v>759</v>
      </c>
      <c r="D109" s="37" t="s">
        <v>806</v>
      </c>
      <c r="E109" s="161" t="s">
        <v>852</v>
      </c>
      <c r="F109" s="7"/>
      <c r="G109" s="51"/>
      <c r="H109" s="51"/>
      <c r="I109" s="51"/>
      <c r="J109" s="51">
        <v>6.87</v>
      </c>
      <c r="K109" s="241" t="s">
        <v>976</v>
      </c>
      <c r="M109" s="289"/>
    </row>
    <row r="110" spans="1:13" s="287" customFormat="1">
      <c r="A110" s="196"/>
      <c r="B110" s="29" t="s">
        <v>689</v>
      </c>
      <c r="C110" s="29" t="s">
        <v>760</v>
      </c>
      <c r="D110" s="29" t="s">
        <v>807</v>
      </c>
      <c r="E110" s="161" t="s">
        <v>852</v>
      </c>
      <c r="F110" s="7"/>
      <c r="G110" s="51"/>
      <c r="H110" s="51"/>
      <c r="I110" s="51"/>
      <c r="J110" s="51">
        <v>1.83</v>
      </c>
      <c r="K110" s="241" t="s">
        <v>976</v>
      </c>
      <c r="M110" s="289"/>
    </row>
    <row r="111" spans="1:13" s="287" customFormat="1">
      <c r="A111" s="196"/>
      <c r="B111" s="29" t="s">
        <v>691</v>
      </c>
      <c r="C111" s="29" t="s">
        <v>480</v>
      </c>
      <c r="D111" s="37" t="s">
        <v>809</v>
      </c>
      <c r="E111" s="161" t="s">
        <v>853</v>
      </c>
      <c r="F111" s="7">
        <v>2</v>
      </c>
      <c r="G111" s="51"/>
      <c r="H111" s="51"/>
      <c r="I111" s="51"/>
      <c r="J111" s="51">
        <v>-1968.75</v>
      </c>
      <c r="K111" s="241" t="s">
        <v>980</v>
      </c>
      <c r="M111" s="289"/>
    </row>
    <row r="112" spans="1:13" s="287" customFormat="1">
      <c r="A112" s="196"/>
      <c r="B112" s="29" t="s">
        <v>692</v>
      </c>
      <c r="C112" s="29" t="s">
        <v>762</v>
      </c>
      <c r="D112" s="29" t="s">
        <v>810</v>
      </c>
      <c r="E112" s="161" t="s">
        <v>854</v>
      </c>
      <c r="F112" s="7">
        <v>1</v>
      </c>
      <c r="G112" s="51"/>
      <c r="H112" s="51"/>
      <c r="I112" s="51"/>
      <c r="J112" s="51">
        <v>3.66</v>
      </c>
      <c r="K112" s="241" t="s">
        <v>976</v>
      </c>
      <c r="M112" s="289"/>
    </row>
    <row r="113" spans="1:13" s="287" customFormat="1">
      <c r="A113" s="196"/>
      <c r="B113" s="29" t="s">
        <v>693</v>
      </c>
      <c r="C113" s="29" t="s">
        <v>763</v>
      </c>
      <c r="D113" s="29" t="s">
        <v>811</v>
      </c>
      <c r="E113" s="161" t="s">
        <v>852</v>
      </c>
      <c r="F113" s="7"/>
      <c r="G113" s="51"/>
      <c r="H113" s="51"/>
      <c r="I113" s="51"/>
      <c r="J113" s="51">
        <v>7.32</v>
      </c>
      <c r="K113" s="241" t="s">
        <v>976</v>
      </c>
      <c r="M113" s="289"/>
    </row>
    <row r="114" spans="1:13" s="287" customFormat="1">
      <c r="A114" s="196"/>
      <c r="B114" s="29" t="s">
        <v>695</v>
      </c>
      <c r="C114" s="29" t="s">
        <v>765</v>
      </c>
      <c r="D114" s="29" t="s">
        <v>813</v>
      </c>
      <c r="E114" s="161" t="s">
        <v>854</v>
      </c>
      <c r="F114" s="7">
        <v>1</v>
      </c>
      <c r="G114" s="51"/>
      <c r="H114" s="51"/>
      <c r="I114" s="51"/>
      <c r="J114" s="51">
        <v>39.83</v>
      </c>
      <c r="K114" s="241" t="s">
        <v>976</v>
      </c>
      <c r="M114" s="289"/>
    </row>
    <row r="115" spans="1:13" s="287" customFormat="1">
      <c r="A115" s="196"/>
      <c r="B115" s="29" t="s">
        <v>696</v>
      </c>
      <c r="C115" s="29" t="s">
        <v>766</v>
      </c>
      <c r="D115" s="37" t="s">
        <v>814</v>
      </c>
      <c r="E115" s="161" t="s">
        <v>852</v>
      </c>
      <c r="F115" s="7"/>
      <c r="G115" s="51"/>
      <c r="H115" s="51"/>
      <c r="I115" s="51"/>
      <c r="J115" s="51">
        <v>43.49</v>
      </c>
      <c r="K115" s="241" t="s">
        <v>976</v>
      </c>
      <c r="M115" s="289"/>
    </row>
    <row r="116" spans="1:13" s="287" customFormat="1">
      <c r="A116" s="196"/>
      <c r="B116" s="29" t="s">
        <v>697</v>
      </c>
      <c r="C116" s="29" t="s">
        <v>767</v>
      </c>
      <c r="D116" s="37" t="s">
        <v>815</v>
      </c>
      <c r="E116" s="161" t="s">
        <v>854</v>
      </c>
      <c r="F116" s="7">
        <v>1</v>
      </c>
      <c r="G116" s="51"/>
      <c r="H116" s="51"/>
      <c r="I116" s="51"/>
      <c r="J116" s="51">
        <v>47.15</v>
      </c>
      <c r="K116" s="241" t="s">
        <v>976</v>
      </c>
      <c r="M116" s="289"/>
    </row>
    <row r="117" spans="1:13" s="287" customFormat="1">
      <c r="A117" s="196"/>
      <c r="B117" s="29" t="s">
        <v>732</v>
      </c>
      <c r="C117" s="29" t="s">
        <v>768</v>
      </c>
      <c r="D117" s="37" t="s">
        <v>816</v>
      </c>
      <c r="E117" s="161" t="s">
        <v>852</v>
      </c>
      <c r="F117" s="7"/>
      <c r="G117" s="51"/>
      <c r="H117" s="51"/>
      <c r="I117" s="51"/>
      <c r="J117" s="51">
        <v>-1465.63</v>
      </c>
      <c r="K117" s="241" t="s">
        <v>981</v>
      </c>
      <c r="M117" s="289"/>
    </row>
    <row r="118" spans="1:13" s="287" customFormat="1">
      <c r="A118" s="196"/>
      <c r="B118" s="29" t="s">
        <v>842</v>
      </c>
      <c r="C118" s="29" t="s">
        <v>769</v>
      </c>
      <c r="D118" s="29" t="s">
        <v>843</v>
      </c>
      <c r="E118" s="161" t="s">
        <v>852</v>
      </c>
      <c r="F118" s="7"/>
      <c r="G118" s="51"/>
      <c r="H118" s="51"/>
      <c r="I118" s="51"/>
      <c r="J118" s="51">
        <v>10.98</v>
      </c>
      <c r="K118" s="241" t="s">
        <v>976</v>
      </c>
      <c r="M118" s="289"/>
    </row>
    <row r="119" spans="1:13" s="287" customFormat="1">
      <c r="A119" s="196"/>
      <c r="B119" s="29" t="s">
        <v>699</v>
      </c>
      <c r="C119" s="29" t="s">
        <v>770</v>
      </c>
      <c r="D119" s="29" t="s">
        <v>818</v>
      </c>
      <c r="E119" s="161" t="s">
        <v>852</v>
      </c>
      <c r="F119" s="7"/>
      <c r="G119" s="51"/>
      <c r="H119" s="51"/>
      <c r="I119" s="51"/>
      <c r="J119" s="51">
        <v>28.84</v>
      </c>
      <c r="K119" s="241" t="s">
        <v>976</v>
      </c>
      <c r="M119" s="289"/>
    </row>
    <row r="120" spans="1:13" s="287" customFormat="1">
      <c r="A120" s="196"/>
      <c r="B120" s="29" t="s">
        <v>700</v>
      </c>
      <c r="C120" s="29" t="s">
        <v>771</v>
      </c>
      <c r="D120" s="37" t="s">
        <v>819</v>
      </c>
      <c r="E120" s="161" t="s">
        <v>854</v>
      </c>
      <c r="F120" s="7">
        <v>1</v>
      </c>
      <c r="G120" s="51"/>
      <c r="H120" s="51"/>
      <c r="I120" s="51"/>
      <c r="J120" s="51">
        <v>47.15</v>
      </c>
      <c r="K120" s="241" t="s">
        <v>976</v>
      </c>
      <c r="M120" s="289"/>
    </row>
    <row r="121" spans="1:13" s="287" customFormat="1">
      <c r="A121" s="196"/>
      <c r="B121" s="29" t="s">
        <v>991</v>
      </c>
      <c r="C121" s="29" t="s">
        <v>771</v>
      </c>
      <c r="D121" s="29" t="s">
        <v>982</v>
      </c>
      <c r="E121" s="161"/>
      <c r="F121" s="7"/>
      <c r="G121" s="51"/>
      <c r="H121" s="51"/>
      <c r="I121" s="51"/>
      <c r="J121" s="51">
        <v>6.87</v>
      </c>
      <c r="K121" s="241" t="s">
        <v>976</v>
      </c>
      <c r="M121" s="289"/>
    </row>
    <row r="122" spans="1:13" s="287" customFormat="1">
      <c r="A122" s="196"/>
      <c r="B122" s="29" t="s">
        <v>705</v>
      </c>
      <c r="C122" s="29" t="s">
        <v>491</v>
      </c>
      <c r="D122" s="29" t="s">
        <v>456</v>
      </c>
      <c r="E122" s="161" t="s">
        <v>852</v>
      </c>
      <c r="F122" s="7"/>
      <c r="G122" s="51"/>
      <c r="H122" s="51"/>
      <c r="I122" s="51"/>
      <c r="J122" s="51">
        <v>21.51</v>
      </c>
      <c r="K122" s="241" t="s">
        <v>976</v>
      </c>
      <c r="M122" s="289"/>
    </row>
    <row r="123" spans="1:13" s="287" customFormat="1">
      <c r="A123" s="196"/>
      <c r="B123" s="29" t="s">
        <v>706</v>
      </c>
      <c r="C123" s="29" t="s">
        <v>774</v>
      </c>
      <c r="D123" s="37" t="s">
        <v>822</v>
      </c>
      <c r="E123" s="161" t="s">
        <v>852</v>
      </c>
      <c r="F123" s="7"/>
      <c r="G123" s="51"/>
      <c r="H123" s="51"/>
      <c r="I123" s="51"/>
      <c r="J123" s="51">
        <v>3.67</v>
      </c>
      <c r="K123" s="241" t="s">
        <v>976</v>
      </c>
      <c r="M123" s="289"/>
    </row>
    <row r="124" spans="1:13" s="287" customFormat="1">
      <c r="A124" s="196"/>
      <c r="B124" s="29" t="s">
        <v>707</v>
      </c>
      <c r="C124" s="29" t="s">
        <v>774</v>
      </c>
      <c r="D124" s="29" t="s">
        <v>823</v>
      </c>
      <c r="E124" s="161" t="s">
        <v>852</v>
      </c>
      <c r="F124" s="7"/>
      <c r="G124" s="51"/>
      <c r="H124" s="51"/>
      <c r="I124" s="51"/>
      <c r="J124" s="51">
        <v>-457.12</v>
      </c>
      <c r="K124" s="241" t="s">
        <v>980</v>
      </c>
      <c r="M124" s="289"/>
    </row>
    <row r="125" spans="1:13" s="287" customFormat="1">
      <c r="A125" s="196"/>
      <c r="B125" s="29" t="s">
        <v>708</v>
      </c>
      <c r="C125" s="29" t="s">
        <v>775</v>
      </c>
      <c r="D125" s="37" t="s">
        <v>824</v>
      </c>
      <c r="E125" s="161" t="s">
        <v>854</v>
      </c>
      <c r="F125" s="7">
        <v>1</v>
      </c>
      <c r="G125" s="51"/>
      <c r="H125" s="51"/>
      <c r="I125" s="51"/>
      <c r="J125" s="51">
        <v>40.28</v>
      </c>
      <c r="K125" s="241" t="s">
        <v>976</v>
      </c>
      <c r="M125" s="289"/>
    </row>
    <row r="126" spans="1:13" s="287" customFormat="1">
      <c r="A126" s="196"/>
      <c r="B126" s="29" t="s">
        <v>991</v>
      </c>
      <c r="C126" s="29" t="s">
        <v>988</v>
      </c>
      <c r="D126" s="37" t="s">
        <v>989</v>
      </c>
      <c r="E126" s="161"/>
      <c r="F126" s="7"/>
      <c r="G126" s="51"/>
      <c r="H126" s="51"/>
      <c r="I126" s="51"/>
      <c r="J126" s="51">
        <v>3.66</v>
      </c>
      <c r="K126" s="241" t="s">
        <v>976</v>
      </c>
      <c r="M126" s="289"/>
    </row>
    <row r="127" spans="1:13" s="287" customFormat="1">
      <c r="A127" s="196"/>
      <c r="B127" s="29" t="s">
        <v>709</v>
      </c>
      <c r="C127" s="29" t="s">
        <v>776</v>
      </c>
      <c r="D127" s="37" t="s">
        <v>825</v>
      </c>
      <c r="E127" s="161" t="s">
        <v>852</v>
      </c>
      <c r="F127" s="7"/>
      <c r="G127" s="51"/>
      <c r="H127" s="51"/>
      <c r="I127" s="51"/>
      <c r="J127" s="51">
        <v>10.99</v>
      </c>
      <c r="K127" s="241" t="s">
        <v>976</v>
      </c>
      <c r="M127" s="289"/>
    </row>
    <row r="128" spans="1:13" s="287" customFormat="1">
      <c r="A128" s="196"/>
      <c r="B128" s="29" t="s">
        <v>710</v>
      </c>
      <c r="C128" s="29" t="s">
        <v>777</v>
      </c>
      <c r="D128" s="29" t="s">
        <v>826</v>
      </c>
      <c r="E128" s="161" t="s">
        <v>852</v>
      </c>
      <c r="F128" s="7"/>
      <c r="G128" s="51"/>
      <c r="H128" s="51"/>
      <c r="I128" s="51"/>
      <c r="J128" s="51">
        <v>32.5</v>
      </c>
      <c r="K128" s="241" t="s">
        <v>976</v>
      </c>
      <c r="M128" s="289"/>
    </row>
    <row r="129" spans="1:15" s="287" customFormat="1" ht="14" customHeight="1">
      <c r="A129" s="196"/>
      <c r="B129" s="29" t="s">
        <v>991</v>
      </c>
      <c r="C129" s="29" t="s">
        <v>986</v>
      </c>
      <c r="D129" s="29" t="s">
        <v>987</v>
      </c>
      <c r="E129" s="161"/>
      <c r="F129" s="7"/>
      <c r="G129" s="51"/>
      <c r="H129" s="51"/>
      <c r="I129" s="51"/>
      <c r="J129" s="51">
        <v>10.98</v>
      </c>
      <c r="K129" s="241" t="s">
        <v>976</v>
      </c>
      <c r="M129" s="289"/>
    </row>
    <row r="130" spans="1:15">
      <c r="A130" s="196"/>
      <c r="B130" s="196"/>
      <c r="C130" s="29"/>
      <c r="D130" s="29"/>
      <c r="E130" s="29"/>
      <c r="F130" s="7"/>
      <c r="G130" s="196"/>
      <c r="H130" s="196"/>
      <c r="I130" s="196"/>
      <c r="J130" s="52"/>
      <c r="K130" s="241"/>
      <c r="L130"/>
      <c r="M130" s="15"/>
    </row>
    <row r="131" spans="1:15" ht="12" customHeight="1">
      <c r="A131" s="428" t="s">
        <v>846</v>
      </c>
      <c r="B131" s="429"/>
      <c r="C131" s="429"/>
      <c r="D131" s="429"/>
      <c r="E131" s="429"/>
      <c r="F131" s="429"/>
      <c r="G131" s="430"/>
      <c r="H131" s="246"/>
      <c r="I131" s="246"/>
      <c r="J131" s="293">
        <f>SUM(J80:J130)</f>
        <v>2701.4199999999983</v>
      </c>
      <c r="K131" s="258"/>
      <c r="L131"/>
    </row>
    <row r="132" spans="1:15" ht="12" customHeight="1">
      <c r="A132" s="172"/>
      <c r="B132" s="173"/>
      <c r="C132" s="173"/>
      <c r="D132" s="173"/>
      <c r="E132" s="173"/>
      <c r="F132" s="281"/>
      <c r="G132" s="167"/>
      <c r="H132" s="167"/>
      <c r="I132" s="167"/>
      <c r="J132" s="83"/>
      <c r="K132" s="259"/>
      <c r="L132"/>
    </row>
    <row r="133" spans="1:15" ht="16">
      <c r="A133" s="450" t="s">
        <v>881</v>
      </c>
      <c r="B133" s="451"/>
      <c r="C133" s="451"/>
      <c r="D133" s="451"/>
      <c r="E133" s="451"/>
      <c r="F133" s="451"/>
      <c r="G133" s="452"/>
      <c r="H133" s="267"/>
      <c r="I133" s="267"/>
      <c r="J133" s="268">
        <f>J73+J131</f>
        <v>72438.200000000012</v>
      </c>
      <c r="K133" s="260"/>
      <c r="L133"/>
    </row>
    <row r="134" spans="1:15" ht="18">
      <c r="G134" s="218" t="s">
        <v>250</v>
      </c>
      <c r="H134" s="238">
        <v>45177</v>
      </c>
      <c r="I134"/>
      <c r="J134"/>
      <c r="K134"/>
      <c r="L134"/>
    </row>
    <row r="135" spans="1:15" ht="18">
      <c r="G135" s="218" t="s">
        <v>251</v>
      </c>
      <c r="H135" s="239" t="s">
        <v>990</v>
      </c>
      <c r="I135"/>
      <c r="J135"/>
      <c r="K135"/>
      <c r="L135"/>
    </row>
    <row r="137" spans="1:15">
      <c r="H137" s="269" t="e">
        <f>H7+H18+#REF!+H71</f>
        <v>#REF!</v>
      </c>
      <c r="J137" s="270" t="e">
        <f>J133-H137</f>
        <v>#REF!</v>
      </c>
    </row>
    <row r="138" spans="1:15">
      <c r="H138" s="269"/>
      <c r="J138" s="270"/>
    </row>
    <row r="140" spans="1:15" s="3" customFormat="1">
      <c r="A140"/>
      <c r="B140"/>
      <c r="C140"/>
      <c r="D140"/>
      <c r="E140"/>
      <c r="G140" s="216"/>
      <c r="H140" s="216"/>
      <c r="I140" s="216"/>
      <c r="K140" s="152"/>
      <c r="L140" s="216"/>
      <c r="M140"/>
      <c r="N140"/>
      <c r="O140"/>
    </row>
  </sheetData>
  <mergeCells count="7">
    <mergeCell ref="A133:G133"/>
    <mergeCell ref="A73:G73"/>
    <mergeCell ref="A74:C74"/>
    <mergeCell ref="A76:C76"/>
    <mergeCell ref="A77:C77"/>
    <mergeCell ref="A78:G78"/>
    <mergeCell ref="A131:G131"/>
  </mergeCells>
  <conditionalFormatting sqref="B8:B10 B4">
    <cfRule type="duplicateValues" dxfId="1462" priority="94"/>
  </conditionalFormatting>
  <conditionalFormatting sqref="B80">
    <cfRule type="duplicateValues" dxfId="1461" priority="67"/>
    <cfRule type="duplicateValues" dxfId="1460" priority="68"/>
  </conditionalFormatting>
  <conditionalFormatting sqref="B81">
    <cfRule type="duplicateValues" dxfId="1459" priority="65"/>
    <cfRule type="duplicateValues" dxfId="1458" priority="66"/>
  </conditionalFormatting>
  <conditionalFormatting sqref="B82:B83">
    <cfRule type="duplicateValues" dxfId="1457" priority="63"/>
    <cfRule type="duplicateValues" dxfId="1456" priority="64"/>
  </conditionalFormatting>
  <conditionalFormatting sqref="B84">
    <cfRule type="duplicateValues" dxfId="1455" priority="60"/>
    <cfRule type="duplicateValues" dxfId="1454" priority="61"/>
  </conditionalFormatting>
  <conditionalFormatting sqref="B85 B105 B121 B129">
    <cfRule type="duplicateValues" dxfId="1453" priority="57"/>
  </conditionalFormatting>
  <conditionalFormatting sqref="B85">
    <cfRule type="duplicateValues" dxfId="1452" priority="58"/>
  </conditionalFormatting>
  <conditionalFormatting sqref="B86">
    <cfRule type="duplicateValues" dxfId="1451" priority="54"/>
    <cfRule type="duplicateValues" dxfId="1450" priority="55"/>
  </conditionalFormatting>
  <conditionalFormatting sqref="B87">
    <cfRule type="duplicateValues" dxfId="1449" priority="51"/>
    <cfRule type="duplicateValues" dxfId="1448" priority="52"/>
  </conditionalFormatting>
  <conditionalFormatting sqref="B88">
    <cfRule type="duplicateValues" dxfId="1447" priority="48"/>
    <cfRule type="duplicateValues" dxfId="1446" priority="49"/>
  </conditionalFormatting>
  <conditionalFormatting sqref="B89">
    <cfRule type="duplicateValues" dxfId="1445" priority="45"/>
    <cfRule type="duplicateValues" dxfId="1444" priority="46"/>
  </conditionalFormatting>
  <conditionalFormatting sqref="B90:B91 B93">
    <cfRule type="duplicateValues" dxfId="1443" priority="42"/>
  </conditionalFormatting>
  <conditionalFormatting sqref="B90:B91">
    <cfRule type="duplicateValues" dxfId="1442" priority="43"/>
  </conditionalFormatting>
  <conditionalFormatting sqref="B92">
    <cfRule type="duplicateValues" dxfId="1441" priority="39"/>
    <cfRule type="duplicateValues" dxfId="1440" priority="40"/>
  </conditionalFormatting>
  <conditionalFormatting sqref="B94">
    <cfRule type="duplicateValues" dxfId="1439" priority="36"/>
    <cfRule type="duplicateValues" dxfId="1438" priority="37"/>
  </conditionalFormatting>
  <conditionalFormatting sqref="B95">
    <cfRule type="duplicateValues" dxfId="1437" priority="33"/>
    <cfRule type="duplicateValues" dxfId="1436" priority="34"/>
  </conditionalFormatting>
  <conditionalFormatting sqref="B96">
    <cfRule type="duplicateValues" dxfId="1435" priority="30"/>
    <cfRule type="duplicateValues" dxfId="1434" priority="31"/>
  </conditionalFormatting>
  <conditionalFormatting sqref="B97:B98">
    <cfRule type="duplicateValues" dxfId="1433" priority="27"/>
    <cfRule type="duplicateValues" dxfId="1432" priority="28"/>
  </conditionalFormatting>
  <conditionalFormatting sqref="B99">
    <cfRule type="duplicateValues" dxfId="1431" priority="25"/>
    <cfRule type="duplicateValues" dxfId="1430" priority="26"/>
  </conditionalFormatting>
  <conditionalFormatting sqref="B100">
    <cfRule type="duplicateValues" dxfId="1429" priority="23"/>
    <cfRule type="duplicateValues" dxfId="1428" priority="24"/>
  </conditionalFormatting>
  <conditionalFormatting sqref="B101">
    <cfRule type="duplicateValues" dxfId="1427" priority="21"/>
    <cfRule type="duplicateValues" dxfId="1426" priority="22"/>
  </conditionalFormatting>
  <conditionalFormatting sqref="B102">
    <cfRule type="duplicateValues" dxfId="1425" priority="19"/>
    <cfRule type="duplicateValues" dxfId="1424" priority="20"/>
  </conditionalFormatting>
  <conditionalFormatting sqref="B103">
    <cfRule type="duplicateValues" dxfId="1423" priority="17"/>
    <cfRule type="duplicateValues" dxfId="1422" priority="18"/>
  </conditionalFormatting>
  <conditionalFormatting sqref="B104">
    <cfRule type="duplicateValues" dxfId="1421" priority="15"/>
    <cfRule type="duplicateValues" dxfId="1420" priority="16"/>
  </conditionalFormatting>
  <conditionalFormatting sqref="B106">
    <cfRule type="duplicateValues" dxfId="1419" priority="13"/>
    <cfRule type="duplicateValues" dxfId="1418" priority="14"/>
  </conditionalFormatting>
  <conditionalFormatting sqref="B107:B120 B8:B11 B13:B71">
    <cfRule type="duplicateValues" dxfId="1417" priority="855"/>
  </conditionalFormatting>
  <conditionalFormatting sqref="B107:B120 B11 B13:B71">
    <cfRule type="duplicateValues" dxfId="1416" priority="858"/>
  </conditionalFormatting>
  <conditionalFormatting sqref="B122">
    <cfRule type="duplicateValues" dxfId="1415" priority="11"/>
    <cfRule type="duplicateValues" dxfId="1414" priority="12"/>
  </conditionalFormatting>
  <conditionalFormatting sqref="B123">
    <cfRule type="duplicateValues" dxfId="1413" priority="9"/>
    <cfRule type="duplicateValues" dxfId="1412" priority="10"/>
  </conditionalFormatting>
  <conditionalFormatting sqref="B124">
    <cfRule type="duplicateValues" dxfId="1411" priority="7"/>
    <cfRule type="duplicateValues" dxfId="1410" priority="8"/>
  </conditionalFormatting>
  <conditionalFormatting sqref="B125:B126">
    <cfRule type="duplicateValues" dxfId="1409" priority="5"/>
    <cfRule type="duplicateValues" dxfId="1408" priority="6"/>
  </conditionalFormatting>
  <conditionalFormatting sqref="B127">
    <cfRule type="duplicateValues" dxfId="1407" priority="3"/>
    <cfRule type="duplicateValues" dxfId="1406" priority="4"/>
  </conditionalFormatting>
  <conditionalFormatting sqref="B128">
    <cfRule type="duplicateValues" dxfId="1405" priority="1"/>
    <cfRule type="duplicateValues" dxfId="1404" priority="2"/>
  </conditionalFormatting>
  <conditionalFormatting sqref="C138">
    <cfRule type="duplicateValues" dxfId="1403" priority="86"/>
    <cfRule type="duplicateValues" dxfId="1402" priority="87"/>
  </conditionalFormatting>
  <conditionalFormatting sqref="C140">
    <cfRule type="duplicateValues" dxfId="1401" priority="84"/>
    <cfRule type="duplicateValues" dxfId="1400" priority="85"/>
  </conditionalFormatting>
  <conditionalFormatting sqref="C142">
    <cfRule type="duplicateValues" dxfId="1399" priority="82"/>
    <cfRule type="duplicateValues" dxfId="1398" priority="83"/>
  </conditionalFormatting>
  <conditionalFormatting sqref="C130:F130">
    <cfRule type="duplicateValues" dxfId="1397" priority="93"/>
  </conditionalFormatting>
  <conditionalFormatting sqref="C131:F135 E72:F73 E78:F78 C73:D78 E1:F3 C1:D4">
    <cfRule type="duplicateValues" dxfId="1396" priority="90"/>
  </conditionalFormatting>
  <conditionalFormatting sqref="C131:F136 E1:F3 C1:D4 E72:F73 E78:F78 C73:D78 D138:F138 D140:F140 C139:F139 C143:F1048576 D142:F142 C141:F141">
    <cfRule type="duplicateValues" dxfId="1395" priority="89"/>
  </conditionalFormatting>
  <conditionalFormatting sqref="C136:F136 D138:F138 D140:F140 C139:F139 C143:F1048576 D142:F142 C141:F141">
    <cfRule type="duplicateValues" dxfId="1394" priority="92"/>
  </conditionalFormatting>
  <conditionalFormatting sqref="E75">
    <cfRule type="duplicateValues" dxfId="1393" priority="78"/>
    <cfRule type="duplicateValues" dxfId="1392" priority="79"/>
  </conditionalFormatting>
  <conditionalFormatting sqref="E72:F72">
    <cfRule type="duplicateValues" dxfId="1391" priority="91"/>
  </conditionalFormatting>
  <conditionalFormatting sqref="E82:F129">
    <cfRule type="containsText" dxfId="1390" priority="29" operator="containsText" text="Spouse">
      <formula>NOT(ISERROR(SEARCH("Spouse",E82)))</formula>
    </cfRule>
  </conditionalFormatting>
  <conditionalFormatting sqref="E4:G8">
    <cfRule type="containsText" dxfId="1389" priority="77" operator="containsText" text="Spouse">
      <formula>NOT(ISERROR(SEARCH("Spouse",E4)))</formula>
    </cfRule>
  </conditionalFormatting>
  <conditionalFormatting sqref="E10:G71">
    <cfRule type="containsText" dxfId="1388" priority="32" operator="containsText" text="Spouse">
      <formula>NOT(ISERROR(SEARCH("Spouse",E10)))</formula>
    </cfRule>
  </conditionalFormatting>
  <conditionalFormatting sqref="G1:H3 E9:F9 G72:I73 F74:F77 H74:I77 G78:I78 E80:G81 G130:I1048576">
    <cfRule type="containsText" dxfId="1387" priority="80" operator="containsText" text="Spouse">
      <formula>NOT(ISERROR(SEARCH("Spouse",E1)))</formula>
    </cfRule>
  </conditionalFormatting>
  <conditionalFormatting sqref="J6">
    <cfRule type="containsText" dxfId="1386" priority="69" operator="containsText" text="Spouse">
      <formula>NOT(ISERROR(SEARCH("Spouse",J6)))</formula>
    </cfRule>
  </conditionalFormatting>
  <conditionalFormatting sqref="K5:K7 K11:K15 K18:K21 K23:K40 K42:K57 K59:K68 K80:K91 K93:K129">
    <cfRule type="notContainsBlanks" dxfId="1385" priority="81">
      <formula>LEN(TRIM(K5))&gt;0</formula>
    </cfRule>
  </conditionalFormatting>
  <conditionalFormatting sqref="L72 K73:K78 K131:K133">
    <cfRule type="notContainsBlanks" dxfId="1384" priority="88">
      <formula>LEN(TRIM(K72))&gt;0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EFF8-3DCE-1745-9B79-D9FD7868F1AA}">
  <dimension ref="A1:O100"/>
  <sheetViews>
    <sheetView zoomScale="125" workbookViewId="0">
      <selection activeCell="I2" sqref="I2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6" customWidth="1"/>
    <col min="4" max="4" width="23.83203125" bestFit="1" customWidth="1"/>
    <col min="5" max="5" width="23.83203125" customWidth="1"/>
    <col min="6" max="6" width="10.1640625" style="3" customWidth="1"/>
    <col min="7" max="7" width="13.6640625" style="216" customWidth="1"/>
    <col min="8" max="8" width="12.832031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45170</v>
      </c>
      <c r="K2" s="230"/>
    </row>
    <row r="3" spans="1:14" ht="14" customHeight="1">
      <c r="J3" s="201"/>
      <c r="K3" s="231" t="s">
        <v>832</v>
      </c>
    </row>
    <row r="4" spans="1:14" ht="28">
      <c r="A4" s="50" t="s">
        <v>226</v>
      </c>
      <c r="B4" s="219" t="s">
        <v>500</v>
      </c>
      <c r="C4" s="50" t="s">
        <v>498</v>
      </c>
      <c r="D4" s="50" t="s">
        <v>499</v>
      </c>
      <c r="E4" s="279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10"/>
      <c r="B5" t="s">
        <v>955</v>
      </c>
      <c r="C5" s="29" t="s">
        <v>943</v>
      </c>
      <c r="D5" s="29" t="s">
        <v>944</v>
      </c>
      <c r="E5" s="161" t="s">
        <v>852</v>
      </c>
      <c r="F5" s="7"/>
      <c r="G5" s="251">
        <v>520.32000000000005</v>
      </c>
      <c r="H5" s="51">
        <v>0</v>
      </c>
      <c r="I5" s="51">
        <v>520.32000000000005</v>
      </c>
      <c r="J5" s="285">
        <v>520.32000000000005</v>
      </c>
      <c r="K5" s="161"/>
      <c r="L5" s="254"/>
    </row>
    <row r="6" spans="1:14">
      <c r="A6" s="10"/>
      <c r="B6" s="161">
        <v>2305</v>
      </c>
      <c r="C6" s="29" t="s">
        <v>959</v>
      </c>
      <c r="D6" s="29" t="s">
        <v>960</v>
      </c>
      <c r="E6" s="161" t="s">
        <v>852</v>
      </c>
      <c r="F6" s="7"/>
      <c r="G6" s="251">
        <v>1347.46</v>
      </c>
      <c r="H6" s="51">
        <v>0</v>
      </c>
      <c r="I6" s="251">
        <v>1347.46</v>
      </c>
      <c r="J6" s="285">
        <v>1347.46</v>
      </c>
      <c r="K6" s="161" t="s">
        <v>326</v>
      </c>
      <c r="L6" s="254"/>
    </row>
    <row r="7" spans="1:14">
      <c r="A7" s="7">
        <v>1</v>
      </c>
      <c r="B7" s="29" t="s">
        <v>741</v>
      </c>
      <c r="C7" s="29" t="s">
        <v>742</v>
      </c>
      <c r="D7" s="29" t="s">
        <v>779</v>
      </c>
      <c r="E7" s="161" t="s">
        <v>851</v>
      </c>
      <c r="F7" s="7"/>
      <c r="G7" s="251">
        <v>1158.3</v>
      </c>
      <c r="H7" s="51"/>
      <c r="I7" s="51">
        <f>G7+H7</f>
        <v>1158.3</v>
      </c>
      <c r="J7" s="285">
        <v>1158.3</v>
      </c>
      <c r="K7" s="161" t="s">
        <v>962</v>
      </c>
      <c r="L7"/>
    </row>
    <row r="8" spans="1:14">
      <c r="A8" s="7">
        <v>2</v>
      </c>
      <c r="B8" s="29" t="s">
        <v>658</v>
      </c>
      <c r="C8" s="29" t="s">
        <v>743</v>
      </c>
      <c r="D8" s="161" t="s">
        <v>780</v>
      </c>
      <c r="E8" s="161" t="s">
        <v>852</v>
      </c>
      <c r="F8" s="7"/>
      <c r="G8" s="251">
        <v>498.48</v>
      </c>
      <c r="H8" s="51">
        <v>0</v>
      </c>
      <c r="I8" s="51">
        <v>498.47</v>
      </c>
      <c r="J8" s="285">
        <v>498.47</v>
      </c>
      <c r="K8" s="149"/>
      <c r="L8"/>
    </row>
    <row r="9" spans="1:14">
      <c r="A9" s="7"/>
      <c r="B9" t="s">
        <v>951</v>
      </c>
      <c r="C9" s="29" t="s">
        <v>950</v>
      </c>
      <c r="D9" s="161" t="s">
        <v>949</v>
      </c>
      <c r="E9" s="161" t="s">
        <v>852</v>
      </c>
      <c r="F9" s="7"/>
      <c r="G9" s="51">
        <v>1395.13</v>
      </c>
      <c r="H9" s="51">
        <v>0</v>
      </c>
      <c r="I9" s="51">
        <v>1395.13</v>
      </c>
      <c r="J9" s="121">
        <v>1395.13</v>
      </c>
      <c r="K9" s="295"/>
      <c r="L9"/>
    </row>
    <row r="10" spans="1:14">
      <c r="A10" s="7">
        <v>3</v>
      </c>
      <c r="B10" s="29" t="s">
        <v>659</v>
      </c>
      <c r="C10" s="29" t="s">
        <v>744</v>
      </c>
      <c r="D10" s="161" t="s">
        <v>781</v>
      </c>
      <c r="E10" s="161" t="s">
        <v>853</v>
      </c>
      <c r="F10" s="7">
        <v>2</v>
      </c>
      <c r="G10" s="251">
        <v>1637.1</v>
      </c>
      <c r="H10" s="51">
        <v>0</v>
      </c>
      <c r="I10" s="51">
        <v>1637.09</v>
      </c>
      <c r="J10" s="121">
        <v>1637.09</v>
      </c>
      <c r="K10" s="161"/>
      <c r="L10"/>
    </row>
    <row r="11" spans="1:14">
      <c r="A11" s="7">
        <v>4</v>
      </c>
      <c r="B11" s="29" t="s">
        <v>660</v>
      </c>
      <c r="C11" s="29" t="s">
        <v>462</v>
      </c>
      <c r="D11" s="29" t="s">
        <v>425</v>
      </c>
      <c r="E11" s="161" t="s">
        <v>853</v>
      </c>
      <c r="F11" s="7">
        <v>2</v>
      </c>
      <c r="G11" s="251">
        <v>1607.22</v>
      </c>
      <c r="H11" s="51">
        <v>0</v>
      </c>
      <c r="I11" s="51">
        <v>1607.22</v>
      </c>
      <c r="J11" s="285">
        <v>1607.22</v>
      </c>
      <c r="K11" s="161"/>
      <c r="L11"/>
    </row>
    <row r="12" spans="1:14">
      <c r="A12" s="7">
        <v>5</v>
      </c>
      <c r="B12" s="29" t="s">
        <v>833</v>
      </c>
      <c r="C12" s="29" t="s">
        <v>834</v>
      </c>
      <c r="D12" s="29" t="s">
        <v>835</v>
      </c>
      <c r="E12" s="161" t="s">
        <v>852</v>
      </c>
      <c r="F12" s="7"/>
      <c r="G12" s="251">
        <v>614.66</v>
      </c>
      <c r="H12" s="51">
        <v>0</v>
      </c>
      <c r="I12" s="51">
        <v>614.65</v>
      </c>
      <c r="J12" s="285">
        <v>614.65</v>
      </c>
      <c r="K12" s="161"/>
      <c r="L12"/>
    </row>
    <row r="13" spans="1:14">
      <c r="A13" s="7">
        <v>6</v>
      </c>
      <c r="B13" s="29" t="s">
        <v>661</v>
      </c>
      <c r="C13" s="29" t="s">
        <v>460</v>
      </c>
      <c r="D13" s="29" t="s">
        <v>426</v>
      </c>
      <c r="E13" s="161" t="s">
        <v>852</v>
      </c>
      <c r="F13" s="7"/>
      <c r="G13" s="251">
        <v>1292.3599999999999</v>
      </c>
      <c r="H13" s="51">
        <v>0</v>
      </c>
      <c r="I13" s="51">
        <v>1292.3499999999999</v>
      </c>
      <c r="J13" s="285">
        <v>1292.3499999999999</v>
      </c>
      <c r="K13" s="161"/>
      <c r="L13"/>
    </row>
    <row r="14" spans="1:14" s="1" customFormat="1">
      <c r="A14" s="7">
        <v>8</v>
      </c>
      <c r="B14" s="29" t="s">
        <v>663</v>
      </c>
      <c r="C14" s="29" t="s">
        <v>745</v>
      </c>
      <c r="D14" s="37" t="s">
        <v>784</v>
      </c>
      <c r="E14" s="161" t="s">
        <v>852</v>
      </c>
      <c r="F14" s="7"/>
      <c r="G14" s="251">
        <v>587.34</v>
      </c>
      <c r="H14" s="51">
        <v>0</v>
      </c>
      <c r="I14" s="51">
        <v>587.34</v>
      </c>
      <c r="J14" s="285">
        <v>587.34</v>
      </c>
      <c r="K14" s="161"/>
      <c r="L14"/>
      <c r="M14"/>
      <c r="N14"/>
    </row>
    <row r="15" spans="1:14" ht="14" customHeight="1">
      <c r="A15" s="7">
        <v>7</v>
      </c>
      <c r="B15" s="29" t="s">
        <v>837</v>
      </c>
      <c r="C15" s="29" t="s">
        <v>745</v>
      </c>
      <c r="D15" s="61" t="s">
        <v>838</v>
      </c>
      <c r="E15" s="161" t="s">
        <v>852</v>
      </c>
      <c r="F15" s="7"/>
      <c r="G15" s="251">
        <v>776.02</v>
      </c>
      <c r="H15" s="51">
        <v>0</v>
      </c>
      <c r="I15" s="51">
        <v>776.01</v>
      </c>
      <c r="J15" s="285">
        <v>776.01</v>
      </c>
      <c r="K15" s="161"/>
      <c r="L15"/>
    </row>
    <row r="16" spans="1:14" s="1" customFormat="1">
      <c r="A16" s="7">
        <v>9</v>
      </c>
      <c r="B16" s="29" t="s">
        <v>662</v>
      </c>
      <c r="C16" s="29" t="s">
        <v>745</v>
      </c>
      <c r="D16" s="61" t="s">
        <v>783</v>
      </c>
      <c r="E16" s="161" t="s">
        <v>852</v>
      </c>
      <c r="F16" s="7"/>
      <c r="G16" s="251">
        <v>618.62</v>
      </c>
      <c r="H16" s="51">
        <v>0</v>
      </c>
      <c r="I16" s="51">
        <v>618.62</v>
      </c>
      <c r="J16" s="285">
        <v>618.62</v>
      </c>
      <c r="K16" s="6"/>
      <c r="L16"/>
      <c r="M16"/>
      <c r="N16"/>
    </row>
    <row r="17" spans="1:14" s="1" customFormat="1">
      <c r="A17" s="7"/>
      <c r="B17" t="s">
        <v>953</v>
      </c>
      <c r="C17" s="29" t="s">
        <v>806</v>
      </c>
      <c r="D17" s="61" t="s">
        <v>952</v>
      </c>
      <c r="E17" s="161" t="s">
        <v>852</v>
      </c>
      <c r="F17" s="7"/>
      <c r="G17" s="251">
        <v>606.71</v>
      </c>
      <c r="H17" s="51">
        <v>0</v>
      </c>
      <c r="I17" s="51">
        <v>606.71</v>
      </c>
      <c r="J17" s="285">
        <v>606.71</v>
      </c>
      <c r="K17" s="6"/>
      <c r="L17"/>
      <c r="M17"/>
      <c r="N17"/>
    </row>
    <row r="18" spans="1:14">
      <c r="A18" s="7">
        <v>10</v>
      </c>
      <c r="B18" s="29" t="s">
        <v>839</v>
      </c>
      <c r="C18" s="29" t="s">
        <v>840</v>
      </c>
      <c r="D18" s="29" t="s">
        <v>841</v>
      </c>
      <c r="E18" s="161" t="s">
        <v>855</v>
      </c>
      <c r="F18" s="7">
        <v>1</v>
      </c>
      <c r="G18" s="251">
        <v>1012.42</v>
      </c>
      <c r="H18" s="51">
        <v>626.58000000000004</v>
      </c>
      <c r="I18" s="51">
        <f>G18+H18</f>
        <v>1639</v>
      </c>
      <c r="J18" s="285">
        <v>1638.99</v>
      </c>
      <c r="K18" s="161"/>
      <c r="L18"/>
    </row>
    <row r="19" spans="1:14">
      <c r="A19" s="7">
        <v>11</v>
      </c>
      <c r="B19" s="29" t="s">
        <v>664</v>
      </c>
      <c r="C19" s="29" t="s">
        <v>746</v>
      </c>
      <c r="D19" s="29" t="s">
        <v>785</v>
      </c>
      <c r="E19" s="161" t="s">
        <v>854</v>
      </c>
      <c r="F19" s="7">
        <v>1</v>
      </c>
      <c r="G19" s="251">
        <v>1843.96</v>
      </c>
      <c r="H19" s="51">
        <v>0</v>
      </c>
      <c r="I19" s="51">
        <v>1843.95</v>
      </c>
      <c r="J19" s="285">
        <v>1843.95</v>
      </c>
      <c r="K19" s="161"/>
      <c r="L19"/>
    </row>
    <row r="20" spans="1:14">
      <c r="A20" s="7">
        <v>12</v>
      </c>
      <c r="B20" s="29" t="s">
        <v>665</v>
      </c>
      <c r="C20" s="29" t="s">
        <v>746</v>
      </c>
      <c r="D20" s="29" t="s">
        <v>786</v>
      </c>
      <c r="E20" s="161" t="s">
        <v>852</v>
      </c>
      <c r="F20" s="7"/>
      <c r="G20" s="251">
        <v>626.58000000000004</v>
      </c>
      <c r="H20" s="51">
        <v>0</v>
      </c>
      <c r="I20" s="51">
        <v>626.57000000000005</v>
      </c>
      <c r="J20" s="285">
        <v>626.57000000000005</v>
      </c>
      <c r="K20" s="161"/>
      <c r="L20"/>
    </row>
    <row r="21" spans="1:14">
      <c r="A21" s="7">
        <v>13</v>
      </c>
      <c r="B21" s="29" t="s">
        <v>666</v>
      </c>
      <c r="C21" s="29" t="s">
        <v>747</v>
      </c>
      <c r="D21" s="37" t="s">
        <v>787</v>
      </c>
      <c r="E21" s="161" t="s">
        <v>854</v>
      </c>
      <c r="F21" s="7">
        <v>1</v>
      </c>
      <c r="G21" s="251">
        <v>996.54</v>
      </c>
      <c r="H21" s="51">
        <v>0</v>
      </c>
      <c r="I21" s="51">
        <v>996.53</v>
      </c>
      <c r="J21" s="285">
        <v>996.53</v>
      </c>
      <c r="K21" s="161"/>
      <c r="L21"/>
    </row>
    <row r="22" spans="1:14">
      <c r="A22" s="7">
        <v>14</v>
      </c>
      <c r="B22" s="220" t="s">
        <v>934</v>
      </c>
      <c r="C22" s="29" t="s">
        <v>932</v>
      </c>
      <c r="D22" s="37" t="s">
        <v>933</v>
      </c>
      <c r="E22" s="161" t="s">
        <v>852</v>
      </c>
      <c r="F22" s="7"/>
      <c r="G22" s="251">
        <v>539.67999999999995</v>
      </c>
      <c r="H22" s="51">
        <v>0</v>
      </c>
      <c r="I22" s="51">
        <v>539.67999999999995</v>
      </c>
      <c r="J22" s="285">
        <v>539.67999999999995</v>
      </c>
      <c r="K22" s="149"/>
      <c r="L22"/>
    </row>
    <row r="23" spans="1:14" s="1" customFormat="1">
      <c r="A23" s="7">
        <v>15</v>
      </c>
      <c r="B23" s="29" t="s">
        <v>667</v>
      </c>
      <c r="C23" s="29" t="s">
        <v>466</v>
      </c>
      <c r="D23" s="29" t="s">
        <v>431</v>
      </c>
      <c r="E23" s="161" t="s">
        <v>854</v>
      </c>
      <c r="F23" s="7">
        <v>1</v>
      </c>
      <c r="G23" s="251">
        <v>1383.21</v>
      </c>
      <c r="H23" s="51">
        <v>0</v>
      </c>
      <c r="I23" s="51">
        <v>1383.21</v>
      </c>
      <c r="J23" s="285">
        <v>1383.21</v>
      </c>
      <c r="K23" s="161" t="s">
        <v>995</v>
      </c>
      <c r="L23"/>
      <c r="M23"/>
      <c r="N23"/>
    </row>
    <row r="24" spans="1:14">
      <c r="A24" s="7">
        <v>16</v>
      </c>
      <c r="B24" s="29" t="s">
        <v>668</v>
      </c>
      <c r="C24" s="29" t="s">
        <v>748</v>
      </c>
      <c r="D24" s="37" t="s">
        <v>788</v>
      </c>
      <c r="E24" s="161" t="s">
        <v>852</v>
      </c>
      <c r="F24" s="7"/>
      <c r="G24" s="251">
        <v>1107.1600000000001</v>
      </c>
      <c r="H24" s="51">
        <v>0</v>
      </c>
      <c r="I24" s="51">
        <v>1107.1600000000001</v>
      </c>
      <c r="J24" s="285">
        <v>1107.1600000000001</v>
      </c>
      <c r="K24" s="161"/>
      <c r="L24"/>
    </row>
    <row r="25" spans="1:14">
      <c r="A25" s="7">
        <v>17</v>
      </c>
      <c r="B25" s="29" t="s">
        <v>669</v>
      </c>
      <c r="C25" s="29" t="s">
        <v>749</v>
      </c>
      <c r="D25" s="37" t="s">
        <v>789</v>
      </c>
      <c r="E25" s="161" t="s">
        <v>852</v>
      </c>
      <c r="F25" s="7"/>
      <c r="G25" s="251">
        <v>539.67999999999995</v>
      </c>
      <c r="H25" s="51">
        <v>0</v>
      </c>
      <c r="I25" s="51">
        <v>539.67999999999995</v>
      </c>
      <c r="J25" s="285">
        <v>539.67999999999995</v>
      </c>
      <c r="K25" s="161"/>
      <c r="L25"/>
    </row>
    <row r="26" spans="1:14">
      <c r="A26" s="7">
        <v>18</v>
      </c>
      <c r="B26" s="29" t="s">
        <v>729</v>
      </c>
      <c r="C26" s="29" t="s">
        <v>750</v>
      </c>
      <c r="D26" s="37" t="s">
        <v>790</v>
      </c>
      <c r="E26" s="161" t="s">
        <v>852</v>
      </c>
      <c r="F26" s="7"/>
      <c r="G26" s="251">
        <v>618.62</v>
      </c>
      <c r="H26" s="51">
        <v>0</v>
      </c>
      <c r="I26" s="51">
        <v>618.62</v>
      </c>
      <c r="J26" s="285">
        <v>618.62</v>
      </c>
      <c r="K26" s="161"/>
      <c r="L26"/>
    </row>
    <row r="27" spans="1:14">
      <c r="A27" s="7">
        <v>19</v>
      </c>
      <c r="B27" s="29" t="s">
        <v>671</v>
      </c>
      <c r="C27" s="29" t="s">
        <v>751</v>
      </c>
      <c r="D27" s="29" t="s">
        <v>791</v>
      </c>
      <c r="E27" s="161" t="s">
        <v>852</v>
      </c>
      <c r="F27" s="7"/>
      <c r="G27" s="251">
        <v>1489.48</v>
      </c>
      <c r="H27" s="51">
        <v>0</v>
      </c>
      <c r="I27" s="51">
        <v>1489.47</v>
      </c>
      <c r="J27" s="285">
        <v>1489.47</v>
      </c>
      <c r="K27" s="161"/>
      <c r="L27"/>
    </row>
    <row r="28" spans="1:14">
      <c r="A28" s="7">
        <v>20</v>
      </c>
      <c r="B28" s="29" t="s">
        <v>672</v>
      </c>
      <c r="C28" s="29" t="s">
        <v>752</v>
      </c>
      <c r="D28" s="29" t="s">
        <v>792</v>
      </c>
      <c r="E28" s="161" t="s">
        <v>853</v>
      </c>
      <c r="F28" s="7">
        <v>2</v>
      </c>
      <c r="G28" s="251">
        <v>1414.18</v>
      </c>
      <c r="H28" s="51">
        <v>0</v>
      </c>
      <c r="I28" s="51">
        <v>1414.17</v>
      </c>
      <c r="J28" s="285">
        <v>1414.17</v>
      </c>
      <c r="K28" s="161"/>
      <c r="L28"/>
    </row>
    <row r="29" spans="1:14">
      <c r="A29" s="7">
        <v>21</v>
      </c>
      <c r="B29" s="29" t="s">
        <v>674</v>
      </c>
      <c r="C29" s="29" t="s">
        <v>753</v>
      </c>
      <c r="D29" s="29" t="s">
        <v>794</v>
      </c>
      <c r="E29" s="161" t="s">
        <v>852</v>
      </c>
      <c r="F29" s="7"/>
      <c r="G29" s="251">
        <v>602.74</v>
      </c>
      <c r="H29" s="51">
        <v>0</v>
      </c>
      <c r="I29" s="51">
        <v>602.73</v>
      </c>
      <c r="J29" s="285">
        <v>602.73</v>
      </c>
      <c r="K29" s="161"/>
      <c r="L29"/>
    </row>
    <row r="30" spans="1:14">
      <c r="A30" s="7"/>
      <c r="B30" s="161">
        <v>2307</v>
      </c>
      <c r="C30" s="29" t="s">
        <v>974</v>
      </c>
      <c r="D30" s="29" t="s">
        <v>975</v>
      </c>
      <c r="E30" s="161" t="s">
        <v>852</v>
      </c>
      <c r="F30" s="7"/>
      <c r="G30" s="251">
        <v>811.76</v>
      </c>
      <c r="H30" s="51"/>
      <c r="I30" s="51">
        <v>811.76</v>
      </c>
      <c r="J30" s="285">
        <v>811.76</v>
      </c>
      <c r="K30" s="161"/>
      <c r="L30"/>
    </row>
    <row r="31" spans="1:14">
      <c r="A31" s="7">
        <v>22</v>
      </c>
      <c r="B31" s="29" t="s">
        <v>715</v>
      </c>
      <c r="C31" s="29" t="s">
        <v>754</v>
      </c>
      <c r="D31" s="61" t="s">
        <v>795</v>
      </c>
      <c r="E31" s="161" t="s">
        <v>852</v>
      </c>
      <c r="F31" s="7"/>
      <c r="G31" s="251">
        <v>1209.94</v>
      </c>
      <c r="H31" s="51">
        <v>0</v>
      </c>
      <c r="I31" s="51">
        <v>1209.94</v>
      </c>
      <c r="J31" s="285">
        <v>1209.94</v>
      </c>
      <c r="K31" s="161"/>
      <c r="L31"/>
    </row>
    <row r="32" spans="1:14">
      <c r="A32" s="7">
        <v>23</v>
      </c>
      <c r="B32" s="29" t="s">
        <v>716</v>
      </c>
      <c r="C32" s="29" t="s">
        <v>439</v>
      </c>
      <c r="D32" s="29" t="s">
        <v>505</v>
      </c>
      <c r="E32" s="161" t="s">
        <v>852</v>
      </c>
      <c r="F32" s="7"/>
      <c r="G32" s="251">
        <v>1489.48</v>
      </c>
      <c r="H32" s="51">
        <v>0</v>
      </c>
      <c r="I32" s="51">
        <v>1489.47</v>
      </c>
      <c r="J32" s="285">
        <v>1489.47</v>
      </c>
      <c r="K32" s="161"/>
      <c r="L32"/>
    </row>
    <row r="33" spans="1:12">
      <c r="A33" s="7">
        <v>24</v>
      </c>
      <c r="B33" s="220" t="s">
        <v>675</v>
      </c>
      <c r="C33" s="29" t="s">
        <v>755</v>
      </c>
      <c r="D33" s="29" t="s">
        <v>796</v>
      </c>
      <c r="E33" s="161" t="s">
        <v>852</v>
      </c>
      <c r="F33" s="7"/>
      <c r="G33" s="251">
        <v>646.42999999999995</v>
      </c>
      <c r="H33" s="51">
        <v>0</v>
      </c>
      <c r="I33" s="51">
        <f>SUM(G33:H33)</f>
        <v>646.42999999999995</v>
      </c>
      <c r="J33" s="285">
        <v>646.42999999999995</v>
      </c>
      <c r="K33" s="161"/>
      <c r="L33"/>
    </row>
    <row r="34" spans="1:12" s="12" customFormat="1" ht="14" customHeight="1">
      <c r="A34" s="7">
        <v>25</v>
      </c>
      <c r="B34" s="29" t="s">
        <v>677</v>
      </c>
      <c r="C34" s="29" t="s">
        <v>755</v>
      </c>
      <c r="D34" s="37" t="s">
        <v>798</v>
      </c>
      <c r="E34" s="161" t="s">
        <v>853</v>
      </c>
      <c r="F34" s="7">
        <v>2</v>
      </c>
      <c r="G34" s="251">
        <v>1741.86</v>
      </c>
      <c r="H34" s="51">
        <v>0</v>
      </c>
      <c r="I34" s="51">
        <v>1741.85</v>
      </c>
      <c r="J34" s="285">
        <v>1741.85</v>
      </c>
      <c r="K34" s="161"/>
      <c r="L34"/>
    </row>
    <row r="35" spans="1:12">
      <c r="A35" s="7">
        <v>26</v>
      </c>
      <c r="B35" s="29" t="s">
        <v>676</v>
      </c>
      <c r="C35" s="29" t="s">
        <v>755</v>
      </c>
      <c r="D35" s="29" t="s">
        <v>797</v>
      </c>
      <c r="E35" s="161" t="s">
        <v>852</v>
      </c>
      <c r="F35" s="7"/>
      <c r="G35" s="251">
        <v>1012.84</v>
      </c>
      <c r="H35" s="51">
        <v>0</v>
      </c>
      <c r="I35" s="51">
        <v>1012.83</v>
      </c>
      <c r="J35" s="285">
        <v>1012.83</v>
      </c>
      <c r="K35" s="161"/>
      <c r="L35"/>
    </row>
    <row r="36" spans="1:12">
      <c r="A36" s="7">
        <v>27</v>
      </c>
      <c r="B36" s="29" t="s">
        <v>678</v>
      </c>
      <c r="C36" s="29" t="s">
        <v>756</v>
      </c>
      <c r="D36" s="37" t="s">
        <v>799</v>
      </c>
      <c r="E36" s="161" t="s">
        <v>852</v>
      </c>
      <c r="F36" s="7"/>
      <c r="G36" s="251">
        <v>1489.48</v>
      </c>
      <c r="H36" s="51">
        <v>0</v>
      </c>
      <c r="I36" s="51">
        <v>1489.47</v>
      </c>
      <c r="J36" s="285">
        <v>1489.47</v>
      </c>
      <c r="K36" s="161"/>
      <c r="L36"/>
    </row>
    <row r="37" spans="1:12">
      <c r="A37" s="7">
        <v>28</v>
      </c>
      <c r="B37" s="29" t="s">
        <v>679</v>
      </c>
      <c r="C37" s="29" t="s">
        <v>756</v>
      </c>
      <c r="D37" s="37" t="s">
        <v>800</v>
      </c>
      <c r="E37" s="161" t="s">
        <v>852</v>
      </c>
      <c r="F37" s="7"/>
      <c r="G37" s="251">
        <v>1426.42</v>
      </c>
      <c r="H37" s="51">
        <v>0</v>
      </c>
      <c r="I37" s="51">
        <v>1426.41</v>
      </c>
      <c r="J37" s="285">
        <v>1426.41</v>
      </c>
      <c r="K37" s="161"/>
      <c r="L37"/>
    </row>
    <row r="38" spans="1:12">
      <c r="A38" s="7">
        <v>29</v>
      </c>
      <c r="B38" s="29" t="s">
        <v>680</v>
      </c>
      <c r="C38" s="29" t="s">
        <v>444</v>
      </c>
      <c r="D38" s="29" t="s">
        <v>506</v>
      </c>
      <c r="E38" s="161" t="s">
        <v>852</v>
      </c>
      <c r="F38" s="7"/>
      <c r="G38" s="251">
        <v>847.02</v>
      </c>
      <c r="H38" s="51">
        <v>0</v>
      </c>
      <c r="I38" s="51">
        <v>847.01</v>
      </c>
      <c r="J38" s="285">
        <v>847.01</v>
      </c>
      <c r="K38" s="161"/>
      <c r="L38"/>
    </row>
    <row r="39" spans="1:12">
      <c r="A39" s="7">
        <v>30</v>
      </c>
      <c r="B39" s="29" t="s">
        <v>682</v>
      </c>
      <c r="C39" s="29" t="s">
        <v>757</v>
      </c>
      <c r="D39" s="29" t="s">
        <v>802</v>
      </c>
      <c r="E39" s="161" t="s">
        <v>854</v>
      </c>
      <c r="F39" s="7">
        <v>1</v>
      </c>
      <c r="G39" s="251">
        <v>1000.52</v>
      </c>
      <c r="H39" s="51">
        <v>0</v>
      </c>
      <c r="I39" s="51">
        <v>1000.51</v>
      </c>
      <c r="J39" s="285">
        <v>1000.51</v>
      </c>
      <c r="K39" s="161"/>
      <c r="L39"/>
    </row>
    <row r="40" spans="1:12">
      <c r="A40" s="7">
        <v>31</v>
      </c>
      <c r="B40" s="29" t="s">
        <v>683</v>
      </c>
      <c r="C40" s="29" t="s">
        <v>757</v>
      </c>
      <c r="D40" s="29" t="s">
        <v>803</v>
      </c>
      <c r="E40" s="161" t="s">
        <v>852</v>
      </c>
      <c r="F40" s="7"/>
      <c r="G40" s="251">
        <v>594.79999999999995</v>
      </c>
      <c r="H40" s="51">
        <v>0</v>
      </c>
      <c r="I40" s="51">
        <v>594.79</v>
      </c>
      <c r="J40" s="285">
        <v>594.79</v>
      </c>
      <c r="K40" s="161"/>
      <c r="L40"/>
    </row>
    <row r="41" spans="1:12">
      <c r="A41" s="7">
        <v>32</v>
      </c>
      <c r="B41" s="29" t="s">
        <v>681</v>
      </c>
      <c r="C41" s="29" t="s">
        <v>757</v>
      </c>
      <c r="D41" s="29" t="s">
        <v>801</v>
      </c>
      <c r="E41" s="161" t="s">
        <v>856</v>
      </c>
      <c r="F41" s="7">
        <v>2</v>
      </c>
      <c r="G41" s="251">
        <v>1390.32</v>
      </c>
      <c r="H41" s="51">
        <v>614.66</v>
      </c>
      <c r="I41" s="51">
        <f>G41+H41</f>
        <v>2004.98</v>
      </c>
      <c r="J41" s="285">
        <v>2004.98</v>
      </c>
      <c r="K41" s="161"/>
      <c r="L41"/>
    </row>
    <row r="42" spans="1:12">
      <c r="A42" s="7">
        <v>33</v>
      </c>
      <c r="B42" s="29" t="s">
        <v>684</v>
      </c>
      <c r="C42" s="29" t="s">
        <v>476</v>
      </c>
      <c r="D42" s="37" t="s">
        <v>804</v>
      </c>
      <c r="E42" s="161" t="s">
        <v>852</v>
      </c>
      <c r="F42" s="7"/>
      <c r="G42" s="251">
        <v>610.67999999999995</v>
      </c>
      <c r="H42" s="51">
        <v>0</v>
      </c>
      <c r="I42" s="51">
        <v>610.67999999999995</v>
      </c>
      <c r="J42" s="285">
        <v>610.67999999999995</v>
      </c>
      <c r="K42" s="161"/>
      <c r="L42"/>
    </row>
    <row r="43" spans="1:12">
      <c r="A43" s="7">
        <v>34</v>
      </c>
      <c r="B43" s="29" t="s">
        <v>686</v>
      </c>
      <c r="C43" s="29" t="s">
        <v>758</v>
      </c>
      <c r="D43" s="29" t="s">
        <v>805</v>
      </c>
      <c r="E43" s="161" t="s">
        <v>852</v>
      </c>
      <c r="F43" s="7"/>
      <c r="G43" s="251">
        <v>539.67999999999995</v>
      </c>
      <c r="H43" s="51">
        <v>0</v>
      </c>
      <c r="I43" s="51">
        <v>539.67999999999995</v>
      </c>
      <c r="J43" s="285">
        <v>539.67999999999995</v>
      </c>
      <c r="K43" s="161"/>
      <c r="L43"/>
    </row>
    <row r="44" spans="1:12">
      <c r="A44" s="7">
        <v>35</v>
      </c>
      <c r="B44" s="29" t="s">
        <v>687</v>
      </c>
      <c r="C44" s="29" t="s">
        <v>478</v>
      </c>
      <c r="D44" s="29" t="s">
        <v>448</v>
      </c>
      <c r="E44" s="161" t="s">
        <v>852</v>
      </c>
      <c r="F44" s="7"/>
      <c r="G44" s="251">
        <v>1489.48</v>
      </c>
      <c r="H44" s="51">
        <v>0</v>
      </c>
      <c r="I44" s="51">
        <v>1489.47</v>
      </c>
      <c r="J44" s="285">
        <v>1489.47</v>
      </c>
      <c r="K44" s="161"/>
      <c r="L44"/>
    </row>
    <row r="45" spans="1:12">
      <c r="A45" s="7">
        <v>36</v>
      </c>
      <c r="B45" s="29" t="s">
        <v>688</v>
      </c>
      <c r="C45" s="29" t="s">
        <v>759</v>
      </c>
      <c r="D45" s="37" t="s">
        <v>806</v>
      </c>
      <c r="E45" s="161" t="s">
        <v>852</v>
      </c>
      <c r="F45" s="7"/>
      <c r="G45" s="251">
        <v>602.74</v>
      </c>
      <c r="H45" s="51">
        <v>0</v>
      </c>
      <c r="I45" s="51">
        <v>602.73</v>
      </c>
      <c r="J45" s="285">
        <v>602.73</v>
      </c>
      <c r="K45" s="161"/>
      <c r="L45"/>
    </row>
    <row r="46" spans="1:12">
      <c r="A46" s="7">
        <v>37</v>
      </c>
      <c r="B46" s="29" t="s">
        <v>689</v>
      </c>
      <c r="C46" s="29" t="s">
        <v>760</v>
      </c>
      <c r="D46" s="29" t="s">
        <v>807</v>
      </c>
      <c r="E46" s="161" t="s">
        <v>852</v>
      </c>
      <c r="F46" s="7"/>
      <c r="G46" s="251">
        <v>508.4</v>
      </c>
      <c r="H46" s="51">
        <v>0</v>
      </c>
      <c r="I46" s="51">
        <v>508.4</v>
      </c>
      <c r="J46" s="285">
        <v>508.4</v>
      </c>
      <c r="K46" s="161"/>
      <c r="L46"/>
    </row>
    <row r="47" spans="1:12">
      <c r="A47" s="7">
        <v>38</v>
      </c>
      <c r="B47" s="29" t="s">
        <v>690</v>
      </c>
      <c r="C47" s="29" t="s">
        <v>761</v>
      </c>
      <c r="D47" s="29" t="s">
        <v>808</v>
      </c>
      <c r="E47" s="161" t="s">
        <v>852</v>
      </c>
      <c r="F47" s="7"/>
      <c r="G47" s="251">
        <v>539.67999999999995</v>
      </c>
      <c r="H47" s="51">
        <v>0</v>
      </c>
      <c r="I47" s="51">
        <v>539.67999999999995</v>
      </c>
      <c r="J47" s="285">
        <v>539.67999999999995</v>
      </c>
      <c r="K47" s="161"/>
      <c r="L47"/>
    </row>
    <row r="48" spans="1:12">
      <c r="A48" s="7">
        <v>39</v>
      </c>
      <c r="B48" s="29" t="s">
        <v>691</v>
      </c>
      <c r="C48" s="29" t="s">
        <v>480</v>
      </c>
      <c r="D48" s="37" t="s">
        <v>809</v>
      </c>
      <c r="E48" s="161" t="s">
        <v>853</v>
      </c>
      <c r="F48" s="7">
        <v>2</v>
      </c>
      <c r="G48" s="251">
        <v>2023.68</v>
      </c>
      <c r="H48" s="51">
        <v>0</v>
      </c>
      <c r="I48" s="51">
        <v>2023.68</v>
      </c>
      <c r="J48" s="285">
        <v>2023.68</v>
      </c>
      <c r="K48" s="161"/>
      <c r="L48"/>
    </row>
    <row r="49" spans="1:12">
      <c r="A49" s="7">
        <v>40</v>
      </c>
      <c r="B49" s="29" t="s">
        <v>692</v>
      </c>
      <c r="C49" s="29" t="s">
        <v>762</v>
      </c>
      <c r="D49" s="29" t="s">
        <v>810</v>
      </c>
      <c r="E49" s="161" t="s">
        <v>854</v>
      </c>
      <c r="F49" s="7">
        <v>1</v>
      </c>
      <c r="G49" s="251">
        <v>1008.46</v>
      </c>
      <c r="H49" s="51">
        <v>0</v>
      </c>
      <c r="I49" s="51">
        <v>1008.45</v>
      </c>
      <c r="J49" s="285">
        <v>1008.45</v>
      </c>
      <c r="K49" s="161"/>
      <c r="L49"/>
    </row>
    <row r="50" spans="1:12">
      <c r="A50" s="7">
        <v>41</v>
      </c>
      <c r="B50" s="29" t="s">
        <v>693</v>
      </c>
      <c r="C50" s="29" t="s">
        <v>763</v>
      </c>
      <c r="D50" s="29" t="s">
        <v>811</v>
      </c>
      <c r="E50" s="161" t="s">
        <v>852</v>
      </c>
      <c r="F50" s="7"/>
      <c r="G50" s="251">
        <v>606.72</v>
      </c>
      <c r="H50" s="51">
        <v>0</v>
      </c>
      <c r="I50" s="51">
        <v>606.71</v>
      </c>
      <c r="J50" s="285">
        <v>606.71</v>
      </c>
      <c r="K50" s="161"/>
      <c r="L50"/>
    </row>
    <row r="51" spans="1:12">
      <c r="A51" s="7">
        <v>42</v>
      </c>
      <c r="B51" s="29" t="s">
        <v>694</v>
      </c>
      <c r="C51" s="29" t="s">
        <v>764</v>
      </c>
      <c r="D51" s="29" t="s">
        <v>812</v>
      </c>
      <c r="E51" s="161" t="s">
        <v>854</v>
      </c>
      <c r="F51" s="7">
        <v>1</v>
      </c>
      <c r="G51" s="251">
        <v>1169.82</v>
      </c>
      <c r="H51" s="51">
        <v>0</v>
      </c>
      <c r="I51" s="51">
        <v>1169.81</v>
      </c>
      <c r="J51" s="285">
        <v>1169.81</v>
      </c>
      <c r="K51" s="161"/>
      <c r="L51"/>
    </row>
    <row r="52" spans="1:12">
      <c r="A52" s="7">
        <v>43</v>
      </c>
      <c r="B52" s="29" t="s">
        <v>695</v>
      </c>
      <c r="C52" s="29" t="s">
        <v>765</v>
      </c>
      <c r="D52" s="29" t="s">
        <v>813</v>
      </c>
      <c r="E52" s="161" t="s">
        <v>854</v>
      </c>
      <c r="F52" s="7">
        <v>1</v>
      </c>
      <c r="G52" s="251">
        <v>1406.64</v>
      </c>
      <c r="H52" s="51">
        <v>0</v>
      </c>
      <c r="I52" s="51">
        <v>1406.63</v>
      </c>
      <c r="J52" s="285">
        <v>1406.63</v>
      </c>
      <c r="K52" s="161"/>
      <c r="L52"/>
    </row>
    <row r="53" spans="1:12">
      <c r="A53" s="7">
        <v>44</v>
      </c>
      <c r="B53" s="29" t="s">
        <v>696</v>
      </c>
      <c r="C53" s="29" t="s">
        <v>766</v>
      </c>
      <c r="D53" s="37" t="s">
        <v>814</v>
      </c>
      <c r="E53" s="161" t="s">
        <v>852</v>
      </c>
      <c r="F53" s="7"/>
      <c r="G53" s="251">
        <v>1158.3</v>
      </c>
      <c r="H53" s="51">
        <v>0</v>
      </c>
      <c r="I53" s="51">
        <v>1158.3</v>
      </c>
      <c r="J53" s="285">
        <v>1158.3</v>
      </c>
      <c r="K53" s="161"/>
      <c r="L53"/>
    </row>
    <row r="54" spans="1:12">
      <c r="A54" s="7">
        <v>45</v>
      </c>
      <c r="B54" s="29" t="s">
        <v>697</v>
      </c>
      <c r="C54" s="29" t="s">
        <v>767</v>
      </c>
      <c r="D54" s="37" t="s">
        <v>815</v>
      </c>
      <c r="E54" s="161" t="s">
        <v>854</v>
      </c>
      <c r="F54" s="7">
        <v>1</v>
      </c>
      <c r="G54" s="251">
        <v>1706.44</v>
      </c>
      <c r="H54" s="51">
        <v>0</v>
      </c>
      <c r="I54" s="51">
        <v>1706.43</v>
      </c>
      <c r="J54" s="285">
        <v>1706.43</v>
      </c>
      <c r="K54" s="161"/>
      <c r="L54"/>
    </row>
    <row r="55" spans="1:12">
      <c r="A55" s="7">
        <v>46</v>
      </c>
      <c r="B55" s="29" t="s">
        <v>732</v>
      </c>
      <c r="C55" s="29" t="s">
        <v>768</v>
      </c>
      <c r="D55" s="37" t="s">
        <v>816</v>
      </c>
      <c r="E55" s="161" t="s">
        <v>852</v>
      </c>
      <c r="F55" s="7"/>
      <c r="G55" s="251">
        <v>1465.64</v>
      </c>
      <c r="H55" s="51">
        <v>0</v>
      </c>
      <c r="I55" s="51">
        <v>1465.63</v>
      </c>
      <c r="J55" s="285">
        <v>1465.63</v>
      </c>
      <c r="K55" s="161"/>
      <c r="L55"/>
    </row>
    <row r="56" spans="1:12">
      <c r="A56" s="7">
        <v>47</v>
      </c>
      <c r="B56" s="29" t="s">
        <v>842</v>
      </c>
      <c r="C56" s="29" t="s">
        <v>769</v>
      </c>
      <c r="D56" s="29" t="s">
        <v>843</v>
      </c>
      <c r="E56" s="161" t="s">
        <v>852</v>
      </c>
      <c r="F56" s="7"/>
      <c r="G56" s="251">
        <v>498.48</v>
      </c>
      <c r="H56" s="51">
        <v>0</v>
      </c>
      <c r="I56" s="51">
        <v>498.47</v>
      </c>
      <c r="J56" s="285">
        <v>498.47</v>
      </c>
      <c r="K56" s="161"/>
      <c r="L56"/>
    </row>
    <row r="57" spans="1:12">
      <c r="A57" s="7">
        <v>48</v>
      </c>
      <c r="B57" s="29" t="s">
        <v>698</v>
      </c>
      <c r="C57" s="29" t="s">
        <v>769</v>
      </c>
      <c r="D57" s="37" t="s">
        <v>817</v>
      </c>
      <c r="E57" s="161" t="s">
        <v>852</v>
      </c>
      <c r="F57" s="7"/>
      <c r="G57" s="251">
        <v>587.34</v>
      </c>
      <c r="H57" s="51">
        <v>0</v>
      </c>
      <c r="I57" s="51">
        <v>587.34</v>
      </c>
      <c r="J57" s="285">
        <v>587.34</v>
      </c>
      <c r="K57" s="149"/>
      <c r="L57"/>
    </row>
    <row r="58" spans="1:12">
      <c r="A58" s="7">
        <v>49</v>
      </c>
      <c r="B58" s="29" t="s">
        <v>699</v>
      </c>
      <c r="C58" s="29" t="s">
        <v>770</v>
      </c>
      <c r="D58" s="29" t="s">
        <v>818</v>
      </c>
      <c r="E58" s="161" t="s">
        <v>852</v>
      </c>
      <c r="F58" s="7"/>
      <c r="G58" s="251">
        <v>1465.64</v>
      </c>
      <c r="H58" s="51">
        <v>0</v>
      </c>
      <c r="I58" s="51">
        <v>1465.63</v>
      </c>
      <c r="J58" s="285">
        <v>1465.63</v>
      </c>
      <c r="K58" s="161"/>
      <c r="L58"/>
    </row>
    <row r="59" spans="1:12">
      <c r="A59" s="7">
        <v>50</v>
      </c>
      <c r="B59" s="29" t="s">
        <v>700</v>
      </c>
      <c r="C59" s="29" t="s">
        <v>771</v>
      </c>
      <c r="D59" s="37" t="s">
        <v>819</v>
      </c>
      <c r="E59" s="161" t="s">
        <v>854</v>
      </c>
      <c r="F59" s="7">
        <v>1</v>
      </c>
      <c r="G59" s="251">
        <v>1706.44</v>
      </c>
      <c r="H59" s="51">
        <v>0</v>
      </c>
      <c r="I59" s="51">
        <v>1706.43</v>
      </c>
      <c r="J59" s="285">
        <v>1706.43</v>
      </c>
      <c r="K59" s="161"/>
      <c r="L59"/>
    </row>
    <row r="60" spans="1:12">
      <c r="A60" s="7">
        <v>52</v>
      </c>
      <c r="B60" s="29" t="s">
        <v>702</v>
      </c>
      <c r="C60" s="29" t="s">
        <v>487</v>
      </c>
      <c r="D60" s="29" t="s">
        <v>516</v>
      </c>
      <c r="E60" s="161" t="s">
        <v>852</v>
      </c>
      <c r="F60" s="7"/>
      <c r="G60" s="251">
        <v>925.96</v>
      </c>
      <c r="H60" s="51">
        <v>0</v>
      </c>
      <c r="I60" s="51">
        <v>925.95</v>
      </c>
      <c r="J60" s="285">
        <v>925.95</v>
      </c>
      <c r="K60" s="161"/>
      <c r="L60"/>
    </row>
    <row r="61" spans="1:12">
      <c r="A61" s="7">
        <v>54</v>
      </c>
      <c r="B61" s="29" t="s">
        <v>704</v>
      </c>
      <c r="C61" s="29" t="s">
        <v>773</v>
      </c>
      <c r="D61" s="29" t="s">
        <v>821</v>
      </c>
      <c r="E61" s="161" t="s">
        <v>852</v>
      </c>
      <c r="F61" s="7"/>
      <c r="G61" s="251">
        <v>1489.48</v>
      </c>
      <c r="H61" s="51">
        <v>0</v>
      </c>
      <c r="I61" s="51">
        <v>1489.47</v>
      </c>
      <c r="J61" s="285">
        <v>1489.47</v>
      </c>
      <c r="K61" s="161"/>
      <c r="L61"/>
    </row>
    <row r="62" spans="1:12">
      <c r="A62" s="7">
        <v>55</v>
      </c>
      <c r="B62" s="29" t="s">
        <v>705</v>
      </c>
      <c r="C62" s="29" t="s">
        <v>491</v>
      </c>
      <c r="D62" s="29" t="s">
        <v>456</v>
      </c>
      <c r="E62" s="161" t="s">
        <v>852</v>
      </c>
      <c r="F62" s="7"/>
      <c r="G62" s="251">
        <v>744.74</v>
      </c>
      <c r="H62" s="51">
        <v>0</v>
      </c>
      <c r="I62" s="51">
        <v>744.73</v>
      </c>
      <c r="J62" s="285">
        <v>744.73</v>
      </c>
      <c r="K62" s="161"/>
      <c r="L62"/>
    </row>
    <row r="63" spans="1:12">
      <c r="A63" s="7">
        <v>56</v>
      </c>
      <c r="B63" s="29" t="s">
        <v>707</v>
      </c>
      <c r="C63" s="29" t="s">
        <v>774</v>
      </c>
      <c r="D63" s="29" t="s">
        <v>823</v>
      </c>
      <c r="E63" s="161" t="s">
        <v>854</v>
      </c>
      <c r="F63" s="7">
        <v>1</v>
      </c>
      <c r="G63" s="251">
        <v>1272.5</v>
      </c>
      <c r="H63" s="51">
        <v>0</v>
      </c>
      <c r="I63" s="51">
        <v>1272.5</v>
      </c>
      <c r="J63" s="285">
        <v>1272.5</v>
      </c>
      <c r="K63" s="161"/>
      <c r="L63"/>
    </row>
    <row r="64" spans="1:12">
      <c r="A64" s="7">
        <v>57</v>
      </c>
      <c r="B64" s="29" t="s">
        <v>706</v>
      </c>
      <c r="C64" s="29" t="s">
        <v>774</v>
      </c>
      <c r="D64" s="37" t="s">
        <v>822</v>
      </c>
      <c r="E64" s="161" t="s">
        <v>852</v>
      </c>
      <c r="F64" s="7"/>
      <c r="G64" s="251">
        <v>618.62</v>
      </c>
      <c r="H64" s="51">
        <v>0</v>
      </c>
      <c r="I64" s="51">
        <v>618.62</v>
      </c>
      <c r="J64" s="285">
        <v>618.62</v>
      </c>
      <c r="K64" s="161"/>
      <c r="L64"/>
    </row>
    <row r="65" spans="1:15">
      <c r="A65" s="7">
        <v>58</v>
      </c>
      <c r="B65" s="29" t="s">
        <v>708</v>
      </c>
      <c r="C65" s="29" t="s">
        <v>775</v>
      </c>
      <c r="D65" s="37" t="s">
        <v>824</v>
      </c>
      <c r="E65" s="161" t="s">
        <v>852</v>
      </c>
      <c r="F65" s="7">
        <v>1</v>
      </c>
      <c r="G65" s="251">
        <v>1060</v>
      </c>
      <c r="H65" s="51">
        <v>0</v>
      </c>
      <c r="I65" s="51">
        <v>1060</v>
      </c>
      <c r="J65" s="285">
        <v>1060</v>
      </c>
      <c r="K65" s="161" t="s">
        <v>995</v>
      </c>
      <c r="L65"/>
    </row>
    <row r="66" spans="1:15">
      <c r="A66" s="7">
        <v>59</v>
      </c>
      <c r="B66" s="29" t="s">
        <v>709</v>
      </c>
      <c r="C66" s="29" t="s">
        <v>776</v>
      </c>
      <c r="D66" s="37" t="s">
        <v>825</v>
      </c>
      <c r="E66" s="161" t="s">
        <v>852</v>
      </c>
      <c r="F66" s="7"/>
      <c r="G66" s="251">
        <v>594.79999999999995</v>
      </c>
      <c r="H66" s="51">
        <v>0</v>
      </c>
      <c r="I66" s="51">
        <v>594.79</v>
      </c>
      <c r="J66" s="285">
        <v>594.79</v>
      </c>
      <c r="K66" s="161"/>
      <c r="L66"/>
    </row>
    <row r="67" spans="1:15">
      <c r="A67" s="7">
        <v>60</v>
      </c>
      <c r="B67" s="29" t="s">
        <v>711</v>
      </c>
      <c r="C67" s="29" t="s">
        <v>777</v>
      </c>
      <c r="D67" s="29" t="s">
        <v>827</v>
      </c>
      <c r="E67" s="161" t="s">
        <v>853</v>
      </c>
      <c r="F67" s="7">
        <v>2</v>
      </c>
      <c r="G67" s="251">
        <v>1681.28</v>
      </c>
      <c r="H67" s="51">
        <v>0</v>
      </c>
      <c r="I67" s="51">
        <v>1681.28</v>
      </c>
      <c r="J67" s="285">
        <v>1681.28</v>
      </c>
      <c r="K67" s="161"/>
      <c r="L67"/>
    </row>
    <row r="68" spans="1:15">
      <c r="A68" s="7">
        <v>61</v>
      </c>
      <c r="B68" s="29" t="s">
        <v>710</v>
      </c>
      <c r="C68" s="29" t="s">
        <v>777</v>
      </c>
      <c r="D68" s="29" t="s">
        <v>826</v>
      </c>
      <c r="E68" s="161" t="s">
        <v>852</v>
      </c>
      <c r="F68" s="7"/>
      <c r="G68" s="251">
        <v>886.72</v>
      </c>
      <c r="H68" s="51">
        <v>0</v>
      </c>
      <c r="I68" s="51">
        <v>886.72</v>
      </c>
      <c r="J68" s="121">
        <v>886.72</v>
      </c>
      <c r="K68" s="161"/>
      <c r="L68"/>
    </row>
    <row r="69" spans="1:15">
      <c r="A69" s="7">
        <v>62</v>
      </c>
      <c r="B69" s="29" t="s">
        <v>712</v>
      </c>
      <c r="C69" s="29" t="s">
        <v>778</v>
      </c>
      <c r="D69" s="37" t="s">
        <v>828</v>
      </c>
      <c r="E69" s="161" t="s">
        <v>852</v>
      </c>
      <c r="F69" s="7"/>
      <c r="G69" s="251">
        <v>587.34</v>
      </c>
      <c r="H69" s="51">
        <v>0</v>
      </c>
      <c r="I69" s="51">
        <v>587.34</v>
      </c>
      <c r="J69" s="285">
        <v>587.34</v>
      </c>
      <c r="K69" s="161"/>
      <c r="L69"/>
    </row>
    <row r="70" spans="1:15">
      <c r="A70" s="7">
        <v>63</v>
      </c>
      <c r="B70" s="29" t="s">
        <v>713</v>
      </c>
      <c r="C70" s="29" t="s">
        <v>778</v>
      </c>
      <c r="D70" s="37" t="s">
        <v>829</v>
      </c>
      <c r="E70" s="161" t="s">
        <v>856</v>
      </c>
      <c r="F70" s="7">
        <v>2</v>
      </c>
      <c r="G70" s="251">
        <v>1402.26</v>
      </c>
      <c r="H70" s="51">
        <v>657.84</v>
      </c>
      <c r="I70" s="51">
        <f>G70+H70</f>
        <v>2060.1</v>
      </c>
      <c r="J70" s="285">
        <v>2060.09</v>
      </c>
      <c r="K70" s="161"/>
      <c r="L70"/>
    </row>
    <row r="71" spans="1:15">
      <c r="A71" s="113"/>
      <c r="E71" s="261"/>
      <c r="F71" s="282"/>
      <c r="G71" s="262"/>
      <c r="H71" s="262"/>
      <c r="I71" s="262"/>
      <c r="J71" s="263"/>
      <c r="K71" s="117"/>
      <c r="N71" s="15"/>
      <c r="O71" s="15"/>
    </row>
    <row r="72" spans="1:15">
      <c r="A72" s="428" t="s">
        <v>652</v>
      </c>
      <c r="B72" s="429"/>
      <c r="C72" s="429"/>
      <c r="D72" s="429"/>
      <c r="E72" s="429"/>
      <c r="F72" s="429"/>
      <c r="G72" s="430"/>
      <c r="H72" s="246"/>
      <c r="I72" s="264">
        <f>SUM(I7:I70)</f>
        <v>68883.760000000009</v>
      </c>
      <c r="J72" s="111">
        <f>SUM(J5:J70)</f>
        <v>70751.520000000004</v>
      </c>
      <c r="K72" s="255"/>
      <c r="L72"/>
    </row>
    <row r="73" spans="1:15">
      <c r="A73" s="431"/>
      <c r="B73" s="453"/>
      <c r="C73" s="432"/>
      <c r="D73" s="141"/>
      <c r="E73" s="271" t="s">
        <v>258</v>
      </c>
      <c r="F73" s="7">
        <v>63</v>
      </c>
      <c r="G73" s="161"/>
      <c r="H73" s="161"/>
      <c r="I73" s="161"/>
      <c r="J73" s="52"/>
      <c r="K73" s="241"/>
      <c r="L73"/>
    </row>
    <row r="74" spans="1:15">
      <c r="A74" s="271"/>
      <c r="B74" s="272"/>
      <c r="C74" s="141"/>
      <c r="D74" s="141"/>
      <c r="E74" s="141" t="s">
        <v>930</v>
      </c>
      <c r="F74" s="7">
        <v>4</v>
      </c>
      <c r="G74" s="161"/>
      <c r="H74" s="161"/>
      <c r="I74" s="161"/>
      <c r="J74" s="52"/>
      <c r="K74" s="241"/>
      <c r="L74"/>
    </row>
    <row r="75" spans="1:15">
      <c r="A75" s="431"/>
      <c r="B75" s="453"/>
      <c r="C75" s="432"/>
      <c r="D75" s="141"/>
      <c r="E75" s="271" t="s">
        <v>931</v>
      </c>
      <c r="F75" s="58">
        <f>SUM(F7:F70)</f>
        <v>28</v>
      </c>
      <c r="G75" s="161"/>
      <c r="H75" s="196"/>
      <c r="I75" s="196"/>
      <c r="J75" s="52"/>
      <c r="K75" s="241"/>
      <c r="L75"/>
    </row>
    <row r="76" spans="1:15">
      <c r="A76" s="433"/>
      <c r="B76" s="454"/>
      <c r="C76" s="434"/>
      <c r="D76" s="92"/>
      <c r="E76" s="91" t="s">
        <v>246</v>
      </c>
      <c r="F76" s="86">
        <f>F73+F75+F74</f>
        <v>95</v>
      </c>
      <c r="G76" s="161"/>
      <c r="H76" s="187"/>
      <c r="I76" s="187"/>
      <c r="J76" s="52"/>
      <c r="K76" s="241"/>
      <c r="L76"/>
    </row>
    <row r="77" spans="1:15">
      <c r="A77" s="455" t="s">
        <v>830</v>
      </c>
      <c r="B77" s="456"/>
      <c r="C77" s="456"/>
      <c r="D77" s="456"/>
      <c r="E77" s="456"/>
      <c r="F77" s="456"/>
      <c r="G77" s="457"/>
      <c r="H77" s="247"/>
      <c r="I77" s="247"/>
      <c r="J77" s="184"/>
      <c r="K77" s="256"/>
      <c r="L77"/>
      <c r="M77" s="15"/>
    </row>
    <row r="78" spans="1:15" s="1" customFormat="1">
      <c r="A78" s="291"/>
      <c r="M78" s="116"/>
    </row>
    <row r="79" spans="1:15" s="287" customFormat="1">
      <c r="A79" s="196"/>
      <c r="B79" s="161">
        <v>2305</v>
      </c>
      <c r="C79" s="29" t="s">
        <v>959</v>
      </c>
      <c r="D79" s="29" t="s">
        <v>960</v>
      </c>
      <c r="E79" s="161" t="s">
        <v>852</v>
      </c>
      <c r="F79" s="7"/>
      <c r="G79" s="251">
        <v>1347.46</v>
      </c>
      <c r="H79" s="51">
        <v>0</v>
      </c>
      <c r="I79" s="251">
        <v>1347.46</v>
      </c>
      <c r="J79" s="285">
        <v>1347.46</v>
      </c>
      <c r="K79" s="161" t="s">
        <v>992</v>
      </c>
      <c r="M79" s="289"/>
    </row>
    <row r="80" spans="1:15" s="287" customFormat="1" ht="14" customHeight="1">
      <c r="A80" s="196"/>
      <c r="B80" s="29" t="s">
        <v>741</v>
      </c>
      <c r="C80" s="29" t="s">
        <v>742</v>
      </c>
      <c r="D80" s="29" t="s">
        <v>779</v>
      </c>
      <c r="E80" s="161" t="s">
        <v>851</v>
      </c>
      <c r="F80" s="7"/>
      <c r="G80" s="251">
        <v>1158.3</v>
      </c>
      <c r="H80" s="51"/>
      <c r="I80" s="51">
        <f>G80+H80</f>
        <v>1158.3</v>
      </c>
      <c r="J80" s="51">
        <v>-1158.3</v>
      </c>
      <c r="K80" s="161" t="s">
        <v>993</v>
      </c>
      <c r="M80" s="289"/>
    </row>
    <row r="81" spans="1:13" s="287" customFormat="1" ht="14" customHeight="1">
      <c r="A81" s="196"/>
      <c r="B81" t="s">
        <v>954</v>
      </c>
      <c r="C81" s="29" t="s">
        <v>946</v>
      </c>
      <c r="D81" s="29" t="s">
        <v>947</v>
      </c>
      <c r="E81" s="161" t="s">
        <v>852</v>
      </c>
      <c r="F81" s="7"/>
      <c r="G81" s="251">
        <v>508.4</v>
      </c>
      <c r="H81" s="51">
        <v>0</v>
      </c>
      <c r="I81" s="251">
        <v>508.4</v>
      </c>
      <c r="J81" s="285">
        <v>-508.4</v>
      </c>
      <c r="K81" s="161" t="s">
        <v>994</v>
      </c>
      <c r="M81" s="289"/>
    </row>
    <row r="82" spans="1:13" s="287" customFormat="1" ht="14" customHeight="1">
      <c r="A82" s="196"/>
      <c r="B82" s="161">
        <v>2307</v>
      </c>
      <c r="C82" s="29" t="s">
        <v>974</v>
      </c>
      <c r="D82" s="29" t="s">
        <v>975</v>
      </c>
      <c r="E82" s="161" t="s">
        <v>852</v>
      </c>
      <c r="F82" s="7"/>
      <c r="G82" s="251">
        <v>811.76</v>
      </c>
      <c r="H82" s="51"/>
      <c r="I82" s="51">
        <v>811.76</v>
      </c>
      <c r="J82" s="285">
        <v>811.76</v>
      </c>
      <c r="K82" s="241" t="s">
        <v>996</v>
      </c>
      <c r="M82" s="289"/>
    </row>
    <row r="83" spans="1:13" ht="14" customHeight="1">
      <c r="A83" s="196"/>
      <c r="B83" s="29" t="s">
        <v>736</v>
      </c>
      <c r="C83" s="29" t="s">
        <v>772</v>
      </c>
      <c r="D83" s="37" t="s">
        <v>820</v>
      </c>
      <c r="E83" s="161" t="s">
        <v>852</v>
      </c>
      <c r="F83" s="7"/>
      <c r="G83" s="251">
        <v>520.32000000000005</v>
      </c>
      <c r="H83" s="51">
        <v>0</v>
      </c>
      <c r="I83" s="51">
        <v>520.32000000000005</v>
      </c>
      <c r="J83" s="285">
        <f>-520.32</f>
        <v>-520.32000000000005</v>
      </c>
      <c r="K83" s="241" t="s">
        <v>994</v>
      </c>
      <c r="L83"/>
      <c r="M83" s="15"/>
    </row>
    <row r="84" spans="1:13" s="287" customFormat="1" ht="14" customHeight="1">
      <c r="A84" s="196"/>
      <c r="B84" s="29" t="s">
        <v>736</v>
      </c>
      <c r="C84" s="29" t="s">
        <v>772</v>
      </c>
      <c r="D84" s="37" t="s">
        <v>820</v>
      </c>
      <c r="E84" s="161" t="s">
        <v>852</v>
      </c>
      <c r="F84" s="7"/>
      <c r="G84" s="251">
        <v>520.32000000000005</v>
      </c>
      <c r="H84" s="51">
        <v>0</v>
      </c>
      <c r="I84" s="51">
        <v>520.32000000000005</v>
      </c>
      <c r="J84" s="285">
        <v>-520.32000000000005</v>
      </c>
      <c r="K84" s="161" t="s">
        <v>997</v>
      </c>
      <c r="M84" s="289"/>
    </row>
    <row r="85" spans="1:13" ht="14" customHeight="1">
      <c r="A85" s="196"/>
      <c r="B85" s="29" t="s">
        <v>703</v>
      </c>
      <c r="C85" s="29" t="s">
        <v>488</v>
      </c>
      <c r="D85" s="29" t="s">
        <v>517</v>
      </c>
      <c r="E85" s="161" t="s">
        <v>852</v>
      </c>
      <c r="F85" s="7"/>
      <c r="G85" s="251">
        <v>1489.48</v>
      </c>
      <c r="H85" s="51">
        <v>0</v>
      </c>
      <c r="I85" s="51">
        <v>1489.47</v>
      </c>
      <c r="J85" s="285">
        <v>-1489.47</v>
      </c>
      <c r="K85" s="241" t="s">
        <v>994</v>
      </c>
      <c r="L85"/>
      <c r="M85" s="15"/>
    </row>
    <row r="86" spans="1:13" s="287" customFormat="1" ht="14" customHeight="1">
      <c r="A86" s="196"/>
      <c r="B86" s="29" t="s">
        <v>703</v>
      </c>
      <c r="C86" s="29" t="s">
        <v>488</v>
      </c>
      <c r="D86" s="29" t="s">
        <v>517</v>
      </c>
      <c r="E86" s="161" t="s">
        <v>852</v>
      </c>
      <c r="F86" s="7"/>
      <c r="G86" s="251">
        <v>1489.48</v>
      </c>
      <c r="H86" s="51">
        <v>0</v>
      </c>
      <c r="I86" s="51">
        <v>1489.47</v>
      </c>
      <c r="J86" s="285">
        <v>-1489.47</v>
      </c>
      <c r="K86" s="161" t="s">
        <v>997</v>
      </c>
      <c r="M86" s="289"/>
    </row>
    <row r="87" spans="1:13" s="287" customFormat="1" ht="14" customHeight="1">
      <c r="A87" s="196"/>
      <c r="B87"/>
      <c r="C87" s="29"/>
      <c r="D87" s="161"/>
      <c r="E87" s="161"/>
      <c r="F87" s="58"/>
      <c r="G87" s="51"/>
      <c r="H87" s="51"/>
      <c r="I87" s="51"/>
      <c r="J87" s="51"/>
      <c r="K87" s="241"/>
      <c r="M87" s="289"/>
    </row>
    <row r="88" spans="1:13" ht="14" customHeight="1">
      <c r="A88" s="196"/>
      <c r="B88" s="196"/>
      <c r="C88" s="29"/>
      <c r="D88" s="29"/>
      <c r="E88" s="29"/>
      <c r="F88" s="7"/>
      <c r="G88" s="196"/>
      <c r="H88" s="196"/>
      <c r="I88" s="196"/>
      <c r="J88" s="52"/>
      <c r="K88" s="241"/>
      <c r="L88"/>
      <c r="M88" s="15"/>
    </row>
    <row r="89" spans="1:13" s="287" customFormat="1" ht="14" customHeight="1">
      <c r="A89" s="196"/>
      <c r="B89"/>
      <c r="C89" s="29"/>
      <c r="D89" s="161"/>
      <c r="E89" s="161"/>
      <c r="F89" s="58"/>
      <c r="G89" s="51"/>
      <c r="H89" s="51"/>
      <c r="I89" s="51"/>
      <c r="J89" s="51"/>
      <c r="K89" s="161"/>
      <c r="M89" s="289"/>
    </row>
    <row r="90" spans="1:13" ht="14" customHeight="1">
      <c r="A90" s="196"/>
      <c r="B90" s="196"/>
      <c r="C90" s="29"/>
      <c r="D90" s="29"/>
      <c r="E90" s="29"/>
      <c r="F90" s="7"/>
      <c r="G90" s="196"/>
      <c r="H90" s="196"/>
      <c r="I90" s="196"/>
      <c r="J90" s="52"/>
      <c r="K90" s="241"/>
      <c r="L90"/>
      <c r="M90" s="15"/>
    </row>
    <row r="91" spans="1:13" ht="12" customHeight="1">
      <c r="A91" s="428" t="s">
        <v>846</v>
      </c>
      <c r="B91" s="429"/>
      <c r="C91" s="429"/>
      <c r="D91" s="429"/>
      <c r="E91" s="429"/>
      <c r="F91" s="429"/>
      <c r="G91" s="430"/>
      <c r="H91" s="246"/>
      <c r="I91" s="246"/>
      <c r="J91" s="293">
        <f>SUM(J79:J90)</f>
        <v>-3527.0600000000004</v>
      </c>
      <c r="K91" s="258"/>
      <c r="L91"/>
    </row>
    <row r="92" spans="1:13" ht="12" customHeight="1">
      <c r="A92" s="172"/>
      <c r="B92" s="173"/>
      <c r="C92" s="173"/>
      <c r="D92" s="173"/>
      <c r="E92" s="173"/>
      <c r="F92" s="281"/>
      <c r="G92" s="167"/>
      <c r="H92" s="167"/>
      <c r="I92" s="167"/>
      <c r="J92" s="83"/>
      <c r="K92" s="259"/>
      <c r="L92"/>
    </row>
    <row r="93" spans="1:13" ht="16">
      <c r="A93" s="450" t="s">
        <v>881</v>
      </c>
      <c r="B93" s="451"/>
      <c r="C93" s="451"/>
      <c r="D93" s="451"/>
      <c r="E93" s="451"/>
      <c r="F93" s="451"/>
      <c r="G93" s="452"/>
      <c r="H93" s="267"/>
      <c r="I93" s="267"/>
      <c r="J93" s="268">
        <f>J72+J91</f>
        <v>67224.460000000006</v>
      </c>
      <c r="K93" s="260"/>
      <c r="L93"/>
    </row>
    <row r="94" spans="1:13" ht="18">
      <c r="G94" s="218" t="s">
        <v>250</v>
      </c>
      <c r="H94" s="238">
        <v>45135</v>
      </c>
      <c r="I94"/>
      <c r="J94"/>
      <c r="K94"/>
      <c r="L94"/>
    </row>
    <row r="95" spans="1:13" ht="18">
      <c r="G95" s="218" t="s">
        <v>251</v>
      </c>
      <c r="H95" s="239" t="s">
        <v>324</v>
      </c>
      <c r="I95"/>
      <c r="J95"/>
      <c r="K95"/>
      <c r="L95"/>
    </row>
    <row r="97" spans="1:15">
      <c r="H97" s="269">
        <f>H7+H18+H41+H70</f>
        <v>1899.08</v>
      </c>
      <c r="J97" s="270">
        <f>J93-H97</f>
        <v>65325.380000000005</v>
      </c>
    </row>
    <row r="98" spans="1:15">
      <c r="H98" s="269"/>
      <c r="J98" s="270"/>
    </row>
    <row r="99" spans="1:15">
      <c r="I99" s="269">
        <f>H97+J97</f>
        <v>67224.460000000006</v>
      </c>
    </row>
    <row r="100" spans="1:15" s="3" customFormat="1">
      <c r="A100"/>
      <c r="B100"/>
      <c r="C100"/>
      <c r="D100"/>
      <c r="E100"/>
      <c r="G100" s="216"/>
      <c r="H100" s="216"/>
      <c r="I100" s="216"/>
      <c r="K100" s="152"/>
      <c r="L100" s="216"/>
      <c r="M100"/>
      <c r="N100"/>
      <c r="O100"/>
    </row>
  </sheetData>
  <mergeCells count="7">
    <mergeCell ref="A93:G93"/>
    <mergeCell ref="A72:G72"/>
    <mergeCell ref="A73:C73"/>
    <mergeCell ref="A75:C75"/>
    <mergeCell ref="A76:C76"/>
    <mergeCell ref="A77:G77"/>
    <mergeCell ref="A91:G91"/>
  </mergeCells>
  <conditionalFormatting sqref="B8:B10 B4">
    <cfRule type="duplicateValues" dxfId="1383" priority="50"/>
  </conditionalFormatting>
  <conditionalFormatting sqref="B8:B11 B13:B29 B31:B70">
    <cfRule type="duplicateValues" dxfId="1382" priority="934"/>
  </conditionalFormatting>
  <conditionalFormatting sqref="B11 B13:B29 B31:B70">
    <cfRule type="duplicateValues" dxfId="1381" priority="938"/>
  </conditionalFormatting>
  <conditionalFormatting sqref="B30">
    <cfRule type="duplicateValues" dxfId="1380" priority="13"/>
    <cfRule type="duplicateValues" dxfId="1379" priority="14"/>
  </conditionalFormatting>
  <conditionalFormatting sqref="B82">
    <cfRule type="duplicateValues" dxfId="1378" priority="10"/>
    <cfRule type="duplicateValues" dxfId="1377" priority="11"/>
  </conditionalFormatting>
  <conditionalFormatting sqref="B83">
    <cfRule type="duplicateValues" dxfId="1376" priority="7"/>
    <cfRule type="duplicateValues" dxfId="1375" priority="8"/>
  </conditionalFormatting>
  <conditionalFormatting sqref="B84">
    <cfRule type="duplicateValues" dxfId="1374" priority="5"/>
    <cfRule type="duplicateValues" dxfId="1373" priority="6"/>
  </conditionalFormatting>
  <conditionalFormatting sqref="B85">
    <cfRule type="duplicateValues" dxfId="1372" priority="3"/>
    <cfRule type="duplicateValues" dxfId="1371" priority="4"/>
  </conditionalFormatting>
  <conditionalFormatting sqref="B86">
    <cfRule type="duplicateValues" dxfId="1370" priority="1"/>
    <cfRule type="duplicateValues" dxfId="1369" priority="2"/>
  </conditionalFormatting>
  <conditionalFormatting sqref="B87">
    <cfRule type="duplicateValues" dxfId="1368" priority="22"/>
    <cfRule type="duplicateValues" dxfId="1367" priority="23"/>
  </conditionalFormatting>
  <conditionalFormatting sqref="B89">
    <cfRule type="duplicateValues" dxfId="1366" priority="28"/>
    <cfRule type="duplicateValues" dxfId="1365" priority="29"/>
  </conditionalFormatting>
  <conditionalFormatting sqref="C98">
    <cfRule type="duplicateValues" dxfId="1364" priority="42"/>
    <cfRule type="duplicateValues" dxfId="1363" priority="43"/>
  </conditionalFormatting>
  <conditionalFormatting sqref="C100">
    <cfRule type="duplicateValues" dxfId="1362" priority="40"/>
    <cfRule type="duplicateValues" dxfId="1361" priority="41"/>
  </conditionalFormatting>
  <conditionalFormatting sqref="C102">
    <cfRule type="duplicateValues" dxfId="1360" priority="38"/>
    <cfRule type="duplicateValues" dxfId="1359" priority="39"/>
  </conditionalFormatting>
  <conditionalFormatting sqref="C88:F88">
    <cfRule type="duplicateValues" dxfId="1358" priority="24"/>
  </conditionalFormatting>
  <conditionalFormatting sqref="C90:F90">
    <cfRule type="duplicateValues" dxfId="1357" priority="49"/>
  </conditionalFormatting>
  <conditionalFormatting sqref="C91:F95 E71:F72 E77:F77 C72:D77 E1:F3 C1:D4">
    <cfRule type="duplicateValues" dxfId="1356" priority="46"/>
  </conditionalFormatting>
  <conditionalFormatting sqref="C91:F96 E1:F3 C1:D4 E71:F72 E77:F77 C72:D77 D98:F98 D100:F100 C99:F99 C103:F1048576 D102:F102 C101:F101">
    <cfRule type="duplicateValues" dxfId="1355" priority="45"/>
  </conditionalFormatting>
  <conditionalFormatting sqref="C96:F96 D98:F98 D100:F100 C99:F99 C103:F1048576 D102:F102 C101:F101">
    <cfRule type="duplicateValues" dxfId="1354" priority="48"/>
  </conditionalFormatting>
  <conditionalFormatting sqref="E74">
    <cfRule type="duplicateValues" dxfId="1353" priority="34"/>
    <cfRule type="duplicateValues" dxfId="1352" priority="35"/>
  </conditionalFormatting>
  <conditionalFormatting sqref="E71:F71">
    <cfRule type="duplicateValues" dxfId="1351" priority="47"/>
  </conditionalFormatting>
  <conditionalFormatting sqref="E4:G8">
    <cfRule type="containsText" dxfId="1350" priority="26" operator="containsText" text="Spouse">
      <formula>NOT(ISERROR(SEARCH("Spouse",E4)))</formula>
    </cfRule>
  </conditionalFormatting>
  <conditionalFormatting sqref="E10:G70">
    <cfRule type="containsText" dxfId="1349" priority="12" operator="containsText" text="Spouse">
      <formula>NOT(ISERROR(SEARCH("Spouse",E10)))</formula>
    </cfRule>
  </conditionalFormatting>
  <conditionalFormatting sqref="E79:G86">
    <cfRule type="containsText" dxfId="1348" priority="9" operator="containsText" text="Spouse">
      <formula>NOT(ISERROR(SEARCH("Spouse",E79)))</formula>
    </cfRule>
  </conditionalFormatting>
  <conditionalFormatting sqref="G1:H3 E9:F9 G71:I72 F73:F76 H73:I76 G77:I77 E87:F87 G88:I88 E89:F89 G90:I1048576">
    <cfRule type="containsText" dxfId="1347" priority="36" operator="containsText" text="Spouse">
      <formula>NOT(ISERROR(SEARCH("Spouse",E1)))</formula>
    </cfRule>
  </conditionalFormatting>
  <conditionalFormatting sqref="I81">
    <cfRule type="containsText" dxfId="1346" priority="15" operator="containsText" text="Spouse">
      <formula>NOT(ISERROR(SEARCH("Spouse",I81)))</formula>
    </cfRule>
  </conditionalFormatting>
  <conditionalFormatting sqref="K5:K7 K11:K15 K18:K21 K23:K37 K58:K67 K79:K82 K84 K86:K87 K89">
    <cfRule type="notContainsBlanks" dxfId="1345" priority="37">
      <formula>LEN(TRIM(K5))&gt;0</formula>
    </cfRule>
  </conditionalFormatting>
  <conditionalFormatting sqref="K39:K56 L71 K72:K77 K91:K93">
    <cfRule type="notContainsBlanks" dxfId="1344" priority="44">
      <formula>LEN(TRIM(K39))&gt;0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EF9F-0A52-4DCB-983F-C938A6A9D667}">
  <sheetPr>
    <tabColor theme="7" tint="0.59999389629810485"/>
    <pageSetUpPr fitToPage="1"/>
  </sheetPr>
  <dimension ref="A1:O93"/>
  <sheetViews>
    <sheetView zoomScale="120" zoomScaleNormal="120" zoomScalePageLayoutView="140" workbookViewId="0">
      <pane xSplit="4" ySplit="4" topLeftCell="E20" activePane="bottomRight" state="frozen"/>
      <selection activeCell="D65" sqref="D65"/>
      <selection pane="topRight" activeCell="D65" sqref="D65"/>
      <selection pane="bottomLeft" activeCell="D65" sqref="D65"/>
      <selection pane="bottomRight" activeCell="D23" sqref="D23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6" customWidth="1"/>
    <col min="4" max="4" width="23.83203125" bestFit="1" customWidth="1"/>
    <col min="5" max="5" width="23.83203125" customWidth="1"/>
    <col min="6" max="6" width="10.1640625" style="3" customWidth="1"/>
    <col min="7" max="7" width="13.6640625" style="216" customWidth="1"/>
    <col min="8" max="8" width="12.832031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45139</v>
      </c>
      <c r="K2" s="230"/>
    </row>
    <row r="3" spans="1:14" ht="14" customHeight="1">
      <c r="J3" s="201"/>
      <c r="K3" s="231" t="s">
        <v>832</v>
      </c>
    </row>
    <row r="4" spans="1:14" ht="28">
      <c r="A4" s="50" t="s">
        <v>226</v>
      </c>
      <c r="B4" s="219" t="s">
        <v>500</v>
      </c>
      <c r="C4" s="50" t="s">
        <v>498</v>
      </c>
      <c r="D4" s="50" t="s">
        <v>499</v>
      </c>
      <c r="E4" s="279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10"/>
      <c r="B5" t="s">
        <v>955</v>
      </c>
      <c r="C5" s="29" t="s">
        <v>943</v>
      </c>
      <c r="D5" s="29" t="s">
        <v>944</v>
      </c>
      <c r="E5" s="161" t="s">
        <v>852</v>
      </c>
      <c r="F5" s="7"/>
      <c r="G5" s="251">
        <v>520.32000000000005</v>
      </c>
      <c r="H5" s="51">
        <v>0</v>
      </c>
      <c r="I5" s="51">
        <v>520.32000000000005</v>
      </c>
      <c r="J5" s="285">
        <v>520.32000000000005</v>
      </c>
      <c r="K5" s="161"/>
      <c r="L5" s="254"/>
    </row>
    <row r="6" spans="1:14">
      <c r="A6" s="7">
        <v>1</v>
      </c>
      <c r="B6" s="29" t="s">
        <v>741</v>
      </c>
      <c r="C6" s="29" t="s">
        <v>742</v>
      </c>
      <c r="D6" s="29" t="s">
        <v>779</v>
      </c>
      <c r="E6" s="161" t="s">
        <v>851</v>
      </c>
      <c r="F6" s="7"/>
      <c r="G6" s="251">
        <v>1158.3</v>
      </c>
      <c r="H6" s="51">
        <v>1158.3</v>
      </c>
      <c r="I6" s="51">
        <f>G6+H6</f>
        <v>2316.6</v>
      </c>
      <c r="J6" s="285">
        <v>2316.6</v>
      </c>
      <c r="K6" s="161"/>
      <c r="L6"/>
    </row>
    <row r="7" spans="1:14">
      <c r="A7" s="7"/>
      <c r="B7" t="s">
        <v>954</v>
      </c>
      <c r="C7" s="29" t="s">
        <v>946</v>
      </c>
      <c r="D7" s="29" t="s">
        <v>947</v>
      </c>
      <c r="E7" s="161" t="s">
        <v>852</v>
      </c>
      <c r="F7" s="7"/>
      <c r="G7" s="251">
        <v>508.4</v>
      </c>
      <c r="H7" s="51">
        <v>0</v>
      </c>
      <c r="I7" s="251">
        <v>508.4</v>
      </c>
      <c r="J7" s="285">
        <v>508.4</v>
      </c>
      <c r="K7" s="161" t="s">
        <v>956</v>
      </c>
      <c r="L7"/>
    </row>
    <row r="8" spans="1:14">
      <c r="A8" s="7">
        <v>2</v>
      </c>
      <c r="B8" s="29" t="s">
        <v>658</v>
      </c>
      <c r="C8" s="29" t="s">
        <v>743</v>
      </c>
      <c r="D8" s="161" t="s">
        <v>780</v>
      </c>
      <c r="E8" s="161" t="s">
        <v>852</v>
      </c>
      <c r="F8" s="7"/>
      <c r="G8" s="251">
        <v>498.48</v>
      </c>
      <c r="H8" s="51">
        <v>0</v>
      </c>
      <c r="I8" s="51">
        <v>498.47</v>
      </c>
      <c r="J8" s="285">
        <v>498.47</v>
      </c>
      <c r="L8"/>
    </row>
    <row r="9" spans="1:14">
      <c r="A9" s="7"/>
      <c r="B9" t="s">
        <v>951</v>
      </c>
      <c r="C9" s="29" t="s">
        <v>950</v>
      </c>
      <c r="D9" s="161" t="s">
        <v>949</v>
      </c>
      <c r="E9" s="161" t="s">
        <v>852</v>
      </c>
      <c r="F9" s="7"/>
      <c r="G9" s="51">
        <v>1395.13</v>
      </c>
      <c r="H9" s="51">
        <v>0</v>
      </c>
      <c r="I9" s="51">
        <v>1395.13</v>
      </c>
      <c r="J9" s="121">
        <v>1395.13</v>
      </c>
      <c r="K9" s="295"/>
      <c r="L9"/>
    </row>
    <row r="10" spans="1:14">
      <c r="A10" s="7">
        <v>3</v>
      </c>
      <c r="B10" s="29" t="s">
        <v>659</v>
      </c>
      <c r="C10" s="29" t="s">
        <v>744</v>
      </c>
      <c r="D10" s="161" t="s">
        <v>781</v>
      </c>
      <c r="E10" s="161" t="s">
        <v>853</v>
      </c>
      <c r="F10" s="7">
        <v>2</v>
      </c>
      <c r="G10" s="251">
        <v>1637.1</v>
      </c>
      <c r="H10" s="51">
        <v>0</v>
      </c>
      <c r="I10" s="51">
        <v>1637.09</v>
      </c>
      <c r="J10" s="121">
        <v>1637.09</v>
      </c>
      <c r="K10" s="161"/>
      <c r="L10"/>
    </row>
    <row r="11" spans="1:14">
      <c r="A11" s="7">
        <v>4</v>
      </c>
      <c r="B11" s="29" t="s">
        <v>660</v>
      </c>
      <c r="C11" s="29" t="s">
        <v>462</v>
      </c>
      <c r="D11" s="29" t="s">
        <v>425</v>
      </c>
      <c r="E11" s="161" t="s">
        <v>853</v>
      </c>
      <c r="F11" s="7">
        <v>2</v>
      </c>
      <c r="G11" s="251">
        <v>1607.22</v>
      </c>
      <c r="H11" s="51">
        <v>0</v>
      </c>
      <c r="I11" s="51">
        <v>1607.22</v>
      </c>
      <c r="J11" s="285">
        <v>1607.22</v>
      </c>
      <c r="K11" s="161"/>
      <c r="L11"/>
    </row>
    <row r="12" spans="1:14">
      <c r="A12" s="7">
        <v>5</v>
      </c>
      <c r="B12" s="29" t="s">
        <v>833</v>
      </c>
      <c r="C12" s="29" t="s">
        <v>834</v>
      </c>
      <c r="D12" s="29" t="s">
        <v>835</v>
      </c>
      <c r="E12" s="161" t="s">
        <v>852</v>
      </c>
      <c r="F12" s="7"/>
      <c r="G12" s="251">
        <v>614.66</v>
      </c>
      <c r="H12" s="51">
        <v>0</v>
      </c>
      <c r="I12" s="51">
        <v>614.65</v>
      </c>
      <c r="J12" s="285">
        <v>614.65</v>
      </c>
      <c r="K12" s="161"/>
      <c r="L12"/>
    </row>
    <row r="13" spans="1:14">
      <c r="A13" s="7">
        <v>6</v>
      </c>
      <c r="B13" s="29" t="s">
        <v>661</v>
      </c>
      <c r="C13" s="29" t="s">
        <v>460</v>
      </c>
      <c r="D13" s="29" t="s">
        <v>426</v>
      </c>
      <c r="E13" s="161" t="s">
        <v>852</v>
      </c>
      <c r="F13" s="7"/>
      <c r="G13" s="251">
        <v>1292.3599999999999</v>
      </c>
      <c r="H13" s="51">
        <v>0</v>
      </c>
      <c r="I13" s="51">
        <v>1292.3499999999999</v>
      </c>
      <c r="J13" s="285">
        <v>1292.3499999999999</v>
      </c>
      <c r="K13" s="161"/>
      <c r="L13"/>
    </row>
    <row r="14" spans="1:14">
      <c r="A14" s="7">
        <v>7</v>
      </c>
      <c r="B14" s="29" t="s">
        <v>837</v>
      </c>
      <c r="C14" s="29" t="s">
        <v>745</v>
      </c>
      <c r="D14" s="61" t="s">
        <v>838</v>
      </c>
      <c r="E14" s="161" t="s">
        <v>852</v>
      </c>
      <c r="F14" s="7"/>
      <c r="G14" s="251">
        <v>776.02</v>
      </c>
      <c r="H14" s="51">
        <v>0</v>
      </c>
      <c r="I14" s="51">
        <v>776.01</v>
      </c>
      <c r="J14" s="285">
        <v>776.01</v>
      </c>
      <c r="K14" s="161"/>
      <c r="L14"/>
    </row>
    <row r="15" spans="1:14" s="1" customFormat="1">
      <c r="A15" s="7">
        <v>8</v>
      </c>
      <c r="B15" s="29" t="s">
        <v>663</v>
      </c>
      <c r="C15" s="29" t="s">
        <v>745</v>
      </c>
      <c r="D15" s="37" t="s">
        <v>784</v>
      </c>
      <c r="E15" s="161" t="s">
        <v>852</v>
      </c>
      <c r="F15" s="7"/>
      <c r="G15" s="251">
        <v>587.34</v>
      </c>
      <c r="H15" s="51">
        <v>0</v>
      </c>
      <c r="I15" s="51">
        <v>587.34</v>
      </c>
      <c r="J15" s="285">
        <v>587.34</v>
      </c>
      <c r="K15" s="161"/>
      <c r="L15"/>
      <c r="M15"/>
      <c r="N15"/>
    </row>
    <row r="16" spans="1:14" s="1" customFormat="1">
      <c r="A16" s="7">
        <v>9</v>
      </c>
      <c r="B16" s="29" t="s">
        <v>662</v>
      </c>
      <c r="C16" s="29" t="s">
        <v>745</v>
      </c>
      <c r="D16" s="61" t="s">
        <v>783</v>
      </c>
      <c r="E16" s="161" t="s">
        <v>852</v>
      </c>
      <c r="F16" s="7"/>
      <c r="G16" s="251">
        <v>618.62</v>
      </c>
      <c r="H16" s="51">
        <v>0</v>
      </c>
      <c r="I16" s="51">
        <v>618.62</v>
      </c>
      <c r="J16" s="285">
        <v>618.62</v>
      </c>
      <c r="L16"/>
      <c r="M16"/>
      <c r="N16"/>
    </row>
    <row r="17" spans="1:14" s="1" customFormat="1">
      <c r="A17" s="7"/>
      <c r="B17" t="s">
        <v>953</v>
      </c>
      <c r="C17" s="29" t="s">
        <v>806</v>
      </c>
      <c r="D17" s="61" t="s">
        <v>952</v>
      </c>
      <c r="E17" s="161" t="s">
        <v>852</v>
      </c>
      <c r="F17" s="7"/>
      <c r="G17" s="251">
        <v>606.71</v>
      </c>
      <c r="H17" s="51">
        <v>0</v>
      </c>
      <c r="I17" s="51">
        <v>606.71</v>
      </c>
      <c r="J17" s="285">
        <v>606.71</v>
      </c>
      <c r="L17"/>
      <c r="M17"/>
      <c r="N17"/>
    </row>
    <row r="18" spans="1:14">
      <c r="A18" s="7">
        <v>10</v>
      </c>
      <c r="B18" s="29" t="s">
        <v>839</v>
      </c>
      <c r="C18" s="29" t="s">
        <v>840</v>
      </c>
      <c r="D18" s="29" t="s">
        <v>841</v>
      </c>
      <c r="E18" s="161" t="s">
        <v>855</v>
      </c>
      <c r="F18" s="7">
        <v>1</v>
      </c>
      <c r="G18" s="251">
        <v>1012.42</v>
      </c>
      <c r="H18" s="51">
        <v>626.58000000000004</v>
      </c>
      <c r="I18" s="51">
        <f>G18+H18</f>
        <v>1639</v>
      </c>
      <c r="J18" s="285">
        <v>1638.99</v>
      </c>
      <c r="K18" s="161"/>
      <c r="L18"/>
    </row>
    <row r="19" spans="1:14">
      <c r="A19" s="7">
        <v>11</v>
      </c>
      <c r="B19" s="29" t="s">
        <v>664</v>
      </c>
      <c r="C19" s="29" t="s">
        <v>746</v>
      </c>
      <c r="D19" s="29" t="s">
        <v>785</v>
      </c>
      <c r="E19" s="161" t="s">
        <v>854</v>
      </c>
      <c r="F19" s="7">
        <v>1</v>
      </c>
      <c r="G19" s="251">
        <v>1843.96</v>
      </c>
      <c r="H19" s="51">
        <v>0</v>
      </c>
      <c r="I19" s="51">
        <v>1843.95</v>
      </c>
      <c r="J19" s="285">
        <v>1843.95</v>
      </c>
      <c r="K19" s="161"/>
      <c r="L19"/>
    </row>
    <row r="20" spans="1:14">
      <c r="A20" s="7">
        <v>12</v>
      </c>
      <c r="B20" s="29" t="s">
        <v>665</v>
      </c>
      <c r="C20" s="29" t="s">
        <v>746</v>
      </c>
      <c r="D20" s="29" t="s">
        <v>786</v>
      </c>
      <c r="E20" s="161" t="s">
        <v>852</v>
      </c>
      <c r="F20" s="7"/>
      <c r="G20" s="251">
        <v>626.58000000000004</v>
      </c>
      <c r="H20" s="51">
        <v>0</v>
      </c>
      <c r="I20" s="51">
        <v>626.57000000000005</v>
      </c>
      <c r="J20" s="285">
        <v>626.57000000000005</v>
      </c>
      <c r="K20" s="161"/>
      <c r="L20"/>
    </row>
    <row r="21" spans="1:14">
      <c r="A21" s="7">
        <v>13</v>
      </c>
      <c r="B21" s="29" t="s">
        <v>666</v>
      </c>
      <c r="C21" s="29" t="s">
        <v>747</v>
      </c>
      <c r="D21" s="37" t="s">
        <v>787</v>
      </c>
      <c r="E21" s="161" t="s">
        <v>854</v>
      </c>
      <c r="F21" s="7">
        <v>1</v>
      </c>
      <c r="G21" s="251">
        <v>996.54</v>
      </c>
      <c r="H21" s="51">
        <v>0</v>
      </c>
      <c r="I21" s="51">
        <v>996.53</v>
      </c>
      <c r="J21" s="285">
        <v>996.53</v>
      </c>
      <c r="K21" s="161"/>
      <c r="L21"/>
    </row>
    <row r="22" spans="1:14">
      <c r="A22" s="7">
        <v>14</v>
      </c>
      <c r="B22" s="220" t="s">
        <v>934</v>
      </c>
      <c r="C22" s="29" t="s">
        <v>932</v>
      </c>
      <c r="D22" s="37" t="s">
        <v>933</v>
      </c>
      <c r="E22" s="161" t="s">
        <v>852</v>
      </c>
      <c r="F22" s="7"/>
      <c r="G22" s="251">
        <v>539.67999999999995</v>
      </c>
      <c r="H22" s="51">
        <v>0</v>
      </c>
      <c r="I22" s="51">
        <v>539.67999999999995</v>
      </c>
      <c r="J22" s="285">
        <v>539.67999999999995</v>
      </c>
      <c r="L22"/>
    </row>
    <row r="23" spans="1:14" s="1" customFormat="1">
      <c r="A23" s="7">
        <v>15</v>
      </c>
      <c r="B23" s="29" t="s">
        <v>667</v>
      </c>
      <c r="C23" s="29" t="s">
        <v>466</v>
      </c>
      <c r="D23" s="29" t="s">
        <v>431</v>
      </c>
      <c r="E23" s="161" t="s">
        <v>853</v>
      </c>
      <c r="F23" s="7">
        <v>2</v>
      </c>
      <c r="G23" s="251">
        <v>1881.68</v>
      </c>
      <c r="H23" s="51">
        <v>0</v>
      </c>
      <c r="I23" s="51">
        <v>1881.68</v>
      </c>
      <c r="J23" s="285">
        <v>1881.68</v>
      </c>
      <c r="K23" s="161"/>
      <c r="L23"/>
      <c r="M23"/>
      <c r="N23"/>
    </row>
    <row r="24" spans="1:14">
      <c r="A24" s="7">
        <v>16</v>
      </c>
      <c r="B24" s="29" t="s">
        <v>668</v>
      </c>
      <c r="C24" s="29" t="s">
        <v>748</v>
      </c>
      <c r="D24" s="37" t="s">
        <v>788</v>
      </c>
      <c r="E24" s="161" t="s">
        <v>852</v>
      </c>
      <c r="F24" s="7"/>
      <c r="G24" s="251">
        <v>1107.1600000000001</v>
      </c>
      <c r="H24" s="51">
        <v>0</v>
      </c>
      <c r="I24" s="51">
        <v>1107.1600000000001</v>
      </c>
      <c r="J24" s="285">
        <v>1107.1600000000001</v>
      </c>
      <c r="K24" s="161"/>
      <c r="L24"/>
    </row>
    <row r="25" spans="1:14">
      <c r="A25" s="7">
        <v>17</v>
      </c>
      <c r="B25" s="29" t="s">
        <v>669</v>
      </c>
      <c r="C25" s="29" t="s">
        <v>749</v>
      </c>
      <c r="D25" s="37" t="s">
        <v>789</v>
      </c>
      <c r="E25" s="161" t="s">
        <v>852</v>
      </c>
      <c r="F25" s="7"/>
      <c r="G25" s="251">
        <v>539.67999999999995</v>
      </c>
      <c r="H25" s="51">
        <v>0</v>
      </c>
      <c r="I25" s="51">
        <v>539.67999999999995</v>
      </c>
      <c r="J25" s="285">
        <v>539.67999999999995</v>
      </c>
      <c r="K25" s="161"/>
      <c r="L25"/>
    </row>
    <row r="26" spans="1:14">
      <c r="A26" s="7">
        <v>18</v>
      </c>
      <c r="B26" s="29" t="s">
        <v>729</v>
      </c>
      <c r="C26" s="29" t="s">
        <v>750</v>
      </c>
      <c r="D26" s="37" t="s">
        <v>790</v>
      </c>
      <c r="E26" s="161" t="s">
        <v>852</v>
      </c>
      <c r="F26" s="7"/>
      <c r="G26" s="251">
        <v>618.62</v>
      </c>
      <c r="H26" s="51">
        <v>0</v>
      </c>
      <c r="I26" s="51">
        <v>618.62</v>
      </c>
      <c r="J26" s="285">
        <v>618.62</v>
      </c>
      <c r="K26" s="161"/>
      <c r="L26"/>
    </row>
    <row r="27" spans="1:14">
      <c r="A27" s="7">
        <v>19</v>
      </c>
      <c r="B27" s="29" t="s">
        <v>671</v>
      </c>
      <c r="C27" s="29" t="s">
        <v>751</v>
      </c>
      <c r="D27" s="29" t="s">
        <v>791</v>
      </c>
      <c r="E27" s="161" t="s">
        <v>852</v>
      </c>
      <c r="F27" s="7"/>
      <c r="G27" s="251">
        <v>1489.48</v>
      </c>
      <c r="H27" s="51">
        <v>0</v>
      </c>
      <c r="I27" s="51">
        <v>1489.47</v>
      </c>
      <c r="J27" s="285">
        <v>1489.47</v>
      </c>
      <c r="K27" s="161"/>
      <c r="L27"/>
    </row>
    <row r="28" spans="1:14">
      <c r="A28" s="7">
        <v>20</v>
      </c>
      <c r="B28" s="29" t="s">
        <v>672</v>
      </c>
      <c r="C28" s="29" t="s">
        <v>752</v>
      </c>
      <c r="D28" s="29" t="s">
        <v>792</v>
      </c>
      <c r="E28" s="161" t="s">
        <v>853</v>
      </c>
      <c r="F28" s="7">
        <v>2</v>
      </c>
      <c r="G28" s="251">
        <v>1414.18</v>
      </c>
      <c r="H28" s="51">
        <v>0</v>
      </c>
      <c r="I28" s="51">
        <v>1414.17</v>
      </c>
      <c r="J28" s="285">
        <v>1414.17</v>
      </c>
      <c r="K28" s="161"/>
      <c r="L28"/>
    </row>
    <row r="29" spans="1:14">
      <c r="A29" s="7">
        <v>21</v>
      </c>
      <c r="B29" s="29" t="s">
        <v>674</v>
      </c>
      <c r="C29" s="29" t="s">
        <v>753</v>
      </c>
      <c r="D29" s="29" t="s">
        <v>794</v>
      </c>
      <c r="E29" s="161" t="s">
        <v>852</v>
      </c>
      <c r="F29" s="7"/>
      <c r="G29" s="251">
        <v>602.74</v>
      </c>
      <c r="H29" s="51">
        <v>0</v>
      </c>
      <c r="I29" s="51">
        <v>602.73</v>
      </c>
      <c r="J29" s="285">
        <v>602.73</v>
      </c>
      <c r="K29" s="161"/>
      <c r="L29"/>
    </row>
    <row r="30" spans="1:14">
      <c r="A30" s="7">
        <v>22</v>
      </c>
      <c r="B30" s="29" t="s">
        <v>715</v>
      </c>
      <c r="C30" s="29" t="s">
        <v>754</v>
      </c>
      <c r="D30" s="61" t="s">
        <v>795</v>
      </c>
      <c r="E30" s="161" t="s">
        <v>852</v>
      </c>
      <c r="F30" s="7"/>
      <c r="G30" s="251">
        <v>1209.94</v>
      </c>
      <c r="H30" s="51">
        <v>0</v>
      </c>
      <c r="I30" s="51">
        <v>1209.94</v>
      </c>
      <c r="J30" s="285">
        <v>1209.94</v>
      </c>
      <c r="K30" s="161"/>
      <c r="L30"/>
    </row>
    <row r="31" spans="1:14">
      <c r="A31" s="7">
        <v>23</v>
      </c>
      <c r="B31" s="29" t="s">
        <v>716</v>
      </c>
      <c r="C31" s="29" t="s">
        <v>439</v>
      </c>
      <c r="D31" s="29" t="s">
        <v>505</v>
      </c>
      <c r="E31" s="161" t="s">
        <v>852</v>
      </c>
      <c r="F31" s="7"/>
      <c r="G31" s="251">
        <v>1489.48</v>
      </c>
      <c r="H31" s="51">
        <v>0</v>
      </c>
      <c r="I31" s="51">
        <v>1489.47</v>
      </c>
      <c r="J31" s="285">
        <v>1489.47</v>
      </c>
      <c r="K31" s="161"/>
      <c r="L31"/>
    </row>
    <row r="32" spans="1:14">
      <c r="A32" s="7">
        <v>24</v>
      </c>
      <c r="B32" s="220" t="s">
        <v>675</v>
      </c>
      <c r="C32" s="29" t="s">
        <v>755</v>
      </c>
      <c r="D32" s="29" t="s">
        <v>796</v>
      </c>
      <c r="E32" s="161" t="s">
        <v>852</v>
      </c>
      <c r="F32" s="7"/>
      <c r="G32" s="251">
        <v>646.42999999999995</v>
      </c>
      <c r="H32" s="51">
        <v>0</v>
      </c>
      <c r="I32" s="51">
        <f>SUM(G32:H32)</f>
        <v>646.42999999999995</v>
      </c>
      <c r="J32" s="285">
        <v>646.42999999999995</v>
      </c>
      <c r="K32" s="161"/>
      <c r="L32"/>
    </row>
    <row r="33" spans="1:12" s="12" customFormat="1" ht="14" customHeight="1">
      <c r="A33" s="7">
        <v>25</v>
      </c>
      <c r="B33" s="29" t="s">
        <v>677</v>
      </c>
      <c r="C33" s="29" t="s">
        <v>755</v>
      </c>
      <c r="D33" s="37" t="s">
        <v>798</v>
      </c>
      <c r="E33" s="161" t="s">
        <v>853</v>
      </c>
      <c r="F33" s="7">
        <v>2</v>
      </c>
      <c r="G33" s="251">
        <v>1741.86</v>
      </c>
      <c r="H33" s="51">
        <v>0</v>
      </c>
      <c r="I33" s="51">
        <v>1741.85</v>
      </c>
      <c r="J33" s="285">
        <v>1741.85</v>
      </c>
      <c r="K33" s="161"/>
      <c r="L33"/>
    </row>
    <row r="34" spans="1:12">
      <c r="A34" s="7">
        <v>26</v>
      </c>
      <c r="B34" s="29" t="s">
        <v>676</v>
      </c>
      <c r="C34" s="29" t="s">
        <v>755</v>
      </c>
      <c r="D34" s="29" t="s">
        <v>797</v>
      </c>
      <c r="E34" s="161" t="s">
        <v>852</v>
      </c>
      <c r="F34" s="7"/>
      <c r="G34" s="251">
        <v>1012.84</v>
      </c>
      <c r="H34" s="51">
        <v>0</v>
      </c>
      <c r="I34" s="51">
        <v>1012.83</v>
      </c>
      <c r="J34" s="285">
        <v>1012.83</v>
      </c>
      <c r="K34" s="161"/>
      <c r="L34"/>
    </row>
    <row r="35" spans="1:12">
      <c r="A35" s="7">
        <v>27</v>
      </c>
      <c r="B35" s="29" t="s">
        <v>678</v>
      </c>
      <c r="C35" s="29" t="s">
        <v>756</v>
      </c>
      <c r="D35" s="37" t="s">
        <v>799</v>
      </c>
      <c r="E35" s="161" t="s">
        <v>852</v>
      </c>
      <c r="F35" s="7"/>
      <c r="G35" s="251">
        <v>1489.48</v>
      </c>
      <c r="H35" s="51">
        <v>0</v>
      </c>
      <c r="I35" s="51">
        <v>1489.47</v>
      </c>
      <c r="J35" s="285">
        <v>1489.47</v>
      </c>
      <c r="K35" s="161"/>
      <c r="L35"/>
    </row>
    <row r="36" spans="1:12">
      <c r="A36" s="7">
        <v>28</v>
      </c>
      <c r="B36" s="29" t="s">
        <v>679</v>
      </c>
      <c r="C36" s="29" t="s">
        <v>756</v>
      </c>
      <c r="D36" s="37" t="s">
        <v>800</v>
      </c>
      <c r="E36" s="161" t="s">
        <v>852</v>
      </c>
      <c r="F36" s="7"/>
      <c r="G36" s="251">
        <v>1426.42</v>
      </c>
      <c r="H36" s="51">
        <v>0</v>
      </c>
      <c r="I36" s="51">
        <v>1426.41</v>
      </c>
      <c r="J36" s="285">
        <v>1426.41</v>
      </c>
      <c r="K36" s="161"/>
      <c r="L36"/>
    </row>
    <row r="37" spans="1:12">
      <c r="A37" s="7">
        <v>29</v>
      </c>
      <c r="B37" s="29" t="s">
        <v>680</v>
      </c>
      <c r="C37" s="29" t="s">
        <v>444</v>
      </c>
      <c r="D37" s="29" t="s">
        <v>506</v>
      </c>
      <c r="E37" s="161" t="s">
        <v>852</v>
      </c>
      <c r="F37" s="7"/>
      <c r="G37" s="251">
        <v>847.02</v>
      </c>
      <c r="H37" s="51">
        <v>0</v>
      </c>
      <c r="I37" s="51">
        <v>847.01</v>
      </c>
      <c r="J37" s="285">
        <v>847.01</v>
      </c>
      <c r="K37" s="161"/>
      <c r="L37"/>
    </row>
    <row r="38" spans="1:12">
      <c r="A38" s="7">
        <v>30</v>
      </c>
      <c r="B38" s="29" t="s">
        <v>682</v>
      </c>
      <c r="C38" s="29" t="s">
        <v>757</v>
      </c>
      <c r="D38" s="29" t="s">
        <v>802</v>
      </c>
      <c r="E38" s="161" t="s">
        <v>854</v>
      </c>
      <c r="F38" s="7">
        <v>1</v>
      </c>
      <c r="G38" s="251">
        <v>1000.52</v>
      </c>
      <c r="H38" s="51">
        <v>0</v>
      </c>
      <c r="I38" s="51">
        <v>1000.51</v>
      </c>
      <c r="J38" s="285">
        <v>1000.51</v>
      </c>
      <c r="K38" s="161"/>
      <c r="L38"/>
    </row>
    <row r="39" spans="1:12">
      <c r="A39" s="7">
        <v>31</v>
      </c>
      <c r="B39" s="29" t="s">
        <v>683</v>
      </c>
      <c r="C39" s="29" t="s">
        <v>757</v>
      </c>
      <c r="D39" s="29" t="s">
        <v>803</v>
      </c>
      <c r="E39" s="161" t="s">
        <v>852</v>
      </c>
      <c r="F39" s="7"/>
      <c r="G39" s="251">
        <v>594.79999999999995</v>
      </c>
      <c r="H39" s="51">
        <v>0</v>
      </c>
      <c r="I39" s="51">
        <v>594.79</v>
      </c>
      <c r="J39" s="285">
        <v>594.79</v>
      </c>
      <c r="K39" s="161"/>
      <c r="L39"/>
    </row>
    <row r="40" spans="1:12">
      <c r="A40" s="7">
        <v>32</v>
      </c>
      <c r="B40" s="29" t="s">
        <v>681</v>
      </c>
      <c r="C40" s="29" t="s">
        <v>757</v>
      </c>
      <c r="D40" s="29" t="s">
        <v>801</v>
      </c>
      <c r="E40" s="161" t="s">
        <v>856</v>
      </c>
      <c r="F40" s="7">
        <v>2</v>
      </c>
      <c r="G40" s="251">
        <v>1390.32</v>
      </c>
      <c r="H40" s="51">
        <v>614.66</v>
      </c>
      <c r="I40" s="51">
        <f>G40+H40</f>
        <v>2004.98</v>
      </c>
      <c r="J40" s="285">
        <v>2004.98</v>
      </c>
      <c r="K40" s="161"/>
      <c r="L40"/>
    </row>
    <row r="41" spans="1:12">
      <c r="A41" s="7">
        <v>33</v>
      </c>
      <c r="B41" s="29" t="s">
        <v>684</v>
      </c>
      <c r="C41" s="29" t="s">
        <v>476</v>
      </c>
      <c r="D41" s="37" t="s">
        <v>804</v>
      </c>
      <c r="E41" s="161" t="s">
        <v>852</v>
      </c>
      <c r="F41" s="7"/>
      <c r="G41" s="251">
        <v>610.67999999999995</v>
      </c>
      <c r="H41" s="51">
        <v>0</v>
      </c>
      <c r="I41" s="51">
        <v>610.67999999999995</v>
      </c>
      <c r="J41" s="285">
        <v>610.67999999999995</v>
      </c>
      <c r="K41" s="161"/>
      <c r="L41"/>
    </row>
    <row r="42" spans="1:12">
      <c r="A42" s="7">
        <v>34</v>
      </c>
      <c r="B42" s="29" t="s">
        <v>686</v>
      </c>
      <c r="C42" s="29" t="s">
        <v>758</v>
      </c>
      <c r="D42" s="29" t="s">
        <v>805</v>
      </c>
      <c r="E42" s="161" t="s">
        <v>852</v>
      </c>
      <c r="F42" s="7"/>
      <c r="G42" s="251">
        <v>539.67999999999995</v>
      </c>
      <c r="H42" s="51">
        <v>0</v>
      </c>
      <c r="I42" s="51">
        <v>539.67999999999995</v>
      </c>
      <c r="J42" s="285">
        <v>539.67999999999995</v>
      </c>
      <c r="K42" s="161"/>
      <c r="L42"/>
    </row>
    <row r="43" spans="1:12">
      <c r="A43" s="7">
        <v>35</v>
      </c>
      <c r="B43" s="29" t="s">
        <v>687</v>
      </c>
      <c r="C43" s="29" t="s">
        <v>478</v>
      </c>
      <c r="D43" s="29" t="s">
        <v>448</v>
      </c>
      <c r="E43" s="161" t="s">
        <v>852</v>
      </c>
      <c r="F43" s="7"/>
      <c r="G43" s="251">
        <v>1489.48</v>
      </c>
      <c r="H43" s="51">
        <v>0</v>
      </c>
      <c r="I43" s="51">
        <v>1489.47</v>
      </c>
      <c r="J43" s="285">
        <v>1489.47</v>
      </c>
      <c r="K43" s="161"/>
      <c r="L43"/>
    </row>
    <row r="44" spans="1:12">
      <c r="A44" s="7">
        <v>36</v>
      </c>
      <c r="B44" s="29" t="s">
        <v>688</v>
      </c>
      <c r="C44" s="29" t="s">
        <v>759</v>
      </c>
      <c r="D44" s="37" t="s">
        <v>806</v>
      </c>
      <c r="E44" s="161" t="s">
        <v>852</v>
      </c>
      <c r="F44" s="7"/>
      <c r="G44" s="251">
        <v>602.74</v>
      </c>
      <c r="H44" s="51">
        <v>0</v>
      </c>
      <c r="I44" s="51">
        <v>602.73</v>
      </c>
      <c r="J44" s="285">
        <v>602.73</v>
      </c>
      <c r="K44" s="161"/>
      <c r="L44"/>
    </row>
    <row r="45" spans="1:12">
      <c r="A45" s="7">
        <v>37</v>
      </c>
      <c r="B45" s="29" t="s">
        <v>689</v>
      </c>
      <c r="C45" s="29" t="s">
        <v>760</v>
      </c>
      <c r="D45" s="29" t="s">
        <v>807</v>
      </c>
      <c r="E45" s="161" t="s">
        <v>852</v>
      </c>
      <c r="F45" s="7"/>
      <c r="G45" s="251">
        <v>508.4</v>
      </c>
      <c r="H45" s="51">
        <v>0</v>
      </c>
      <c r="I45" s="51">
        <v>508.4</v>
      </c>
      <c r="J45" s="285">
        <v>508.4</v>
      </c>
      <c r="K45" s="161"/>
      <c r="L45"/>
    </row>
    <row r="46" spans="1:12">
      <c r="A46" s="7">
        <v>38</v>
      </c>
      <c r="B46" s="29" t="s">
        <v>690</v>
      </c>
      <c r="C46" s="29" t="s">
        <v>761</v>
      </c>
      <c r="D46" s="29" t="s">
        <v>808</v>
      </c>
      <c r="E46" s="161" t="s">
        <v>852</v>
      </c>
      <c r="F46" s="7"/>
      <c r="G46" s="251">
        <v>539.67999999999995</v>
      </c>
      <c r="H46" s="51">
        <v>0</v>
      </c>
      <c r="I46" s="51">
        <v>539.67999999999995</v>
      </c>
      <c r="J46" s="285">
        <v>539.67999999999995</v>
      </c>
      <c r="K46" s="161"/>
      <c r="L46"/>
    </row>
    <row r="47" spans="1:12">
      <c r="A47" s="7">
        <v>39</v>
      </c>
      <c r="B47" s="29" t="s">
        <v>691</v>
      </c>
      <c r="C47" s="29" t="s">
        <v>480</v>
      </c>
      <c r="D47" s="37" t="s">
        <v>809</v>
      </c>
      <c r="E47" s="161" t="s">
        <v>853</v>
      </c>
      <c r="F47" s="7">
        <v>2</v>
      </c>
      <c r="G47" s="251">
        <v>2023.68</v>
      </c>
      <c r="H47" s="51">
        <v>0</v>
      </c>
      <c r="I47" s="51">
        <v>2023.68</v>
      </c>
      <c r="J47" s="285">
        <v>2023.68</v>
      </c>
      <c r="K47" s="161"/>
      <c r="L47"/>
    </row>
    <row r="48" spans="1:12">
      <c r="A48" s="7">
        <v>40</v>
      </c>
      <c r="B48" s="29" t="s">
        <v>692</v>
      </c>
      <c r="C48" s="29" t="s">
        <v>762</v>
      </c>
      <c r="D48" s="29" t="s">
        <v>810</v>
      </c>
      <c r="E48" s="161" t="s">
        <v>854</v>
      </c>
      <c r="F48" s="7">
        <v>1</v>
      </c>
      <c r="G48" s="251">
        <v>1008.46</v>
      </c>
      <c r="H48" s="51">
        <v>0</v>
      </c>
      <c r="I48" s="51">
        <v>1008.45</v>
      </c>
      <c r="J48" s="285">
        <v>1008.45</v>
      </c>
      <c r="K48" s="161"/>
      <c r="L48"/>
    </row>
    <row r="49" spans="1:12">
      <c r="A49" s="7">
        <v>41</v>
      </c>
      <c r="B49" s="29" t="s">
        <v>693</v>
      </c>
      <c r="C49" s="29" t="s">
        <v>763</v>
      </c>
      <c r="D49" s="29" t="s">
        <v>811</v>
      </c>
      <c r="E49" s="161" t="s">
        <v>852</v>
      </c>
      <c r="F49" s="7"/>
      <c r="G49" s="251">
        <v>606.72</v>
      </c>
      <c r="H49" s="51">
        <v>0</v>
      </c>
      <c r="I49" s="51">
        <v>606.71</v>
      </c>
      <c r="J49" s="285">
        <v>606.71</v>
      </c>
      <c r="K49" s="161"/>
      <c r="L49"/>
    </row>
    <row r="50" spans="1:12">
      <c r="A50" s="7">
        <v>42</v>
      </c>
      <c r="B50" s="29" t="s">
        <v>694</v>
      </c>
      <c r="C50" s="29" t="s">
        <v>764</v>
      </c>
      <c r="D50" s="29" t="s">
        <v>812</v>
      </c>
      <c r="E50" s="161" t="s">
        <v>854</v>
      </c>
      <c r="F50" s="7">
        <v>1</v>
      </c>
      <c r="G50" s="251">
        <v>1169.82</v>
      </c>
      <c r="H50" s="51">
        <v>0</v>
      </c>
      <c r="I50" s="51">
        <v>1169.81</v>
      </c>
      <c r="J50" s="285">
        <v>1169.81</v>
      </c>
      <c r="K50" s="161"/>
      <c r="L50"/>
    </row>
    <row r="51" spans="1:12">
      <c r="A51" s="7">
        <v>43</v>
      </c>
      <c r="B51" s="29" t="s">
        <v>695</v>
      </c>
      <c r="C51" s="29" t="s">
        <v>765</v>
      </c>
      <c r="D51" s="29" t="s">
        <v>813</v>
      </c>
      <c r="E51" s="161" t="s">
        <v>854</v>
      </c>
      <c r="F51" s="7">
        <v>1</v>
      </c>
      <c r="G51" s="251">
        <v>1406.64</v>
      </c>
      <c r="H51" s="51">
        <v>0</v>
      </c>
      <c r="I51" s="51">
        <v>1406.63</v>
      </c>
      <c r="J51" s="285">
        <v>1406.63</v>
      </c>
      <c r="K51" s="161"/>
      <c r="L51"/>
    </row>
    <row r="52" spans="1:12">
      <c r="A52" s="7">
        <v>44</v>
      </c>
      <c r="B52" s="29" t="s">
        <v>696</v>
      </c>
      <c r="C52" s="29" t="s">
        <v>766</v>
      </c>
      <c r="D52" s="37" t="s">
        <v>814</v>
      </c>
      <c r="E52" s="161" t="s">
        <v>852</v>
      </c>
      <c r="F52" s="7"/>
      <c r="G52" s="251">
        <v>1158.3</v>
      </c>
      <c r="H52" s="51">
        <v>0</v>
      </c>
      <c r="I52" s="51">
        <v>1158.3</v>
      </c>
      <c r="J52" s="285">
        <v>1158.3</v>
      </c>
      <c r="K52" s="161"/>
      <c r="L52"/>
    </row>
    <row r="53" spans="1:12">
      <c r="A53" s="7">
        <v>45</v>
      </c>
      <c r="B53" s="29" t="s">
        <v>697</v>
      </c>
      <c r="C53" s="29" t="s">
        <v>767</v>
      </c>
      <c r="D53" s="37" t="s">
        <v>815</v>
      </c>
      <c r="E53" s="161" t="s">
        <v>854</v>
      </c>
      <c r="F53" s="7">
        <v>1</v>
      </c>
      <c r="G53" s="251">
        <v>1706.44</v>
      </c>
      <c r="H53" s="51">
        <v>0</v>
      </c>
      <c r="I53" s="51">
        <v>1706.43</v>
      </c>
      <c r="J53" s="285">
        <v>1706.43</v>
      </c>
      <c r="K53" s="161"/>
      <c r="L53"/>
    </row>
    <row r="54" spans="1:12">
      <c r="A54" s="7">
        <v>46</v>
      </c>
      <c r="B54" s="29" t="s">
        <v>732</v>
      </c>
      <c r="C54" s="29" t="s">
        <v>768</v>
      </c>
      <c r="D54" s="37" t="s">
        <v>816</v>
      </c>
      <c r="E54" s="161" t="s">
        <v>852</v>
      </c>
      <c r="F54" s="7"/>
      <c r="G54" s="251">
        <v>1465.64</v>
      </c>
      <c r="H54" s="51">
        <v>0</v>
      </c>
      <c r="I54" s="51">
        <v>1465.63</v>
      </c>
      <c r="J54" s="285">
        <v>1465.63</v>
      </c>
      <c r="K54" s="161"/>
      <c r="L54"/>
    </row>
    <row r="55" spans="1:12">
      <c r="A55" s="7">
        <v>47</v>
      </c>
      <c r="B55" s="29" t="s">
        <v>842</v>
      </c>
      <c r="C55" s="29" t="s">
        <v>769</v>
      </c>
      <c r="D55" s="29" t="s">
        <v>843</v>
      </c>
      <c r="E55" s="161" t="s">
        <v>852</v>
      </c>
      <c r="F55" s="7"/>
      <c r="G55" s="251">
        <v>498.48</v>
      </c>
      <c r="H55" s="51">
        <v>0</v>
      </c>
      <c r="I55" s="51">
        <v>498.47</v>
      </c>
      <c r="J55" s="285">
        <v>498.47</v>
      </c>
      <c r="K55" s="161"/>
      <c r="L55"/>
    </row>
    <row r="56" spans="1:12">
      <c r="A56" s="7">
        <v>48</v>
      </c>
      <c r="B56" s="29" t="s">
        <v>698</v>
      </c>
      <c r="C56" s="29" t="s">
        <v>769</v>
      </c>
      <c r="D56" s="37" t="s">
        <v>817</v>
      </c>
      <c r="E56" s="161" t="s">
        <v>852</v>
      </c>
      <c r="F56" s="7"/>
      <c r="G56" s="251">
        <v>587.34</v>
      </c>
      <c r="H56" s="51">
        <v>0</v>
      </c>
      <c r="I56" s="51">
        <v>587.34</v>
      </c>
      <c r="J56" s="285">
        <v>587.34</v>
      </c>
      <c r="K56" s="225"/>
      <c r="L56"/>
    </row>
    <row r="57" spans="1:12">
      <c r="A57" s="7">
        <v>49</v>
      </c>
      <c r="B57" s="29" t="s">
        <v>699</v>
      </c>
      <c r="C57" s="29" t="s">
        <v>770</v>
      </c>
      <c r="D57" s="29" t="s">
        <v>818</v>
      </c>
      <c r="E57" s="161" t="s">
        <v>852</v>
      </c>
      <c r="F57" s="7"/>
      <c r="G57" s="251">
        <v>1465.64</v>
      </c>
      <c r="H57" s="51">
        <v>0</v>
      </c>
      <c r="I57" s="51">
        <v>1465.63</v>
      </c>
      <c r="J57" s="285">
        <v>1465.63</v>
      </c>
      <c r="K57" s="161"/>
      <c r="L57"/>
    </row>
    <row r="58" spans="1:12">
      <c r="A58" s="7">
        <v>50</v>
      </c>
      <c r="B58" s="29" t="s">
        <v>700</v>
      </c>
      <c r="C58" s="29" t="s">
        <v>771</v>
      </c>
      <c r="D58" s="37" t="s">
        <v>819</v>
      </c>
      <c r="E58" s="161" t="s">
        <v>854</v>
      </c>
      <c r="F58" s="7">
        <v>1</v>
      </c>
      <c r="G58" s="251">
        <v>1706.44</v>
      </c>
      <c r="H58" s="51">
        <v>0</v>
      </c>
      <c r="I58" s="51">
        <v>1706.43</v>
      </c>
      <c r="J58" s="285">
        <v>1706.43</v>
      </c>
      <c r="K58" s="161"/>
      <c r="L58"/>
    </row>
    <row r="59" spans="1:12">
      <c r="A59" s="7">
        <v>51</v>
      </c>
      <c r="B59" s="29" t="s">
        <v>736</v>
      </c>
      <c r="C59" s="29" t="s">
        <v>772</v>
      </c>
      <c r="D59" s="37" t="s">
        <v>820</v>
      </c>
      <c r="E59" s="161" t="s">
        <v>852</v>
      </c>
      <c r="F59" s="7"/>
      <c r="G59" s="251">
        <v>520.32000000000005</v>
      </c>
      <c r="H59" s="51">
        <v>0</v>
      </c>
      <c r="I59" s="51">
        <v>520.32000000000005</v>
      </c>
      <c r="J59" s="285">
        <v>520.32000000000005</v>
      </c>
      <c r="K59" s="161"/>
      <c r="L59"/>
    </row>
    <row r="60" spans="1:12">
      <c r="A60" s="7">
        <v>52</v>
      </c>
      <c r="B60" s="29" t="s">
        <v>702</v>
      </c>
      <c r="C60" s="29" t="s">
        <v>487</v>
      </c>
      <c r="D60" s="29" t="s">
        <v>516</v>
      </c>
      <c r="E60" s="161" t="s">
        <v>852</v>
      </c>
      <c r="F60" s="7"/>
      <c r="G60" s="251">
        <v>925.96</v>
      </c>
      <c r="H60" s="51">
        <v>0</v>
      </c>
      <c r="I60" s="51">
        <v>925.95</v>
      </c>
      <c r="J60" s="285">
        <v>925.95</v>
      </c>
      <c r="K60" s="161"/>
      <c r="L60"/>
    </row>
    <row r="61" spans="1:12">
      <c r="A61" s="7">
        <v>53</v>
      </c>
      <c r="B61" s="29" t="s">
        <v>703</v>
      </c>
      <c r="C61" s="29" t="s">
        <v>488</v>
      </c>
      <c r="D61" s="29" t="s">
        <v>517</v>
      </c>
      <c r="E61" s="161" t="s">
        <v>852</v>
      </c>
      <c r="F61" s="7"/>
      <c r="G61" s="251">
        <v>1489.48</v>
      </c>
      <c r="H61" s="51">
        <v>0</v>
      </c>
      <c r="I61" s="51">
        <v>1489.47</v>
      </c>
      <c r="J61" s="285">
        <v>1489.47</v>
      </c>
      <c r="K61" s="161"/>
      <c r="L61"/>
    </row>
    <row r="62" spans="1:12">
      <c r="A62" s="7">
        <v>54</v>
      </c>
      <c r="B62" s="29" t="s">
        <v>704</v>
      </c>
      <c r="C62" s="29" t="s">
        <v>773</v>
      </c>
      <c r="D62" s="29" t="s">
        <v>821</v>
      </c>
      <c r="E62" s="161" t="s">
        <v>852</v>
      </c>
      <c r="F62" s="7"/>
      <c r="G62" s="251">
        <v>1489.48</v>
      </c>
      <c r="H62" s="51">
        <v>0</v>
      </c>
      <c r="I62" s="51">
        <v>1489.47</v>
      </c>
      <c r="J62" s="285">
        <v>1489.47</v>
      </c>
      <c r="K62" s="161"/>
      <c r="L62"/>
    </row>
    <row r="63" spans="1:12">
      <c r="A63" s="7">
        <v>55</v>
      </c>
      <c r="B63" s="29" t="s">
        <v>705</v>
      </c>
      <c r="C63" s="29" t="s">
        <v>491</v>
      </c>
      <c r="D63" s="29" t="s">
        <v>456</v>
      </c>
      <c r="E63" s="161" t="s">
        <v>852</v>
      </c>
      <c r="F63" s="7"/>
      <c r="G63" s="251">
        <v>744.74</v>
      </c>
      <c r="H63" s="51">
        <v>0</v>
      </c>
      <c r="I63" s="51">
        <v>744.73</v>
      </c>
      <c r="J63" s="285">
        <v>744.73</v>
      </c>
      <c r="K63" s="161"/>
      <c r="L63"/>
    </row>
    <row r="64" spans="1:12">
      <c r="A64" s="7">
        <v>56</v>
      </c>
      <c r="B64" s="29" t="s">
        <v>707</v>
      </c>
      <c r="C64" s="29" t="s">
        <v>774</v>
      </c>
      <c r="D64" s="29" t="s">
        <v>823</v>
      </c>
      <c r="E64" s="161" t="s">
        <v>854</v>
      </c>
      <c r="F64" s="7">
        <v>1</v>
      </c>
      <c r="G64" s="251">
        <v>1272.5</v>
      </c>
      <c r="H64" s="51">
        <v>0</v>
      </c>
      <c r="I64" s="51">
        <v>1272.5</v>
      </c>
      <c r="J64" s="285">
        <v>1272.5</v>
      </c>
      <c r="K64" s="161"/>
      <c r="L64"/>
    </row>
    <row r="65" spans="1:15">
      <c r="A65" s="7">
        <v>57</v>
      </c>
      <c r="B65" s="29" t="s">
        <v>706</v>
      </c>
      <c r="C65" s="29" t="s">
        <v>774</v>
      </c>
      <c r="D65" s="37" t="s">
        <v>822</v>
      </c>
      <c r="E65" s="161" t="s">
        <v>852</v>
      </c>
      <c r="F65" s="7"/>
      <c r="G65" s="251">
        <v>618.62</v>
      </c>
      <c r="H65" s="51">
        <v>0</v>
      </c>
      <c r="I65" s="51">
        <v>618.62</v>
      </c>
      <c r="J65" s="285">
        <v>618.62</v>
      </c>
      <c r="K65" s="161"/>
      <c r="L65"/>
    </row>
    <row r="66" spans="1:15">
      <c r="A66" s="7">
        <v>58</v>
      </c>
      <c r="B66" s="29" t="s">
        <v>708</v>
      </c>
      <c r="C66" s="29" t="s">
        <v>775</v>
      </c>
      <c r="D66" s="37" t="s">
        <v>824</v>
      </c>
      <c r="E66" s="161" t="s">
        <v>854</v>
      </c>
      <c r="F66" s="7">
        <v>1</v>
      </c>
      <c r="G66" s="251">
        <v>1558.48</v>
      </c>
      <c r="H66" s="51">
        <v>0</v>
      </c>
      <c r="I66" s="51">
        <v>1558.47</v>
      </c>
      <c r="J66" s="285">
        <v>1558.47</v>
      </c>
      <c r="K66" s="161"/>
      <c r="L66"/>
    </row>
    <row r="67" spans="1:15">
      <c r="A67" s="7">
        <v>59</v>
      </c>
      <c r="B67" s="29" t="s">
        <v>709</v>
      </c>
      <c r="C67" s="29" t="s">
        <v>776</v>
      </c>
      <c r="D67" s="37" t="s">
        <v>825</v>
      </c>
      <c r="E67" s="161" t="s">
        <v>852</v>
      </c>
      <c r="F67" s="7"/>
      <c r="G67" s="251">
        <v>594.79999999999995</v>
      </c>
      <c r="H67" s="51">
        <v>0</v>
      </c>
      <c r="I67" s="51">
        <v>594.79</v>
      </c>
      <c r="J67" s="285">
        <v>594.79</v>
      </c>
      <c r="K67" s="161"/>
      <c r="L67"/>
    </row>
    <row r="68" spans="1:15">
      <c r="A68" s="7">
        <v>60</v>
      </c>
      <c r="B68" s="29" t="s">
        <v>711</v>
      </c>
      <c r="C68" s="29" t="s">
        <v>777</v>
      </c>
      <c r="D68" s="29" t="s">
        <v>827</v>
      </c>
      <c r="E68" s="161" t="s">
        <v>853</v>
      </c>
      <c r="F68" s="7">
        <v>2</v>
      </c>
      <c r="G68" s="251">
        <v>1681.28</v>
      </c>
      <c r="H68" s="51">
        <v>0</v>
      </c>
      <c r="I68" s="51">
        <v>1681.28</v>
      </c>
      <c r="J68" s="285">
        <v>1681.28</v>
      </c>
      <c r="K68" s="161"/>
      <c r="L68"/>
    </row>
    <row r="69" spans="1:15">
      <c r="A69" s="7">
        <v>61</v>
      </c>
      <c r="B69" s="29" t="s">
        <v>710</v>
      </c>
      <c r="C69" s="29" t="s">
        <v>777</v>
      </c>
      <c r="D69" s="29" t="s">
        <v>826</v>
      </c>
      <c r="E69" s="161" t="s">
        <v>852</v>
      </c>
      <c r="F69" s="7"/>
      <c r="G69" s="251">
        <v>886.72</v>
      </c>
      <c r="H69" s="51">
        <v>0</v>
      </c>
      <c r="I69" s="51">
        <v>886.72</v>
      </c>
      <c r="J69" s="121">
        <v>886.72</v>
      </c>
      <c r="K69" s="161"/>
      <c r="L69"/>
    </row>
    <row r="70" spans="1:15">
      <c r="A70" s="7">
        <v>62</v>
      </c>
      <c r="B70" s="29" t="s">
        <v>712</v>
      </c>
      <c r="C70" s="29" t="s">
        <v>778</v>
      </c>
      <c r="D70" s="37" t="s">
        <v>828</v>
      </c>
      <c r="E70" s="161" t="s">
        <v>852</v>
      </c>
      <c r="F70" s="7"/>
      <c r="G70" s="251">
        <v>587.34</v>
      </c>
      <c r="H70" s="51">
        <v>0</v>
      </c>
      <c r="I70" s="51">
        <v>587.34</v>
      </c>
      <c r="J70" s="285">
        <v>587.34</v>
      </c>
      <c r="K70" s="161"/>
      <c r="L70"/>
    </row>
    <row r="71" spans="1:15">
      <c r="A71" s="7">
        <v>63</v>
      </c>
      <c r="B71" s="29" t="s">
        <v>713</v>
      </c>
      <c r="C71" s="29" t="s">
        <v>778</v>
      </c>
      <c r="D71" s="37" t="s">
        <v>829</v>
      </c>
      <c r="E71" s="161" t="s">
        <v>856</v>
      </c>
      <c r="F71" s="7">
        <v>2</v>
      </c>
      <c r="G71" s="251">
        <v>1402.26</v>
      </c>
      <c r="H71" s="51">
        <v>657.84</v>
      </c>
      <c r="I71" s="51">
        <f>G71+H71</f>
        <v>2060.1</v>
      </c>
      <c r="J71" s="285">
        <v>2060.09</v>
      </c>
      <c r="K71" s="161"/>
      <c r="L71"/>
    </row>
    <row r="72" spans="1:15">
      <c r="A72" s="113"/>
      <c r="E72" s="261"/>
      <c r="F72" s="282"/>
      <c r="G72" s="262"/>
      <c r="H72" s="262"/>
      <c r="I72" s="262"/>
      <c r="J72" s="263"/>
      <c r="K72" s="117"/>
      <c r="N72" s="15"/>
      <c r="O72" s="15"/>
    </row>
    <row r="73" spans="1:15">
      <c r="A73" s="428" t="s">
        <v>652</v>
      </c>
      <c r="B73" s="429"/>
      <c r="C73" s="429"/>
      <c r="D73" s="429"/>
      <c r="E73" s="429"/>
      <c r="F73" s="429"/>
      <c r="G73" s="430"/>
      <c r="H73" s="246"/>
      <c r="I73" s="264">
        <f>SUM(I6:I71)</f>
        <v>72745.430000000008</v>
      </c>
      <c r="J73" s="111">
        <f>SUM(J5:J71)</f>
        <v>73265.73</v>
      </c>
      <c r="K73" s="255"/>
      <c r="L73"/>
    </row>
    <row r="74" spans="1:15">
      <c r="A74" s="431"/>
      <c r="B74" s="453"/>
      <c r="C74" s="432"/>
      <c r="D74" s="141"/>
      <c r="E74" s="271" t="s">
        <v>258</v>
      </c>
      <c r="F74" s="7">
        <v>63</v>
      </c>
      <c r="G74" s="161"/>
      <c r="H74" s="161"/>
      <c r="I74" s="161"/>
      <c r="J74" s="52"/>
      <c r="K74" s="241"/>
      <c r="L74"/>
    </row>
    <row r="75" spans="1:15">
      <c r="A75" s="271"/>
      <c r="B75" s="272"/>
      <c r="C75" s="141"/>
      <c r="D75" s="141"/>
      <c r="E75" s="141" t="s">
        <v>930</v>
      </c>
      <c r="F75" s="7">
        <v>4</v>
      </c>
      <c r="G75" s="161"/>
      <c r="H75" s="161"/>
      <c r="I75" s="161"/>
      <c r="J75" s="52"/>
      <c r="K75" s="241"/>
      <c r="L75"/>
    </row>
    <row r="76" spans="1:15">
      <c r="A76" s="431"/>
      <c r="B76" s="453"/>
      <c r="C76" s="432"/>
      <c r="D76" s="141"/>
      <c r="E76" s="271" t="s">
        <v>931</v>
      </c>
      <c r="F76" s="58">
        <f>SUM(F6:F71)</f>
        <v>29</v>
      </c>
      <c r="G76" s="161"/>
      <c r="H76" s="196"/>
      <c r="I76" s="196"/>
      <c r="J76" s="52"/>
      <c r="K76" s="241"/>
      <c r="L76"/>
    </row>
    <row r="77" spans="1:15">
      <c r="A77" s="433"/>
      <c r="B77" s="454"/>
      <c r="C77" s="434"/>
      <c r="D77" s="92"/>
      <c r="E77" s="91" t="s">
        <v>246</v>
      </c>
      <c r="F77" s="86">
        <f>F74+F76+F75</f>
        <v>96</v>
      </c>
      <c r="G77" s="161"/>
      <c r="H77" s="187"/>
      <c r="I77" s="187"/>
      <c r="J77" s="52"/>
      <c r="K77" s="241"/>
      <c r="L77"/>
    </row>
    <row r="78" spans="1:15">
      <c r="A78" s="455" t="s">
        <v>830</v>
      </c>
      <c r="B78" s="456"/>
      <c r="C78" s="456"/>
      <c r="D78" s="456"/>
      <c r="E78" s="456"/>
      <c r="F78" s="456"/>
      <c r="G78" s="457"/>
      <c r="H78" s="247"/>
      <c r="I78" s="247"/>
      <c r="J78" s="184"/>
      <c r="K78" s="256"/>
      <c r="L78"/>
      <c r="M78" s="15"/>
    </row>
    <row r="79" spans="1:15" s="1" customFormat="1">
      <c r="A79" s="291"/>
      <c r="M79" s="116"/>
    </row>
    <row r="80" spans="1:15" s="287" customFormat="1">
      <c r="A80" s="196"/>
      <c r="B80" t="s">
        <v>954</v>
      </c>
      <c r="C80" s="29" t="s">
        <v>495</v>
      </c>
      <c r="D80" s="29" t="s">
        <v>957</v>
      </c>
      <c r="E80" s="161" t="s">
        <v>852</v>
      </c>
      <c r="F80" s="37"/>
      <c r="G80" s="251">
        <v>520.32000000000005</v>
      </c>
      <c r="H80" s="51">
        <v>0</v>
      </c>
      <c r="I80" s="251">
        <v>520.32000000000005</v>
      </c>
      <c r="J80" s="294">
        <v>520.32000000000005</v>
      </c>
      <c r="K80" s="161" t="s">
        <v>958</v>
      </c>
      <c r="M80" s="289"/>
    </row>
    <row r="81" spans="1:15" s="287" customFormat="1">
      <c r="A81" s="196"/>
      <c r="B81"/>
      <c r="C81" s="29"/>
      <c r="D81" s="61"/>
      <c r="E81" s="161"/>
      <c r="F81" s="58"/>
      <c r="G81" s="251"/>
      <c r="H81" s="51"/>
      <c r="I81" s="51"/>
      <c r="J81" s="51"/>
      <c r="K81" s="161"/>
      <c r="M81" s="289"/>
    </row>
    <row r="82" spans="1:15" s="287" customFormat="1">
      <c r="A82" s="196"/>
      <c r="B82"/>
      <c r="C82" s="29"/>
      <c r="D82" s="161"/>
      <c r="E82" s="161"/>
      <c r="F82" s="58"/>
      <c r="G82" s="51"/>
      <c r="H82" s="51"/>
      <c r="I82" s="51"/>
      <c r="J82" s="51"/>
      <c r="K82" s="161"/>
      <c r="M82" s="289"/>
    </row>
    <row r="83" spans="1:15">
      <c r="A83" s="196"/>
      <c r="B83" s="196"/>
      <c r="C83" s="29"/>
      <c r="D83" s="29"/>
      <c r="E83" s="29"/>
      <c r="F83" s="7"/>
      <c r="G83" s="196"/>
      <c r="H83" s="196"/>
      <c r="I83" s="196"/>
      <c r="J83" s="52"/>
      <c r="K83" s="241"/>
      <c r="L83"/>
      <c r="M83" s="15"/>
    </row>
    <row r="84" spans="1:15" ht="12" customHeight="1">
      <c r="A84" s="428" t="s">
        <v>846</v>
      </c>
      <c r="B84" s="429"/>
      <c r="C84" s="429"/>
      <c r="D84" s="429"/>
      <c r="E84" s="429"/>
      <c r="F84" s="429"/>
      <c r="G84" s="430"/>
      <c r="H84" s="246"/>
      <c r="I84" s="246"/>
      <c r="J84" s="293">
        <f>SUM(J80:J83)</f>
        <v>520.32000000000005</v>
      </c>
      <c r="K84" s="258"/>
      <c r="L84"/>
    </row>
    <row r="85" spans="1:15" ht="12" customHeight="1">
      <c r="A85" s="172"/>
      <c r="B85" s="173"/>
      <c r="C85" s="173"/>
      <c r="D85" s="173"/>
      <c r="E85" s="173"/>
      <c r="F85" s="281"/>
      <c r="G85" s="167"/>
      <c r="H85" s="167"/>
      <c r="I85" s="167"/>
      <c r="J85" s="83"/>
      <c r="K85" s="259"/>
      <c r="L85"/>
    </row>
    <row r="86" spans="1:15" ht="16">
      <c r="A86" s="450" t="s">
        <v>881</v>
      </c>
      <c r="B86" s="451"/>
      <c r="C86" s="451"/>
      <c r="D86" s="451"/>
      <c r="E86" s="451"/>
      <c r="F86" s="451"/>
      <c r="G86" s="452"/>
      <c r="H86" s="267"/>
      <c r="I86" s="267"/>
      <c r="J86" s="268">
        <f>J73+J84</f>
        <v>73786.05</v>
      </c>
      <c r="K86" s="260"/>
      <c r="L86"/>
    </row>
    <row r="87" spans="1:15" ht="18">
      <c r="G87" s="218" t="s">
        <v>250</v>
      </c>
      <c r="H87" s="238">
        <v>45135</v>
      </c>
      <c r="I87"/>
      <c r="J87"/>
      <c r="K87"/>
      <c r="L87"/>
    </row>
    <row r="88" spans="1:15" ht="18">
      <c r="G88" s="218" t="s">
        <v>251</v>
      </c>
      <c r="H88" s="239" t="s">
        <v>324</v>
      </c>
      <c r="I88"/>
      <c r="J88"/>
      <c r="K88"/>
      <c r="L88"/>
    </row>
    <row r="90" spans="1:15">
      <c r="H90" s="269">
        <f>H6+H18+H40+H71</f>
        <v>3057.38</v>
      </c>
      <c r="J90" s="270">
        <f>J86-H90</f>
        <v>70728.67</v>
      </c>
    </row>
    <row r="91" spans="1:15">
      <c r="H91" s="269"/>
      <c r="J91" s="270"/>
    </row>
    <row r="93" spans="1:15" s="3" customFormat="1">
      <c r="A93"/>
      <c r="B93"/>
      <c r="C93"/>
      <c r="D93"/>
      <c r="E93"/>
      <c r="G93" s="216"/>
      <c r="H93" s="216"/>
      <c r="I93" s="216"/>
      <c r="K93" s="152"/>
      <c r="L93" s="216"/>
      <c r="M93"/>
      <c r="N93"/>
      <c r="O93"/>
    </row>
  </sheetData>
  <autoFilter ref="A4:L71" xr:uid="{EC283F26-1258-B84E-AE05-5C35489C3CC6}">
    <sortState xmlns:xlrd2="http://schemas.microsoft.com/office/spreadsheetml/2017/richdata2" ref="A5:L71">
      <sortCondition ref="C4:C71"/>
    </sortState>
  </autoFilter>
  <mergeCells count="7">
    <mergeCell ref="A86:G86"/>
    <mergeCell ref="A73:G73"/>
    <mergeCell ref="A74:C74"/>
    <mergeCell ref="A76:C76"/>
    <mergeCell ref="A77:C77"/>
    <mergeCell ref="A78:G78"/>
    <mergeCell ref="A84:G84"/>
  </mergeCells>
  <conditionalFormatting sqref="B4 B8:B10">
    <cfRule type="duplicateValues" dxfId="1343" priority="24"/>
  </conditionalFormatting>
  <conditionalFormatting sqref="B8:B11 B13:B71">
    <cfRule type="duplicateValues" dxfId="1342" priority="25"/>
  </conditionalFormatting>
  <conditionalFormatting sqref="B11 B13:B71">
    <cfRule type="duplicateValues" dxfId="1341" priority="26"/>
  </conditionalFormatting>
  <conditionalFormatting sqref="B81">
    <cfRule type="duplicateValues" dxfId="1340" priority="4"/>
    <cfRule type="duplicateValues" dxfId="1339" priority="5"/>
  </conditionalFormatting>
  <conditionalFormatting sqref="B82">
    <cfRule type="duplicateValues" dxfId="1338" priority="2"/>
    <cfRule type="duplicateValues" dxfId="1337" priority="3"/>
  </conditionalFormatting>
  <conditionalFormatting sqref="C91">
    <cfRule type="duplicateValues" dxfId="1336" priority="16"/>
    <cfRule type="duplicateValues" dxfId="1335" priority="17"/>
  </conditionalFormatting>
  <conditionalFormatting sqref="C93">
    <cfRule type="duplicateValues" dxfId="1334" priority="14"/>
    <cfRule type="duplicateValues" dxfId="1333" priority="15"/>
  </conditionalFormatting>
  <conditionalFormatting sqref="C95">
    <cfRule type="duplicateValues" dxfId="1332" priority="12"/>
    <cfRule type="duplicateValues" dxfId="1331" priority="13"/>
  </conditionalFormatting>
  <conditionalFormatting sqref="C83:F83">
    <cfRule type="duplicateValues" dxfId="1330" priority="23"/>
  </conditionalFormatting>
  <conditionalFormatting sqref="C84:F88 E72:F73 E78:F78 C73:D78 E1:F3 C1:D4">
    <cfRule type="duplicateValues" dxfId="1329" priority="20"/>
  </conditionalFormatting>
  <conditionalFormatting sqref="C84:F89 E1:F3 C1:D4 E72:F73 E78:F78 C73:D78 D91:F91 D93:F93 C92:F92 C96:F1048576 D95:F95 C94:F94">
    <cfRule type="duplicateValues" dxfId="1328" priority="19"/>
  </conditionalFormatting>
  <conditionalFormatting sqref="C89:F89 D91:F91 D93:F93 C92:F92 C96:F1048576 D95:F95 C94:F94">
    <cfRule type="duplicateValues" dxfId="1327" priority="22"/>
  </conditionalFormatting>
  <conditionalFormatting sqref="E75">
    <cfRule type="duplicateValues" dxfId="1326" priority="8"/>
    <cfRule type="duplicateValues" dxfId="1325" priority="9"/>
  </conditionalFormatting>
  <conditionalFormatting sqref="E80">
    <cfRule type="containsText" dxfId="1324" priority="7" operator="containsText" text="Spouse">
      <formula>NOT(ISERROR(SEARCH("Spouse",E80)))</formula>
    </cfRule>
  </conditionalFormatting>
  <conditionalFormatting sqref="E72:F72">
    <cfRule type="duplicateValues" dxfId="1323" priority="21"/>
  </conditionalFormatting>
  <conditionalFormatting sqref="G1:H3 E4:G8 E9:F9 E10:G71 G72:I73 F74:F77 H74:I77 G78:I78 G80:G81 E81:F82 G83:I1048576">
    <cfRule type="containsText" dxfId="1322" priority="10" operator="containsText" text="Spouse">
      <formula>NOT(ISERROR(SEARCH("Spouse",E1)))</formula>
    </cfRule>
  </conditionalFormatting>
  <conditionalFormatting sqref="I7">
    <cfRule type="containsText" dxfId="1321" priority="6" operator="containsText" text="Spouse">
      <formula>NOT(ISERROR(SEARCH("Spouse",I7)))</formula>
    </cfRule>
  </conditionalFormatting>
  <conditionalFormatting sqref="I80">
    <cfRule type="containsText" dxfId="1320" priority="1" operator="containsText" text="Spouse">
      <formula>NOT(ISERROR(SEARCH("Spouse",I80)))</formula>
    </cfRule>
  </conditionalFormatting>
  <conditionalFormatting sqref="K5:K7 K11:K15 K18:K21 K23:K36 K80:K82">
    <cfRule type="notContainsBlanks" dxfId="1319" priority="11">
      <formula>LEN(TRIM(K5))&gt;0</formula>
    </cfRule>
  </conditionalFormatting>
  <conditionalFormatting sqref="K38:K55 K57:K68 L72 K73:K78 K84:K86">
    <cfRule type="notContainsBlanks" dxfId="1318" priority="18">
      <formula>LEN(TRIM(K38))&gt;0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6E41-7EDB-0F46-800F-0BE9F6679353}">
  <sheetPr>
    <tabColor theme="7" tint="0.59999389629810485"/>
    <pageSetUpPr fitToPage="1"/>
  </sheetPr>
  <dimension ref="A1:O93"/>
  <sheetViews>
    <sheetView zoomScale="120" zoomScaleNormal="120" zoomScalePageLayoutView="140" workbookViewId="0">
      <pane xSplit="4" ySplit="4" topLeftCell="E64" activePane="bottomRight" state="frozen"/>
      <selection activeCell="D65" sqref="D65"/>
      <selection pane="topRight" activeCell="D65" sqref="D65"/>
      <selection pane="bottomLeft" activeCell="D65" sqref="D65"/>
      <selection pane="bottomRight" activeCell="J91" sqref="J91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9.1640625" customWidth="1"/>
    <col min="4" max="4" width="23.83203125" bestFit="1" customWidth="1"/>
    <col min="5" max="5" width="23.83203125" customWidth="1"/>
    <col min="6" max="6" width="10.1640625" style="3" customWidth="1"/>
    <col min="7" max="7" width="13.6640625" style="216" customWidth="1"/>
    <col min="8" max="8" width="12.832031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45078</v>
      </c>
      <c r="K2" s="230"/>
    </row>
    <row r="3" spans="1:14" ht="14" customHeight="1">
      <c r="J3" s="201"/>
      <c r="K3" s="231" t="s">
        <v>832</v>
      </c>
    </row>
    <row r="4" spans="1:14" ht="28">
      <c r="A4" s="50" t="s">
        <v>226</v>
      </c>
      <c r="B4" s="219" t="s">
        <v>500</v>
      </c>
      <c r="C4" s="50" t="s">
        <v>498</v>
      </c>
      <c r="D4" s="50" t="s">
        <v>499</v>
      </c>
      <c r="E4" s="279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10"/>
      <c r="B5" t="s">
        <v>955</v>
      </c>
      <c r="C5" s="29" t="s">
        <v>943</v>
      </c>
      <c r="D5" s="29" t="s">
        <v>944</v>
      </c>
      <c r="E5" s="161" t="s">
        <v>852</v>
      </c>
      <c r="F5" s="7"/>
      <c r="G5" s="251">
        <v>520.32000000000005</v>
      </c>
      <c r="H5" s="51">
        <v>0</v>
      </c>
      <c r="I5" s="51">
        <v>520.32000000000005</v>
      </c>
      <c r="J5" s="149">
        <v>0</v>
      </c>
      <c r="K5" s="161" t="s">
        <v>945</v>
      </c>
      <c r="L5" s="254"/>
    </row>
    <row r="6" spans="1:14">
      <c r="A6" s="7">
        <v>1</v>
      </c>
      <c r="B6" s="29" t="s">
        <v>741</v>
      </c>
      <c r="C6" s="29" t="s">
        <v>742</v>
      </c>
      <c r="D6" s="29" t="s">
        <v>779</v>
      </c>
      <c r="E6" s="161" t="s">
        <v>851</v>
      </c>
      <c r="F6" s="7"/>
      <c r="G6" s="251">
        <v>1158.3</v>
      </c>
      <c r="H6" s="51">
        <v>1158.3</v>
      </c>
      <c r="I6" s="51">
        <f>G6+H6</f>
        <v>2316.6</v>
      </c>
      <c r="J6" s="149">
        <v>2316.6</v>
      </c>
      <c r="K6" s="161"/>
      <c r="L6"/>
    </row>
    <row r="7" spans="1:14">
      <c r="A7" s="7"/>
      <c r="B7" t="s">
        <v>954</v>
      </c>
      <c r="C7" s="29" t="s">
        <v>946</v>
      </c>
      <c r="D7" s="29" t="s">
        <v>947</v>
      </c>
      <c r="E7" s="161" t="s">
        <v>852</v>
      </c>
      <c r="F7" s="7"/>
      <c r="G7" s="251">
        <v>508.4</v>
      </c>
      <c r="H7" s="51">
        <v>0</v>
      </c>
      <c r="I7" s="251">
        <v>508.4</v>
      </c>
      <c r="J7" s="149">
        <v>508.4</v>
      </c>
      <c r="K7" s="161"/>
      <c r="L7"/>
    </row>
    <row r="8" spans="1:14">
      <c r="A8" s="7">
        <v>2</v>
      </c>
      <c r="B8" s="29" t="s">
        <v>658</v>
      </c>
      <c r="C8" s="29" t="s">
        <v>743</v>
      </c>
      <c r="D8" s="161" t="s">
        <v>780</v>
      </c>
      <c r="E8" s="161" t="s">
        <v>852</v>
      </c>
      <c r="F8" s="7"/>
      <c r="G8" s="251">
        <v>498.48</v>
      </c>
      <c r="H8" s="51">
        <v>0</v>
      </c>
      <c r="I8" s="51">
        <v>498.47</v>
      </c>
      <c r="J8" s="149">
        <v>498.47</v>
      </c>
      <c r="L8"/>
    </row>
    <row r="9" spans="1:14">
      <c r="A9" s="7"/>
      <c r="B9" t="s">
        <v>951</v>
      </c>
      <c r="C9" s="29" t="s">
        <v>950</v>
      </c>
      <c r="D9" s="161" t="s">
        <v>949</v>
      </c>
      <c r="E9" s="161" t="s">
        <v>852</v>
      </c>
      <c r="F9" s="7"/>
      <c r="G9" s="51">
        <v>1395.13</v>
      </c>
      <c r="H9" s="51">
        <v>0</v>
      </c>
      <c r="I9" s="51">
        <v>1395.13</v>
      </c>
      <c r="J9" s="51">
        <v>1395.13</v>
      </c>
      <c r="K9" s="295"/>
      <c r="L9"/>
    </row>
    <row r="10" spans="1:14">
      <c r="A10" s="7">
        <v>3</v>
      </c>
      <c r="B10" s="29" t="s">
        <v>659</v>
      </c>
      <c r="C10" s="29" t="s">
        <v>744</v>
      </c>
      <c r="D10" s="161" t="s">
        <v>781</v>
      </c>
      <c r="E10" s="161" t="s">
        <v>853</v>
      </c>
      <c r="F10" s="7">
        <v>2</v>
      </c>
      <c r="G10" s="251">
        <v>1637.1</v>
      </c>
      <c r="H10" s="51">
        <v>0</v>
      </c>
      <c r="I10" s="51">
        <v>1637.09</v>
      </c>
      <c r="J10" s="160">
        <v>1637.09</v>
      </c>
      <c r="K10" s="161"/>
      <c r="L10"/>
    </row>
    <row r="11" spans="1:14">
      <c r="A11" s="7">
        <v>4</v>
      </c>
      <c r="B11" s="29" t="s">
        <v>660</v>
      </c>
      <c r="C11" s="29" t="s">
        <v>462</v>
      </c>
      <c r="D11" s="29" t="s">
        <v>425</v>
      </c>
      <c r="E11" s="161" t="s">
        <v>853</v>
      </c>
      <c r="F11" s="7">
        <v>2</v>
      </c>
      <c r="G11" s="251">
        <v>1607.22</v>
      </c>
      <c r="H11" s="51">
        <v>0</v>
      </c>
      <c r="I11" s="51">
        <v>1607.22</v>
      </c>
      <c r="J11" s="149">
        <v>1607.22</v>
      </c>
      <c r="K11" s="161"/>
      <c r="L11"/>
    </row>
    <row r="12" spans="1:14">
      <c r="A12" s="7">
        <v>5</v>
      </c>
      <c r="B12" s="29" t="s">
        <v>833</v>
      </c>
      <c r="C12" s="29" t="s">
        <v>834</v>
      </c>
      <c r="D12" s="29" t="s">
        <v>835</v>
      </c>
      <c r="E12" s="161" t="s">
        <v>852</v>
      </c>
      <c r="F12" s="7"/>
      <c r="G12" s="251">
        <v>614.66</v>
      </c>
      <c r="H12" s="51">
        <v>0</v>
      </c>
      <c r="I12" s="51">
        <v>614.65</v>
      </c>
      <c r="J12" s="149">
        <v>614.65</v>
      </c>
      <c r="K12" s="161"/>
      <c r="L12"/>
    </row>
    <row r="13" spans="1:14">
      <c r="A13" s="7">
        <v>6</v>
      </c>
      <c r="B13" s="29" t="s">
        <v>661</v>
      </c>
      <c r="C13" s="29" t="s">
        <v>460</v>
      </c>
      <c r="D13" s="29" t="s">
        <v>426</v>
      </c>
      <c r="E13" s="161" t="s">
        <v>852</v>
      </c>
      <c r="F13" s="7"/>
      <c r="G13" s="251">
        <v>1292.3599999999999</v>
      </c>
      <c r="H13" s="51">
        <v>0</v>
      </c>
      <c r="I13" s="51">
        <v>1292.3499999999999</v>
      </c>
      <c r="J13" s="149">
        <v>1292.3499999999999</v>
      </c>
      <c r="K13" s="161"/>
      <c r="L13"/>
    </row>
    <row r="14" spans="1:14">
      <c r="A14" s="7">
        <v>7</v>
      </c>
      <c r="B14" s="29" t="s">
        <v>837</v>
      </c>
      <c r="C14" s="29" t="s">
        <v>745</v>
      </c>
      <c r="D14" s="61" t="s">
        <v>838</v>
      </c>
      <c r="E14" s="161" t="s">
        <v>852</v>
      </c>
      <c r="F14" s="7"/>
      <c r="G14" s="251">
        <v>776.02</v>
      </c>
      <c r="H14" s="51">
        <v>0</v>
      </c>
      <c r="I14" s="51">
        <v>776.01</v>
      </c>
      <c r="J14" s="149">
        <v>776.01</v>
      </c>
      <c r="K14" s="161"/>
      <c r="L14"/>
    </row>
    <row r="15" spans="1:14" s="1" customFormat="1">
      <c r="A15" s="7">
        <v>8</v>
      </c>
      <c r="B15" s="29" t="s">
        <v>663</v>
      </c>
      <c r="C15" s="29" t="s">
        <v>745</v>
      </c>
      <c r="D15" s="37" t="s">
        <v>784</v>
      </c>
      <c r="E15" s="161" t="s">
        <v>852</v>
      </c>
      <c r="F15" s="7"/>
      <c r="G15" s="251">
        <v>587.34</v>
      </c>
      <c r="H15" s="51">
        <v>0</v>
      </c>
      <c r="I15" s="51">
        <v>587.34</v>
      </c>
      <c r="J15" s="149">
        <v>587.34</v>
      </c>
      <c r="K15" s="161"/>
      <c r="L15"/>
      <c r="M15"/>
      <c r="N15"/>
    </row>
    <row r="16" spans="1:14" s="1" customFormat="1">
      <c r="A16" s="7">
        <v>9</v>
      </c>
      <c r="B16" s="29" t="s">
        <v>662</v>
      </c>
      <c r="C16" s="29" t="s">
        <v>745</v>
      </c>
      <c r="D16" s="61" t="s">
        <v>783</v>
      </c>
      <c r="E16" s="161" t="s">
        <v>852</v>
      </c>
      <c r="F16" s="7"/>
      <c r="G16" s="251">
        <v>618.62</v>
      </c>
      <c r="H16" s="51">
        <v>0</v>
      </c>
      <c r="I16" s="51">
        <v>618.62</v>
      </c>
      <c r="J16" s="149">
        <v>618.62</v>
      </c>
      <c r="L16"/>
      <c r="M16"/>
      <c r="N16"/>
    </row>
    <row r="17" spans="1:14" s="1" customFormat="1">
      <c r="A17" s="7"/>
      <c r="B17" t="s">
        <v>953</v>
      </c>
      <c r="C17" s="29" t="s">
        <v>806</v>
      </c>
      <c r="D17" s="61" t="s">
        <v>952</v>
      </c>
      <c r="E17" s="161" t="s">
        <v>852</v>
      </c>
      <c r="F17" s="7"/>
      <c r="G17" s="251">
        <v>606.71</v>
      </c>
      <c r="H17" s="51">
        <v>0</v>
      </c>
      <c r="I17" s="51">
        <v>606.71</v>
      </c>
      <c r="J17" s="149">
        <v>606.71</v>
      </c>
      <c r="L17"/>
      <c r="M17"/>
      <c r="N17"/>
    </row>
    <row r="18" spans="1:14">
      <c r="A18" s="7">
        <v>10</v>
      </c>
      <c r="B18" s="29" t="s">
        <v>839</v>
      </c>
      <c r="C18" s="29" t="s">
        <v>840</v>
      </c>
      <c r="D18" s="29" t="s">
        <v>841</v>
      </c>
      <c r="E18" s="161" t="s">
        <v>855</v>
      </c>
      <c r="F18" s="7">
        <v>1</v>
      </c>
      <c r="G18" s="251">
        <v>1012.42</v>
      </c>
      <c r="H18" s="51">
        <v>626.58000000000004</v>
      </c>
      <c r="I18" s="51">
        <f>G18+H18</f>
        <v>1639</v>
      </c>
      <c r="J18" s="149">
        <v>1638.99</v>
      </c>
      <c r="K18" s="161"/>
      <c r="L18"/>
    </row>
    <row r="19" spans="1:14">
      <c r="A19" s="7">
        <v>11</v>
      </c>
      <c r="B19" s="29" t="s">
        <v>664</v>
      </c>
      <c r="C19" s="29" t="s">
        <v>746</v>
      </c>
      <c r="D19" s="29" t="s">
        <v>785</v>
      </c>
      <c r="E19" s="161" t="s">
        <v>854</v>
      </c>
      <c r="F19" s="7">
        <v>1</v>
      </c>
      <c r="G19" s="251">
        <v>1843.96</v>
      </c>
      <c r="H19" s="51">
        <v>0</v>
      </c>
      <c r="I19" s="51">
        <v>1843.95</v>
      </c>
      <c r="J19" s="149">
        <v>1843.95</v>
      </c>
      <c r="K19" s="161"/>
      <c r="L19"/>
    </row>
    <row r="20" spans="1:14">
      <c r="A20" s="7">
        <v>12</v>
      </c>
      <c r="B20" s="29" t="s">
        <v>665</v>
      </c>
      <c r="C20" s="29" t="s">
        <v>746</v>
      </c>
      <c r="D20" s="29" t="s">
        <v>786</v>
      </c>
      <c r="E20" s="161" t="s">
        <v>852</v>
      </c>
      <c r="F20" s="7"/>
      <c r="G20" s="251">
        <v>626.58000000000004</v>
      </c>
      <c r="H20" s="51">
        <v>0</v>
      </c>
      <c r="I20" s="51">
        <v>626.57000000000005</v>
      </c>
      <c r="J20" s="149">
        <v>626.57000000000005</v>
      </c>
      <c r="K20" s="161"/>
      <c r="L20"/>
    </row>
    <row r="21" spans="1:14">
      <c r="A21" s="7">
        <v>13</v>
      </c>
      <c r="B21" s="29" t="s">
        <v>666</v>
      </c>
      <c r="C21" s="29" t="s">
        <v>747</v>
      </c>
      <c r="D21" s="37" t="s">
        <v>787</v>
      </c>
      <c r="E21" s="161" t="s">
        <v>854</v>
      </c>
      <c r="F21" s="7">
        <v>1</v>
      </c>
      <c r="G21" s="251">
        <v>996.54</v>
      </c>
      <c r="H21" s="51">
        <v>0</v>
      </c>
      <c r="I21" s="51">
        <v>996.53</v>
      </c>
      <c r="J21" s="149">
        <v>996.53</v>
      </c>
      <c r="K21" s="161"/>
      <c r="L21"/>
    </row>
    <row r="22" spans="1:14">
      <c r="A22" s="7">
        <v>14</v>
      </c>
      <c r="B22" s="220" t="s">
        <v>934</v>
      </c>
      <c r="C22" s="29" t="s">
        <v>932</v>
      </c>
      <c r="D22" s="37" t="s">
        <v>933</v>
      </c>
      <c r="E22" s="161" t="s">
        <v>852</v>
      </c>
      <c r="F22" s="7"/>
      <c r="G22" s="251">
        <v>539.67999999999995</v>
      </c>
      <c r="H22" s="51">
        <v>0</v>
      </c>
      <c r="I22" s="51">
        <v>539.67999999999995</v>
      </c>
      <c r="J22" s="149">
        <v>539.67999999999995</v>
      </c>
      <c r="L22"/>
    </row>
    <row r="23" spans="1:14" s="1" customFormat="1">
      <c r="A23" s="7">
        <v>15</v>
      </c>
      <c r="B23" s="29" t="s">
        <v>667</v>
      </c>
      <c r="C23" s="29" t="s">
        <v>466</v>
      </c>
      <c r="D23" s="29" t="s">
        <v>431</v>
      </c>
      <c r="E23" s="161" t="s">
        <v>853</v>
      </c>
      <c r="F23" s="7">
        <v>2</v>
      </c>
      <c r="G23" s="251">
        <v>1881.68</v>
      </c>
      <c r="H23" s="51">
        <v>0</v>
      </c>
      <c r="I23" s="51">
        <v>1881.68</v>
      </c>
      <c r="J23" s="189">
        <v>1881.68</v>
      </c>
      <c r="K23" s="161"/>
      <c r="L23"/>
      <c r="M23"/>
      <c r="N23"/>
    </row>
    <row r="24" spans="1:14">
      <c r="A24" s="7">
        <v>16</v>
      </c>
      <c r="B24" s="29" t="s">
        <v>668</v>
      </c>
      <c r="C24" s="29" t="s">
        <v>748</v>
      </c>
      <c r="D24" s="37" t="s">
        <v>788</v>
      </c>
      <c r="E24" s="161" t="s">
        <v>852</v>
      </c>
      <c r="F24" s="7"/>
      <c r="G24" s="251">
        <v>1107.1600000000001</v>
      </c>
      <c r="H24" s="51">
        <v>0</v>
      </c>
      <c r="I24" s="51">
        <v>1107.1600000000001</v>
      </c>
      <c r="J24" s="149">
        <v>1107.1600000000001</v>
      </c>
      <c r="K24" s="161"/>
      <c r="L24"/>
    </row>
    <row r="25" spans="1:14">
      <c r="A25" s="7">
        <v>17</v>
      </c>
      <c r="B25" s="29" t="s">
        <v>669</v>
      </c>
      <c r="C25" s="29" t="s">
        <v>749</v>
      </c>
      <c r="D25" s="37" t="s">
        <v>789</v>
      </c>
      <c r="E25" s="161" t="s">
        <v>852</v>
      </c>
      <c r="F25" s="7"/>
      <c r="G25" s="251">
        <v>539.67999999999995</v>
      </c>
      <c r="H25" s="51">
        <v>0</v>
      </c>
      <c r="I25" s="51">
        <v>539.67999999999995</v>
      </c>
      <c r="J25" s="149">
        <v>539.67999999999995</v>
      </c>
      <c r="K25" s="161"/>
      <c r="L25"/>
    </row>
    <row r="26" spans="1:14">
      <c r="A26" s="7">
        <v>18</v>
      </c>
      <c r="B26" s="29" t="s">
        <v>729</v>
      </c>
      <c r="C26" s="29" t="s">
        <v>750</v>
      </c>
      <c r="D26" s="37" t="s">
        <v>790</v>
      </c>
      <c r="E26" s="161" t="s">
        <v>852</v>
      </c>
      <c r="F26" s="7"/>
      <c r="G26" s="251">
        <v>618.62</v>
      </c>
      <c r="H26" s="51">
        <v>0</v>
      </c>
      <c r="I26" s="51">
        <v>618.62</v>
      </c>
      <c r="J26" s="149">
        <v>618.62</v>
      </c>
      <c r="K26" s="161"/>
      <c r="L26"/>
    </row>
    <row r="27" spans="1:14">
      <c r="A27" s="7">
        <v>19</v>
      </c>
      <c r="B27" s="29" t="s">
        <v>671</v>
      </c>
      <c r="C27" s="29" t="s">
        <v>751</v>
      </c>
      <c r="D27" s="29" t="s">
        <v>791</v>
      </c>
      <c r="E27" s="161" t="s">
        <v>852</v>
      </c>
      <c r="F27" s="7"/>
      <c r="G27" s="251">
        <v>1489.48</v>
      </c>
      <c r="H27" s="51">
        <v>0</v>
      </c>
      <c r="I27" s="51">
        <v>1489.47</v>
      </c>
      <c r="J27" s="149">
        <v>1489.47</v>
      </c>
      <c r="K27" s="161"/>
      <c r="L27"/>
    </row>
    <row r="28" spans="1:14">
      <c r="A28" s="7">
        <v>20</v>
      </c>
      <c r="B28" s="29" t="s">
        <v>672</v>
      </c>
      <c r="C28" s="29" t="s">
        <v>752</v>
      </c>
      <c r="D28" s="29" t="s">
        <v>792</v>
      </c>
      <c r="E28" s="161" t="s">
        <v>853</v>
      </c>
      <c r="F28" s="7">
        <v>2</v>
      </c>
      <c r="G28" s="251">
        <v>1414.18</v>
      </c>
      <c r="H28" s="51">
        <v>0</v>
      </c>
      <c r="I28" s="51">
        <v>1414.17</v>
      </c>
      <c r="J28" s="149">
        <v>1414.17</v>
      </c>
      <c r="K28" s="161"/>
      <c r="L28"/>
    </row>
    <row r="29" spans="1:14">
      <c r="A29" s="7">
        <v>21</v>
      </c>
      <c r="B29" s="29" t="s">
        <v>674</v>
      </c>
      <c r="C29" s="29" t="s">
        <v>753</v>
      </c>
      <c r="D29" s="29" t="s">
        <v>794</v>
      </c>
      <c r="E29" s="161" t="s">
        <v>852</v>
      </c>
      <c r="F29" s="7"/>
      <c r="G29" s="251">
        <v>602.74</v>
      </c>
      <c r="H29" s="51">
        <v>0</v>
      </c>
      <c r="I29" s="51">
        <v>602.73</v>
      </c>
      <c r="J29" s="149">
        <v>602.73</v>
      </c>
      <c r="K29" s="161"/>
      <c r="L29"/>
    </row>
    <row r="30" spans="1:14">
      <c r="A30" s="7">
        <v>22</v>
      </c>
      <c r="B30" s="29" t="s">
        <v>715</v>
      </c>
      <c r="C30" s="29" t="s">
        <v>754</v>
      </c>
      <c r="D30" s="61" t="s">
        <v>795</v>
      </c>
      <c r="E30" s="161" t="s">
        <v>852</v>
      </c>
      <c r="F30" s="7"/>
      <c r="G30" s="251">
        <v>1209.94</v>
      </c>
      <c r="H30" s="51">
        <v>0</v>
      </c>
      <c r="I30" s="51">
        <v>1209.94</v>
      </c>
      <c r="J30" s="149">
        <v>1209.94</v>
      </c>
      <c r="K30" s="161"/>
      <c r="L30"/>
    </row>
    <row r="31" spans="1:14">
      <c r="A31" s="7">
        <v>23</v>
      </c>
      <c r="B31" s="29" t="s">
        <v>716</v>
      </c>
      <c r="C31" s="29" t="s">
        <v>439</v>
      </c>
      <c r="D31" s="29" t="s">
        <v>505</v>
      </c>
      <c r="E31" s="161" t="s">
        <v>852</v>
      </c>
      <c r="F31" s="7"/>
      <c r="G31" s="251">
        <v>1489.48</v>
      </c>
      <c r="H31" s="51">
        <v>0</v>
      </c>
      <c r="I31" s="51">
        <v>1489.47</v>
      </c>
      <c r="J31" s="149">
        <v>1489.47</v>
      </c>
      <c r="K31" s="161"/>
      <c r="L31"/>
    </row>
    <row r="32" spans="1:14">
      <c r="A32" s="7">
        <v>24</v>
      </c>
      <c r="B32" s="220" t="s">
        <v>675</v>
      </c>
      <c r="C32" s="29" t="s">
        <v>755</v>
      </c>
      <c r="D32" s="29" t="s">
        <v>796</v>
      </c>
      <c r="E32" s="161" t="s">
        <v>852</v>
      </c>
      <c r="F32" s="7"/>
      <c r="G32" s="251">
        <v>646.42999999999995</v>
      </c>
      <c r="H32" s="51">
        <v>0</v>
      </c>
      <c r="I32" s="51">
        <f>SUM(G32:H32)</f>
        <v>646.42999999999995</v>
      </c>
      <c r="J32" s="149">
        <v>646.42999999999995</v>
      </c>
      <c r="K32" s="161"/>
      <c r="L32"/>
    </row>
    <row r="33" spans="1:12" s="12" customFormat="1" ht="14" customHeight="1">
      <c r="A33" s="7">
        <v>25</v>
      </c>
      <c r="B33" s="29" t="s">
        <v>677</v>
      </c>
      <c r="C33" s="29" t="s">
        <v>755</v>
      </c>
      <c r="D33" s="37" t="s">
        <v>798</v>
      </c>
      <c r="E33" s="161" t="s">
        <v>853</v>
      </c>
      <c r="F33" s="7">
        <v>2</v>
      </c>
      <c r="G33" s="251">
        <v>1741.86</v>
      </c>
      <c r="H33" s="51">
        <v>0</v>
      </c>
      <c r="I33" s="51">
        <v>1741.85</v>
      </c>
      <c r="J33" s="149">
        <v>1741.85</v>
      </c>
      <c r="K33" s="161"/>
      <c r="L33"/>
    </row>
    <row r="34" spans="1:12">
      <c r="A34" s="7">
        <v>26</v>
      </c>
      <c r="B34" s="29" t="s">
        <v>676</v>
      </c>
      <c r="C34" s="29" t="s">
        <v>755</v>
      </c>
      <c r="D34" s="29" t="s">
        <v>797</v>
      </c>
      <c r="E34" s="161" t="s">
        <v>852</v>
      </c>
      <c r="F34" s="7"/>
      <c r="G34" s="251">
        <v>1012.84</v>
      </c>
      <c r="H34" s="51">
        <v>0</v>
      </c>
      <c r="I34" s="51">
        <v>1012.83</v>
      </c>
      <c r="J34" s="149">
        <v>1012.83</v>
      </c>
      <c r="K34" s="161"/>
      <c r="L34"/>
    </row>
    <row r="35" spans="1:12">
      <c r="A35" s="7">
        <v>27</v>
      </c>
      <c r="B35" s="29" t="s">
        <v>678</v>
      </c>
      <c r="C35" s="29" t="s">
        <v>756</v>
      </c>
      <c r="D35" s="37" t="s">
        <v>799</v>
      </c>
      <c r="E35" s="161" t="s">
        <v>852</v>
      </c>
      <c r="F35" s="7"/>
      <c r="G35" s="251">
        <v>1489.48</v>
      </c>
      <c r="H35" s="51">
        <v>0</v>
      </c>
      <c r="I35" s="51">
        <v>1489.47</v>
      </c>
      <c r="J35" s="149">
        <v>1489.47</v>
      </c>
      <c r="K35" s="161"/>
      <c r="L35"/>
    </row>
    <row r="36" spans="1:12">
      <c r="A36" s="7">
        <v>28</v>
      </c>
      <c r="B36" s="29" t="s">
        <v>679</v>
      </c>
      <c r="C36" s="29" t="s">
        <v>756</v>
      </c>
      <c r="D36" s="37" t="s">
        <v>800</v>
      </c>
      <c r="E36" s="161" t="s">
        <v>852</v>
      </c>
      <c r="F36" s="7"/>
      <c r="G36" s="251">
        <v>1426.42</v>
      </c>
      <c r="H36" s="51">
        <v>0</v>
      </c>
      <c r="I36" s="51">
        <v>1426.41</v>
      </c>
      <c r="J36" s="149">
        <v>1426.41</v>
      </c>
      <c r="K36" s="161"/>
      <c r="L36"/>
    </row>
    <row r="37" spans="1:12">
      <c r="A37" s="7">
        <v>29</v>
      </c>
      <c r="B37" s="29" t="s">
        <v>680</v>
      </c>
      <c r="C37" s="29" t="s">
        <v>444</v>
      </c>
      <c r="D37" s="29" t="s">
        <v>506</v>
      </c>
      <c r="E37" s="161" t="s">
        <v>852</v>
      </c>
      <c r="F37" s="7"/>
      <c r="G37" s="251">
        <v>847.02</v>
      </c>
      <c r="H37" s="51">
        <v>0</v>
      </c>
      <c r="I37" s="51">
        <v>847.01</v>
      </c>
      <c r="J37" s="149">
        <v>847.01</v>
      </c>
      <c r="K37" s="161"/>
      <c r="L37"/>
    </row>
    <row r="38" spans="1:12">
      <c r="A38" s="7">
        <v>30</v>
      </c>
      <c r="B38" s="29" t="s">
        <v>682</v>
      </c>
      <c r="C38" s="29" t="s">
        <v>757</v>
      </c>
      <c r="D38" s="29" t="s">
        <v>802</v>
      </c>
      <c r="E38" s="161" t="s">
        <v>854</v>
      </c>
      <c r="F38" s="7">
        <v>1</v>
      </c>
      <c r="G38" s="251">
        <v>1000.52</v>
      </c>
      <c r="H38" s="51">
        <v>0</v>
      </c>
      <c r="I38" s="51">
        <v>1000.51</v>
      </c>
      <c r="J38" s="149">
        <v>1000.51</v>
      </c>
      <c r="K38" s="161"/>
      <c r="L38"/>
    </row>
    <row r="39" spans="1:12">
      <c r="A39" s="7">
        <v>31</v>
      </c>
      <c r="B39" s="29" t="s">
        <v>683</v>
      </c>
      <c r="C39" s="29" t="s">
        <v>757</v>
      </c>
      <c r="D39" s="29" t="s">
        <v>803</v>
      </c>
      <c r="E39" s="161" t="s">
        <v>852</v>
      </c>
      <c r="F39" s="7"/>
      <c r="G39" s="251">
        <v>594.79999999999995</v>
      </c>
      <c r="H39" s="51">
        <v>0</v>
      </c>
      <c r="I39" s="51">
        <v>594.79</v>
      </c>
      <c r="J39" s="149">
        <v>594.79</v>
      </c>
      <c r="K39" s="161"/>
      <c r="L39"/>
    </row>
    <row r="40" spans="1:12">
      <c r="A40" s="7">
        <v>32</v>
      </c>
      <c r="B40" s="29" t="s">
        <v>681</v>
      </c>
      <c r="C40" s="29" t="s">
        <v>757</v>
      </c>
      <c r="D40" s="29" t="s">
        <v>801</v>
      </c>
      <c r="E40" s="161" t="s">
        <v>856</v>
      </c>
      <c r="F40" s="7">
        <v>2</v>
      </c>
      <c r="G40" s="251">
        <v>1390.32</v>
      </c>
      <c r="H40" s="51">
        <v>614.66</v>
      </c>
      <c r="I40" s="51">
        <f>G40+H40</f>
        <v>2004.98</v>
      </c>
      <c r="J40" s="149">
        <v>2004.98</v>
      </c>
      <c r="K40" s="161"/>
      <c r="L40"/>
    </row>
    <row r="41" spans="1:12">
      <c r="A41" s="7">
        <v>33</v>
      </c>
      <c r="B41" s="29" t="s">
        <v>684</v>
      </c>
      <c r="C41" s="29" t="s">
        <v>476</v>
      </c>
      <c r="D41" s="37" t="s">
        <v>804</v>
      </c>
      <c r="E41" s="161" t="s">
        <v>852</v>
      </c>
      <c r="F41" s="7"/>
      <c r="G41" s="251">
        <v>610.67999999999995</v>
      </c>
      <c r="H41" s="51">
        <v>0</v>
      </c>
      <c r="I41" s="51">
        <v>610.67999999999995</v>
      </c>
      <c r="J41" s="149">
        <v>610.67999999999995</v>
      </c>
      <c r="K41" s="161"/>
      <c r="L41"/>
    </row>
    <row r="42" spans="1:12">
      <c r="A42" s="7">
        <v>34</v>
      </c>
      <c r="B42" s="29" t="s">
        <v>686</v>
      </c>
      <c r="C42" s="29" t="s">
        <v>758</v>
      </c>
      <c r="D42" s="29" t="s">
        <v>805</v>
      </c>
      <c r="E42" s="161" t="s">
        <v>852</v>
      </c>
      <c r="F42" s="7"/>
      <c r="G42" s="251">
        <v>539.67999999999995</v>
      </c>
      <c r="H42" s="51">
        <v>0</v>
      </c>
      <c r="I42" s="51">
        <v>539.67999999999995</v>
      </c>
      <c r="J42" s="149">
        <v>539.67999999999995</v>
      </c>
      <c r="K42" s="161"/>
      <c r="L42"/>
    </row>
    <row r="43" spans="1:12">
      <c r="A43" s="7">
        <v>35</v>
      </c>
      <c r="B43" s="29" t="s">
        <v>687</v>
      </c>
      <c r="C43" s="29" t="s">
        <v>478</v>
      </c>
      <c r="D43" s="29" t="s">
        <v>448</v>
      </c>
      <c r="E43" s="161" t="s">
        <v>852</v>
      </c>
      <c r="F43" s="7"/>
      <c r="G43" s="251">
        <v>1489.48</v>
      </c>
      <c r="H43" s="51">
        <v>0</v>
      </c>
      <c r="I43" s="51">
        <v>1489.47</v>
      </c>
      <c r="J43" s="149">
        <v>1489.47</v>
      </c>
      <c r="K43" s="161"/>
      <c r="L43"/>
    </row>
    <row r="44" spans="1:12">
      <c r="A44" s="7">
        <v>36</v>
      </c>
      <c r="B44" s="29" t="s">
        <v>688</v>
      </c>
      <c r="C44" s="29" t="s">
        <v>759</v>
      </c>
      <c r="D44" s="37" t="s">
        <v>806</v>
      </c>
      <c r="E44" s="161" t="s">
        <v>852</v>
      </c>
      <c r="F44" s="7"/>
      <c r="G44" s="251">
        <v>602.74</v>
      </c>
      <c r="H44" s="51">
        <v>0</v>
      </c>
      <c r="I44" s="51">
        <v>602.73</v>
      </c>
      <c r="J44" s="149">
        <v>602.73</v>
      </c>
      <c r="K44" s="161"/>
      <c r="L44"/>
    </row>
    <row r="45" spans="1:12">
      <c r="A45" s="7">
        <v>37</v>
      </c>
      <c r="B45" s="29" t="s">
        <v>689</v>
      </c>
      <c r="C45" s="29" t="s">
        <v>760</v>
      </c>
      <c r="D45" s="29" t="s">
        <v>807</v>
      </c>
      <c r="E45" s="161" t="s">
        <v>852</v>
      </c>
      <c r="F45" s="7"/>
      <c r="G45" s="251">
        <v>508.4</v>
      </c>
      <c r="H45" s="51">
        <v>0</v>
      </c>
      <c r="I45" s="51">
        <v>508.4</v>
      </c>
      <c r="J45" s="149">
        <v>508.4</v>
      </c>
      <c r="K45" s="161"/>
      <c r="L45"/>
    </row>
    <row r="46" spans="1:12">
      <c r="A46" s="7">
        <v>38</v>
      </c>
      <c r="B46" s="29" t="s">
        <v>690</v>
      </c>
      <c r="C46" s="29" t="s">
        <v>761</v>
      </c>
      <c r="D46" s="29" t="s">
        <v>808</v>
      </c>
      <c r="E46" s="161" t="s">
        <v>852</v>
      </c>
      <c r="F46" s="7"/>
      <c r="G46" s="251">
        <v>539.67999999999995</v>
      </c>
      <c r="H46" s="51">
        <v>0</v>
      </c>
      <c r="I46" s="51">
        <v>539.67999999999995</v>
      </c>
      <c r="J46" s="149">
        <v>539.67999999999995</v>
      </c>
      <c r="K46" s="161"/>
      <c r="L46"/>
    </row>
    <row r="47" spans="1:12">
      <c r="A47" s="7">
        <v>39</v>
      </c>
      <c r="B47" s="29" t="s">
        <v>691</v>
      </c>
      <c r="C47" s="29" t="s">
        <v>480</v>
      </c>
      <c r="D47" s="37" t="s">
        <v>809</v>
      </c>
      <c r="E47" s="161" t="s">
        <v>853</v>
      </c>
      <c r="F47" s="7">
        <v>2</v>
      </c>
      <c r="G47" s="251">
        <v>2023.68</v>
      </c>
      <c r="H47" s="51">
        <v>0</v>
      </c>
      <c r="I47" s="51">
        <v>2023.68</v>
      </c>
      <c r="J47" s="149">
        <v>2023.68</v>
      </c>
      <c r="K47" s="161"/>
      <c r="L47"/>
    </row>
    <row r="48" spans="1:12">
      <c r="A48" s="7">
        <v>40</v>
      </c>
      <c r="B48" s="29" t="s">
        <v>692</v>
      </c>
      <c r="C48" s="29" t="s">
        <v>762</v>
      </c>
      <c r="D48" s="29" t="s">
        <v>810</v>
      </c>
      <c r="E48" s="161" t="s">
        <v>854</v>
      </c>
      <c r="F48" s="7">
        <v>1</v>
      </c>
      <c r="G48" s="251">
        <v>1008.46</v>
      </c>
      <c r="H48" s="51">
        <v>0</v>
      </c>
      <c r="I48" s="51">
        <v>1008.45</v>
      </c>
      <c r="J48" s="149">
        <v>1008.45</v>
      </c>
      <c r="K48" s="161"/>
      <c r="L48"/>
    </row>
    <row r="49" spans="1:12">
      <c r="A49" s="7">
        <v>41</v>
      </c>
      <c r="B49" s="29" t="s">
        <v>693</v>
      </c>
      <c r="C49" s="29" t="s">
        <v>763</v>
      </c>
      <c r="D49" s="29" t="s">
        <v>811</v>
      </c>
      <c r="E49" s="161" t="s">
        <v>852</v>
      </c>
      <c r="F49" s="7"/>
      <c r="G49" s="251">
        <v>606.72</v>
      </c>
      <c r="H49" s="51">
        <v>0</v>
      </c>
      <c r="I49" s="51">
        <v>606.71</v>
      </c>
      <c r="J49" s="149">
        <v>606.71</v>
      </c>
      <c r="K49" s="161"/>
      <c r="L49"/>
    </row>
    <row r="50" spans="1:12">
      <c r="A50" s="7">
        <v>42</v>
      </c>
      <c r="B50" s="29" t="s">
        <v>694</v>
      </c>
      <c r="C50" s="29" t="s">
        <v>764</v>
      </c>
      <c r="D50" s="29" t="s">
        <v>812</v>
      </c>
      <c r="E50" s="161" t="s">
        <v>854</v>
      </c>
      <c r="F50" s="7">
        <v>1</v>
      </c>
      <c r="G50" s="251">
        <v>1169.82</v>
      </c>
      <c r="H50" s="51">
        <v>0</v>
      </c>
      <c r="I50" s="51">
        <v>1169.81</v>
      </c>
      <c r="J50" s="149">
        <v>1169.81</v>
      </c>
      <c r="K50" s="161"/>
      <c r="L50"/>
    </row>
    <row r="51" spans="1:12">
      <c r="A51" s="7">
        <v>43</v>
      </c>
      <c r="B51" s="29" t="s">
        <v>695</v>
      </c>
      <c r="C51" s="29" t="s">
        <v>765</v>
      </c>
      <c r="D51" s="29" t="s">
        <v>813</v>
      </c>
      <c r="E51" s="161" t="s">
        <v>854</v>
      </c>
      <c r="F51" s="7">
        <v>1</v>
      </c>
      <c r="G51" s="251">
        <v>1406.64</v>
      </c>
      <c r="H51" s="51">
        <v>0</v>
      </c>
      <c r="I51" s="51">
        <v>1406.63</v>
      </c>
      <c r="J51" s="149">
        <v>1406.63</v>
      </c>
      <c r="K51" s="161"/>
      <c r="L51"/>
    </row>
    <row r="52" spans="1:12">
      <c r="A52" s="7">
        <v>44</v>
      </c>
      <c r="B52" s="29" t="s">
        <v>696</v>
      </c>
      <c r="C52" s="29" t="s">
        <v>766</v>
      </c>
      <c r="D52" s="37" t="s">
        <v>814</v>
      </c>
      <c r="E52" s="161" t="s">
        <v>852</v>
      </c>
      <c r="F52" s="7"/>
      <c r="G52" s="251">
        <v>1158.3</v>
      </c>
      <c r="H52" s="51">
        <v>0</v>
      </c>
      <c r="I52" s="51">
        <v>1158.3</v>
      </c>
      <c r="J52" s="149">
        <v>1158.3</v>
      </c>
      <c r="K52" s="161"/>
      <c r="L52"/>
    </row>
    <row r="53" spans="1:12">
      <c r="A53" s="7">
        <v>45</v>
      </c>
      <c r="B53" s="29" t="s">
        <v>697</v>
      </c>
      <c r="C53" s="29" t="s">
        <v>767</v>
      </c>
      <c r="D53" s="37" t="s">
        <v>815</v>
      </c>
      <c r="E53" s="161" t="s">
        <v>854</v>
      </c>
      <c r="F53" s="7">
        <v>1</v>
      </c>
      <c r="G53" s="251">
        <v>1706.44</v>
      </c>
      <c r="H53" s="51">
        <v>0</v>
      </c>
      <c r="I53" s="51">
        <v>1706.43</v>
      </c>
      <c r="J53" s="149">
        <v>1706.43</v>
      </c>
      <c r="K53" s="161"/>
      <c r="L53"/>
    </row>
    <row r="54" spans="1:12">
      <c r="A54" s="7">
        <v>46</v>
      </c>
      <c r="B54" s="29" t="s">
        <v>732</v>
      </c>
      <c r="C54" s="29" t="s">
        <v>768</v>
      </c>
      <c r="D54" s="37" t="s">
        <v>816</v>
      </c>
      <c r="E54" s="161" t="s">
        <v>852</v>
      </c>
      <c r="F54" s="7"/>
      <c r="G54" s="251">
        <v>1465.64</v>
      </c>
      <c r="H54" s="51">
        <v>0</v>
      </c>
      <c r="I54" s="51">
        <v>1465.63</v>
      </c>
      <c r="J54" s="149">
        <v>1465.63</v>
      </c>
      <c r="K54" s="161"/>
      <c r="L54"/>
    </row>
    <row r="55" spans="1:12">
      <c r="A55" s="7">
        <v>47</v>
      </c>
      <c r="B55" s="29" t="s">
        <v>842</v>
      </c>
      <c r="C55" s="29" t="s">
        <v>769</v>
      </c>
      <c r="D55" s="29" t="s">
        <v>843</v>
      </c>
      <c r="E55" s="161" t="s">
        <v>852</v>
      </c>
      <c r="F55" s="7"/>
      <c r="G55" s="251">
        <v>498.48</v>
      </c>
      <c r="H55" s="51">
        <v>0</v>
      </c>
      <c r="I55" s="51">
        <v>498.47</v>
      </c>
      <c r="J55" s="149">
        <v>498.47</v>
      </c>
      <c r="K55" s="161"/>
      <c r="L55"/>
    </row>
    <row r="56" spans="1:12">
      <c r="A56" s="7">
        <v>48</v>
      </c>
      <c r="B56" s="29" t="s">
        <v>698</v>
      </c>
      <c r="C56" s="29" t="s">
        <v>769</v>
      </c>
      <c r="D56" s="37" t="s">
        <v>817</v>
      </c>
      <c r="E56" s="161" t="s">
        <v>852</v>
      </c>
      <c r="F56" s="7"/>
      <c r="G56" s="251">
        <v>587.34</v>
      </c>
      <c r="H56" s="51">
        <v>0</v>
      </c>
      <c r="I56" s="51">
        <v>587.34</v>
      </c>
      <c r="J56" s="149">
        <v>587.34</v>
      </c>
      <c r="K56" s="225"/>
      <c r="L56"/>
    </row>
    <row r="57" spans="1:12">
      <c r="A57" s="7">
        <v>49</v>
      </c>
      <c r="B57" s="29" t="s">
        <v>699</v>
      </c>
      <c r="C57" s="29" t="s">
        <v>770</v>
      </c>
      <c r="D57" s="29" t="s">
        <v>818</v>
      </c>
      <c r="E57" s="161" t="s">
        <v>852</v>
      </c>
      <c r="F57" s="7"/>
      <c r="G57" s="251">
        <v>1465.64</v>
      </c>
      <c r="H57" s="51">
        <v>0</v>
      </c>
      <c r="I57" s="51">
        <v>1465.63</v>
      </c>
      <c r="J57" s="149">
        <v>1465.63</v>
      </c>
      <c r="K57" s="161"/>
      <c r="L57"/>
    </row>
    <row r="58" spans="1:12">
      <c r="A58" s="7">
        <v>50</v>
      </c>
      <c r="B58" s="29" t="s">
        <v>700</v>
      </c>
      <c r="C58" s="29" t="s">
        <v>771</v>
      </c>
      <c r="D58" s="37" t="s">
        <v>819</v>
      </c>
      <c r="E58" s="161" t="s">
        <v>854</v>
      </c>
      <c r="F58" s="7">
        <v>1</v>
      </c>
      <c r="G58" s="251">
        <v>1706.44</v>
      </c>
      <c r="H58" s="51">
        <v>0</v>
      </c>
      <c r="I58" s="51">
        <v>1706.43</v>
      </c>
      <c r="J58" s="149">
        <v>1706.43</v>
      </c>
      <c r="K58" s="161"/>
      <c r="L58"/>
    </row>
    <row r="59" spans="1:12">
      <c r="A59" s="7">
        <v>51</v>
      </c>
      <c r="B59" s="29" t="s">
        <v>736</v>
      </c>
      <c r="C59" s="29" t="s">
        <v>772</v>
      </c>
      <c r="D59" s="37" t="s">
        <v>820</v>
      </c>
      <c r="E59" s="161" t="s">
        <v>852</v>
      </c>
      <c r="F59" s="7"/>
      <c r="G59" s="251">
        <v>520.32000000000005</v>
      </c>
      <c r="H59" s="51">
        <v>0</v>
      </c>
      <c r="I59" s="51">
        <v>520.32000000000005</v>
      </c>
      <c r="J59" s="149">
        <v>520.32000000000005</v>
      </c>
      <c r="K59" s="161"/>
      <c r="L59"/>
    </row>
    <row r="60" spans="1:12">
      <c r="A60" s="7">
        <v>52</v>
      </c>
      <c r="B60" s="29" t="s">
        <v>702</v>
      </c>
      <c r="C60" s="29" t="s">
        <v>487</v>
      </c>
      <c r="D60" s="29" t="s">
        <v>516</v>
      </c>
      <c r="E60" s="161" t="s">
        <v>852</v>
      </c>
      <c r="F60" s="7"/>
      <c r="G60" s="251">
        <v>925.96</v>
      </c>
      <c r="H60" s="51">
        <v>0</v>
      </c>
      <c r="I60" s="51">
        <v>925.95</v>
      </c>
      <c r="J60" s="149">
        <v>925.95</v>
      </c>
      <c r="K60" s="161"/>
      <c r="L60"/>
    </row>
    <row r="61" spans="1:12">
      <c r="A61" s="7">
        <v>53</v>
      </c>
      <c r="B61" s="29" t="s">
        <v>703</v>
      </c>
      <c r="C61" s="29" t="s">
        <v>488</v>
      </c>
      <c r="D61" s="29" t="s">
        <v>517</v>
      </c>
      <c r="E61" s="161" t="s">
        <v>852</v>
      </c>
      <c r="F61" s="7"/>
      <c r="G61" s="251">
        <v>1489.48</v>
      </c>
      <c r="H61" s="51">
        <v>0</v>
      </c>
      <c r="I61" s="51">
        <v>1489.47</v>
      </c>
      <c r="J61" s="149">
        <v>1489.47</v>
      </c>
      <c r="K61" s="161"/>
      <c r="L61"/>
    </row>
    <row r="62" spans="1:12">
      <c r="A62" s="7">
        <v>54</v>
      </c>
      <c r="B62" s="29" t="s">
        <v>704</v>
      </c>
      <c r="C62" s="29" t="s">
        <v>773</v>
      </c>
      <c r="D62" s="29" t="s">
        <v>821</v>
      </c>
      <c r="E62" s="161" t="s">
        <v>852</v>
      </c>
      <c r="F62" s="7"/>
      <c r="G62" s="251">
        <v>1489.48</v>
      </c>
      <c r="H62" s="51">
        <v>0</v>
      </c>
      <c r="I62" s="51">
        <v>1489.47</v>
      </c>
      <c r="J62" s="149">
        <v>1489.47</v>
      </c>
      <c r="K62" s="161"/>
      <c r="L62"/>
    </row>
    <row r="63" spans="1:12">
      <c r="A63" s="7">
        <v>55</v>
      </c>
      <c r="B63" s="29" t="s">
        <v>705</v>
      </c>
      <c r="C63" s="29" t="s">
        <v>491</v>
      </c>
      <c r="D63" s="29" t="s">
        <v>456</v>
      </c>
      <c r="E63" s="161" t="s">
        <v>852</v>
      </c>
      <c r="F63" s="7"/>
      <c r="G63" s="251">
        <v>744.74</v>
      </c>
      <c r="H63" s="51">
        <v>0</v>
      </c>
      <c r="I63" s="51">
        <v>744.73</v>
      </c>
      <c r="J63" s="149">
        <v>744.73</v>
      </c>
      <c r="K63" s="161"/>
      <c r="L63"/>
    </row>
    <row r="64" spans="1:12">
      <c r="A64" s="7">
        <v>56</v>
      </c>
      <c r="B64" s="29" t="s">
        <v>707</v>
      </c>
      <c r="C64" s="29" t="s">
        <v>774</v>
      </c>
      <c r="D64" s="29" t="s">
        <v>823</v>
      </c>
      <c r="E64" s="161" t="s">
        <v>854</v>
      </c>
      <c r="F64" s="7">
        <v>1</v>
      </c>
      <c r="G64" s="251">
        <v>1272.5</v>
      </c>
      <c r="H64" s="51">
        <v>0</v>
      </c>
      <c r="I64" s="51">
        <v>1272.5</v>
      </c>
      <c r="J64" s="149">
        <v>1272.5</v>
      </c>
      <c r="K64" s="161"/>
      <c r="L64"/>
    </row>
    <row r="65" spans="1:15">
      <c r="A65" s="7">
        <v>57</v>
      </c>
      <c r="B65" s="29" t="s">
        <v>706</v>
      </c>
      <c r="C65" s="29" t="s">
        <v>774</v>
      </c>
      <c r="D65" s="37" t="s">
        <v>822</v>
      </c>
      <c r="E65" s="161" t="s">
        <v>852</v>
      </c>
      <c r="F65" s="7"/>
      <c r="G65" s="251">
        <v>618.62</v>
      </c>
      <c r="H65" s="51">
        <v>0</v>
      </c>
      <c r="I65" s="51">
        <v>618.62</v>
      </c>
      <c r="J65" s="149">
        <v>618.62</v>
      </c>
      <c r="K65" s="161"/>
      <c r="L65"/>
    </row>
    <row r="66" spans="1:15">
      <c r="A66" s="7">
        <v>58</v>
      </c>
      <c r="B66" s="29" t="s">
        <v>708</v>
      </c>
      <c r="C66" s="29" t="s">
        <v>775</v>
      </c>
      <c r="D66" s="37" t="s">
        <v>824</v>
      </c>
      <c r="E66" s="161" t="s">
        <v>854</v>
      </c>
      <c r="F66" s="7">
        <v>1</v>
      </c>
      <c r="G66" s="251">
        <v>1558.48</v>
      </c>
      <c r="H66" s="51">
        <v>0</v>
      </c>
      <c r="I66" s="51">
        <v>1558.47</v>
      </c>
      <c r="J66" s="149">
        <v>1558.47</v>
      </c>
      <c r="K66" s="161"/>
      <c r="L66"/>
    </row>
    <row r="67" spans="1:15">
      <c r="A67" s="7">
        <v>59</v>
      </c>
      <c r="B67" s="29" t="s">
        <v>709</v>
      </c>
      <c r="C67" s="29" t="s">
        <v>776</v>
      </c>
      <c r="D67" s="37" t="s">
        <v>825</v>
      </c>
      <c r="E67" s="161" t="s">
        <v>852</v>
      </c>
      <c r="F67" s="7"/>
      <c r="G67" s="251">
        <v>594.79999999999995</v>
      </c>
      <c r="H67" s="51">
        <v>0</v>
      </c>
      <c r="I67" s="51">
        <v>594.79</v>
      </c>
      <c r="J67" s="149">
        <v>594.79</v>
      </c>
      <c r="K67" s="161"/>
      <c r="L67"/>
    </row>
    <row r="68" spans="1:15">
      <c r="A68" s="7">
        <v>60</v>
      </c>
      <c r="B68" s="29" t="s">
        <v>711</v>
      </c>
      <c r="C68" s="29" t="s">
        <v>777</v>
      </c>
      <c r="D68" s="29" t="s">
        <v>827</v>
      </c>
      <c r="E68" s="161" t="s">
        <v>853</v>
      </c>
      <c r="F68" s="7">
        <v>2</v>
      </c>
      <c r="G68" s="251">
        <v>1681.28</v>
      </c>
      <c r="H68" s="51">
        <v>0</v>
      </c>
      <c r="I68" s="51">
        <v>1681.28</v>
      </c>
      <c r="J68" s="149">
        <v>1681.28</v>
      </c>
      <c r="K68" s="161"/>
      <c r="L68"/>
    </row>
    <row r="69" spans="1:15">
      <c r="A69" s="7">
        <v>61</v>
      </c>
      <c r="B69" s="29" t="s">
        <v>710</v>
      </c>
      <c r="C69" s="29" t="s">
        <v>777</v>
      </c>
      <c r="D69" s="29" t="s">
        <v>826</v>
      </c>
      <c r="E69" s="161" t="s">
        <v>852</v>
      </c>
      <c r="F69" s="7"/>
      <c r="G69" s="251">
        <v>886.72</v>
      </c>
      <c r="H69" s="51">
        <v>0</v>
      </c>
      <c r="I69" s="51">
        <v>886.72</v>
      </c>
      <c r="J69" s="51">
        <v>886.72</v>
      </c>
      <c r="K69" s="161"/>
      <c r="L69"/>
    </row>
    <row r="70" spans="1:15">
      <c r="A70" s="7">
        <v>62</v>
      </c>
      <c r="B70" s="29" t="s">
        <v>712</v>
      </c>
      <c r="C70" s="29" t="s">
        <v>778</v>
      </c>
      <c r="D70" s="37" t="s">
        <v>828</v>
      </c>
      <c r="E70" s="161" t="s">
        <v>852</v>
      </c>
      <c r="F70" s="7"/>
      <c r="G70" s="251">
        <v>587.34</v>
      </c>
      <c r="H70" s="51">
        <v>0</v>
      </c>
      <c r="I70" s="51">
        <v>587.34</v>
      </c>
      <c r="J70" s="149">
        <v>587.34</v>
      </c>
      <c r="K70" s="161"/>
      <c r="L70"/>
    </row>
    <row r="71" spans="1:15">
      <c r="A71" s="7">
        <v>63</v>
      </c>
      <c r="B71" s="29" t="s">
        <v>713</v>
      </c>
      <c r="C71" s="29" t="s">
        <v>778</v>
      </c>
      <c r="D71" s="37" t="s">
        <v>829</v>
      </c>
      <c r="E71" s="161" t="s">
        <v>856</v>
      </c>
      <c r="F71" s="7">
        <v>2</v>
      </c>
      <c r="G71" s="251">
        <v>1402.26</v>
      </c>
      <c r="H71" s="51">
        <v>657.84</v>
      </c>
      <c r="I71" s="51">
        <f>G71+H71</f>
        <v>2060.1</v>
      </c>
      <c r="J71" s="189">
        <v>2060.09</v>
      </c>
      <c r="K71" s="161"/>
      <c r="L71"/>
    </row>
    <row r="72" spans="1:15">
      <c r="A72" s="113"/>
      <c r="E72" s="261"/>
      <c r="F72" s="282"/>
      <c r="G72" s="262"/>
      <c r="H72" s="262"/>
      <c r="I72" s="262"/>
      <c r="J72" s="263"/>
      <c r="K72" s="117"/>
      <c r="N72" s="15"/>
      <c r="O72" s="15"/>
    </row>
    <row r="73" spans="1:15">
      <c r="A73" s="428" t="s">
        <v>652</v>
      </c>
      <c r="B73" s="429"/>
      <c r="C73" s="429"/>
      <c r="D73" s="429"/>
      <c r="E73" s="429"/>
      <c r="F73" s="429"/>
      <c r="G73" s="430"/>
      <c r="H73" s="246"/>
      <c r="I73" s="264">
        <f>SUM(I6:I71)</f>
        <v>72745.430000000008</v>
      </c>
      <c r="J73" s="111">
        <f>SUM(J6:J71)</f>
        <v>72745.41</v>
      </c>
      <c r="K73" s="255"/>
      <c r="L73"/>
    </row>
    <row r="74" spans="1:15">
      <c r="A74" s="431"/>
      <c r="B74" s="453"/>
      <c r="C74" s="432"/>
      <c r="D74" s="141"/>
      <c r="E74" s="271" t="s">
        <v>258</v>
      </c>
      <c r="F74" s="7">
        <v>63</v>
      </c>
      <c r="G74" s="161"/>
      <c r="H74" s="161"/>
      <c r="I74" s="161"/>
      <c r="J74" s="52"/>
      <c r="K74" s="241"/>
      <c r="L74"/>
    </row>
    <row r="75" spans="1:15">
      <c r="A75" s="271"/>
      <c r="B75" s="272"/>
      <c r="C75" s="141"/>
      <c r="D75" s="141"/>
      <c r="E75" s="141" t="s">
        <v>930</v>
      </c>
      <c r="F75" s="7">
        <v>4</v>
      </c>
      <c r="G75" s="161"/>
      <c r="H75" s="161"/>
      <c r="I75" s="161"/>
      <c r="J75" s="52"/>
      <c r="K75" s="241"/>
      <c r="L75"/>
    </row>
    <row r="76" spans="1:15">
      <c r="A76" s="431"/>
      <c r="B76" s="453"/>
      <c r="C76" s="432"/>
      <c r="D76" s="141"/>
      <c r="E76" s="271" t="s">
        <v>931</v>
      </c>
      <c r="F76" s="58">
        <f>SUM(F6:F71)</f>
        <v>29</v>
      </c>
      <c r="G76" s="161"/>
      <c r="H76" s="196"/>
      <c r="I76" s="196"/>
      <c r="J76" s="52"/>
      <c r="K76" s="241"/>
      <c r="L76"/>
    </row>
    <row r="77" spans="1:15">
      <c r="A77" s="433"/>
      <c r="B77" s="454"/>
      <c r="C77" s="434"/>
      <c r="D77" s="92"/>
      <c r="E77" s="91" t="s">
        <v>246</v>
      </c>
      <c r="F77" s="86">
        <f>F74+F76+F75</f>
        <v>96</v>
      </c>
      <c r="G77" s="161"/>
      <c r="H77" s="187"/>
      <c r="I77" s="187"/>
      <c r="J77" s="52"/>
      <c r="K77" s="241"/>
      <c r="L77"/>
    </row>
    <row r="78" spans="1:15">
      <c r="A78" s="455" t="s">
        <v>830</v>
      </c>
      <c r="B78" s="456"/>
      <c r="C78" s="456"/>
      <c r="D78" s="456"/>
      <c r="E78" s="456"/>
      <c r="F78" s="456"/>
      <c r="G78" s="457"/>
      <c r="H78" s="247"/>
      <c r="I78" s="247"/>
      <c r="J78" s="184"/>
      <c r="K78" s="256"/>
      <c r="L78"/>
      <c r="M78" s="15"/>
    </row>
    <row r="79" spans="1:15" s="1" customFormat="1">
      <c r="A79" s="291"/>
      <c r="M79" s="116"/>
    </row>
    <row r="80" spans="1:15" s="287" customFormat="1">
      <c r="A80" s="196"/>
      <c r="B80" t="s">
        <v>954</v>
      </c>
      <c r="C80" s="29" t="s">
        <v>946</v>
      </c>
      <c r="D80" s="29" t="s">
        <v>947</v>
      </c>
      <c r="E80" s="161" t="s">
        <v>852</v>
      </c>
      <c r="F80" s="37"/>
      <c r="G80" s="251">
        <v>508.4</v>
      </c>
      <c r="H80" s="51">
        <v>0</v>
      </c>
      <c r="I80" s="251">
        <v>508.4</v>
      </c>
      <c r="J80" s="294">
        <f>508.4*2</f>
        <v>1016.8</v>
      </c>
      <c r="K80" s="161" t="s">
        <v>940</v>
      </c>
      <c r="M80" s="289"/>
    </row>
    <row r="81" spans="1:15" s="287" customFormat="1">
      <c r="A81" s="196"/>
      <c r="B81" t="s">
        <v>953</v>
      </c>
      <c r="C81" s="29" t="s">
        <v>806</v>
      </c>
      <c r="D81" s="61" t="s">
        <v>952</v>
      </c>
      <c r="E81" s="161" t="s">
        <v>852</v>
      </c>
      <c r="F81" s="58"/>
      <c r="G81" s="251">
        <v>606.71</v>
      </c>
      <c r="H81" s="51">
        <v>0</v>
      </c>
      <c r="I81" s="51">
        <v>606.71</v>
      </c>
      <c r="J81" s="51">
        <v>606.71</v>
      </c>
      <c r="K81" s="161" t="s">
        <v>948</v>
      </c>
      <c r="M81" s="289"/>
    </row>
    <row r="82" spans="1:15" s="287" customFormat="1">
      <c r="A82" s="196"/>
      <c r="B82" t="s">
        <v>951</v>
      </c>
      <c r="C82" s="29" t="s">
        <v>950</v>
      </c>
      <c r="D82" s="161" t="s">
        <v>949</v>
      </c>
      <c r="E82" s="161" t="s">
        <v>852</v>
      </c>
      <c r="F82" s="58"/>
      <c r="G82" s="51">
        <v>1395.13</v>
      </c>
      <c r="H82" s="51">
        <v>0</v>
      </c>
      <c r="I82" s="51">
        <v>1395.13</v>
      </c>
      <c r="J82" s="51">
        <v>1395.13</v>
      </c>
      <c r="K82" s="161" t="s">
        <v>948</v>
      </c>
      <c r="M82" s="289"/>
    </row>
    <row r="83" spans="1:15">
      <c r="A83" s="196"/>
      <c r="B83" s="196"/>
      <c r="C83" s="29"/>
      <c r="D83" s="29"/>
      <c r="E83" s="29"/>
      <c r="F83" s="7"/>
      <c r="G83" s="196"/>
      <c r="H83" s="196"/>
      <c r="I83" s="196"/>
      <c r="J83" s="52"/>
      <c r="K83" s="241"/>
      <c r="L83"/>
      <c r="M83" s="15"/>
    </row>
    <row r="84" spans="1:15" ht="12" customHeight="1">
      <c r="A84" s="428" t="s">
        <v>846</v>
      </c>
      <c r="B84" s="429"/>
      <c r="C84" s="429"/>
      <c r="D84" s="429"/>
      <c r="E84" s="429"/>
      <c r="F84" s="429"/>
      <c r="G84" s="430"/>
      <c r="H84" s="246"/>
      <c r="I84" s="246"/>
      <c r="J84" s="293">
        <f>SUM(J80:J83)</f>
        <v>3018.6400000000003</v>
      </c>
      <c r="K84" s="258"/>
      <c r="L84"/>
    </row>
    <row r="85" spans="1:15" ht="12" customHeight="1">
      <c r="A85" s="172"/>
      <c r="B85" s="173"/>
      <c r="C85" s="173"/>
      <c r="D85" s="173"/>
      <c r="E85" s="173"/>
      <c r="F85" s="281"/>
      <c r="G85" s="167"/>
      <c r="H85" s="167"/>
      <c r="I85" s="167"/>
      <c r="J85" s="83"/>
      <c r="K85" s="259"/>
      <c r="L85"/>
    </row>
    <row r="86" spans="1:15" ht="16">
      <c r="A86" s="450" t="s">
        <v>881</v>
      </c>
      <c r="B86" s="451"/>
      <c r="C86" s="451"/>
      <c r="D86" s="451"/>
      <c r="E86" s="451"/>
      <c r="F86" s="451"/>
      <c r="G86" s="452"/>
      <c r="H86" s="267"/>
      <c r="I86" s="267"/>
      <c r="J86" s="268">
        <f>J73+J84</f>
        <v>75764.05</v>
      </c>
      <c r="K86" s="260"/>
      <c r="L86"/>
    </row>
    <row r="87" spans="1:15" ht="18">
      <c r="G87" s="218" t="s">
        <v>250</v>
      </c>
      <c r="H87" s="238">
        <v>45097</v>
      </c>
      <c r="I87"/>
      <c r="J87"/>
      <c r="K87"/>
      <c r="L87"/>
    </row>
    <row r="88" spans="1:15" ht="18">
      <c r="G88" s="218" t="s">
        <v>251</v>
      </c>
      <c r="H88" s="239" t="s">
        <v>653</v>
      </c>
      <c r="I88"/>
      <c r="J88"/>
      <c r="K88"/>
      <c r="L88"/>
    </row>
    <row r="90" spans="1:15">
      <c r="H90" s="269">
        <f>H6+H18+H40+H71</f>
        <v>3057.38</v>
      </c>
      <c r="J90" s="270">
        <f>J86-H90</f>
        <v>72706.67</v>
      </c>
    </row>
    <row r="91" spans="1:15">
      <c r="H91" s="269"/>
      <c r="J91" s="270"/>
    </row>
    <row r="93" spans="1:15" s="3" customFormat="1">
      <c r="A93"/>
      <c r="B93"/>
      <c r="C93"/>
      <c r="D93"/>
      <c r="E93"/>
      <c r="G93" s="216"/>
      <c r="H93" s="216"/>
      <c r="I93" s="216"/>
      <c r="K93" s="152"/>
      <c r="L93" s="216"/>
      <c r="M93"/>
      <c r="N93"/>
      <c r="O93"/>
    </row>
  </sheetData>
  <autoFilter ref="A4:L71" xr:uid="{EC283F26-1258-B84E-AE05-5C35489C3CC6}">
    <sortState xmlns:xlrd2="http://schemas.microsoft.com/office/spreadsheetml/2017/richdata2" ref="A5:L71">
      <sortCondition ref="C4:C71"/>
    </sortState>
  </autoFilter>
  <mergeCells count="7">
    <mergeCell ref="A86:G86"/>
    <mergeCell ref="A73:G73"/>
    <mergeCell ref="A74:C74"/>
    <mergeCell ref="A76:C76"/>
    <mergeCell ref="A77:C77"/>
    <mergeCell ref="A78:G78"/>
    <mergeCell ref="A84:G84"/>
  </mergeCells>
  <conditionalFormatting sqref="B4 B8:B10">
    <cfRule type="duplicateValues" dxfId="1317" priority="24"/>
  </conditionalFormatting>
  <conditionalFormatting sqref="B8:B11 B13:B71">
    <cfRule type="duplicateValues" dxfId="1316" priority="25"/>
  </conditionalFormatting>
  <conditionalFormatting sqref="B11 B13:B71">
    <cfRule type="duplicateValues" dxfId="1315" priority="26"/>
  </conditionalFormatting>
  <conditionalFormatting sqref="B81">
    <cfRule type="duplicateValues" dxfId="1314" priority="4"/>
    <cfRule type="duplicateValues" dxfId="1313" priority="5"/>
  </conditionalFormatting>
  <conditionalFormatting sqref="B82">
    <cfRule type="duplicateValues" dxfId="1312" priority="2"/>
    <cfRule type="duplicateValues" dxfId="1311" priority="3"/>
  </conditionalFormatting>
  <conditionalFormatting sqref="C91">
    <cfRule type="duplicateValues" dxfId="1310" priority="16"/>
    <cfRule type="duplicateValues" dxfId="1309" priority="17"/>
  </conditionalFormatting>
  <conditionalFormatting sqref="C93">
    <cfRule type="duplicateValues" dxfId="1308" priority="14"/>
    <cfRule type="duplicateValues" dxfId="1307" priority="15"/>
  </conditionalFormatting>
  <conditionalFormatting sqref="C95">
    <cfRule type="duplicateValues" dxfId="1306" priority="12"/>
    <cfRule type="duplicateValues" dxfId="1305" priority="13"/>
  </conditionalFormatting>
  <conditionalFormatting sqref="C83:F83">
    <cfRule type="duplicateValues" dxfId="1304" priority="23"/>
  </conditionalFormatting>
  <conditionalFormatting sqref="C84:F88 E72:F73 E78:F78 C73:D78 E1:F3 C1:D4">
    <cfRule type="duplicateValues" dxfId="1303" priority="20"/>
  </conditionalFormatting>
  <conditionalFormatting sqref="C84:F89 E1:F3 C1:D4 E72:F73 E78:F78 C73:D78 D91:F91 D93:F93 C92:F92 C96:F1048576 D95:F95 C94:F94">
    <cfRule type="duplicateValues" dxfId="1302" priority="19"/>
  </conditionalFormatting>
  <conditionalFormatting sqref="C89:F89 D91:F91 D93:F93 C92:F92 C96:F1048576 D95:F95 C94:F94">
    <cfRule type="duplicateValues" dxfId="1301" priority="22"/>
  </conditionalFormatting>
  <conditionalFormatting sqref="E75">
    <cfRule type="duplicateValues" dxfId="1300" priority="8"/>
    <cfRule type="duplicateValues" dxfId="1299" priority="9"/>
  </conditionalFormatting>
  <conditionalFormatting sqref="E80">
    <cfRule type="containsText" dxfId="1298" priority="7" operator="containsText" text="Spouse">
      <formula>NOT(ISERROR(SEARCH("Spouse",E80)))</formula>
    </cfRule>
  </conditionalFormatting>
  <conditionalFormatting sqref="E72:F72">
    <cfRule type="duplicateValues" dxfId="1297" priority="21"/>
  </conditionalFormatting>
  <conditionalFormatting sqref="G1:H3 E4:G8 E9:F9 E10:G71 G72:I73 F74:F77 H74:I77 G78:I78 G80:G81 E81:F82 G83:I1048576">
    <cfRule type="containsText" dxfId="1296" priority="10" operator="containsText" text="Spouse">
      <formula>NOT(ISERROR(SEARCH("Spouse",E1)))</formula>
    </cfRule>
  </conditionalFormatting>
  <conditionalFormatting sqref="I7">
    <cfRule type="containsText" dxfId="1295" priority="6" operator="containsText" text="Spouse">
      <formula>NOT(ISERROR(SEARCH("Spouse",I7)))</formula>
    </cfRule>
  </conditionalFormatting>
  <conditionalFormatting sqref="I80">
    <cfRule type="containsText" dxfId="1294" priority="1" operator="containsText" text="Spouse">
      <formula>NOT(ISERROR(SEARCH("Spouse",I80)))</formula>
    </cfRule>
  </conditionalFormatting>
  <conditionalFormatting sqref="K5:K7 K11:K15 K18:K21 K23:K36 K80:K82">
    <cfRule type="notContainsBlanks" dxfId="1293" priority="11">
      <formula>LEN(TRIM(K5))&gt;0</formula>
    </cfRule>
  </conditionalFormatting>
  <conditionalFormatting sqref="K38:K55 K57:K68 L72 K73:K78 K84:K86">
    <cfRule type="notContainsBlanks" dxfId="1292" priority="18">
      <formula>LEN(TRIM(K38))&gt;0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3A1E-6FD5-9B4D-993E-A7EDB772A40D}">
  <sheetPr>
    <tabColor theme="7" tint="0.59999389629810485"/>
    <pageSetUpPr fitToPage="1"/>
  </sheetPr>
  <dimension ref="A1:O89"/>
  <sheetViews>
    <sheetView zoomScale="120" zoomScaleNormal="120" zoomScalePageLayoutView="140" workbookViewId="0">
      <pane xSplit="4" ySplit="4" topLeftCell="E52" activePane="bottomRight" state="frozen"/>
      <selection activeCell="D65" sqref="D65"/>
      <selection pane="topRight" activeCell="D65" sqref="D65"/>
      <selection pane="bottomLeft" activeCell="D65" sqref="D65"/>
      <selection pane="bottomRight" activeCell="K29" sqref="K29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9.1640625" customWidth="1"/>
    <col min="4" max="4" width="23.83203125" bestFit="1" customWidth="1"/>
    <col min="5" max="5" width="23.83203125" customWidth="1"/>
    <col min="6" max="6" width="10.1640625" style="3" customWidth="1"/>
    <col min="7" max="7" width="13.6640625" style="216" customWidth="1"/>
    <col min="8" max="8" width="12.832031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45078</v>
      </c>
      <c r="K2" s="230"/>
    </row>
    <row r="3" spans="1:14" ht="14" customHeight="1">
      <c r="J3" s="201"/>
      <c r="K3" s="231" t="s">
        <v>832</v>
      </c>
    </row>
    <row r="4" spans="1:14" ht="28">
      <c r="A4" s="50" t="s">
        <v>226</v>
      </c>
      <c r="B4" s="219" t="s">
        <v>500</v>
      </c>
      <c r="C4" s="50" t="s">
        <v>498</v>
      </c>
      <c r="D4" s="50" t="s">
        <v>499</v>
      </c>
      <c r="E4" s="279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7">
        <v>1</v>
      </c>
      <c r="B5" s="29" t="s">
        <v>741</v>
      </c>
      <c r="C5" s="29" t="s">
        <v>742</v>
      </c>
      <c r="D5" s="29" t="s">
        <v>779</v>
      </c>
      <c r="E5" s="161" t="s">
        <v>851</v>
      </c>
      <c r="F5" s="7"/>
      <c r="G5" s="251">
        <v>1158.3</v>
      </c>
      <c r="H5" s="51">
        <v>1158.3</v>
      </c>
      <c r="I5" s="51">
        <f>G5+H5</f>
        <v>2316.6</v>
      </c>
      <c r="J5" s="149">
        <v>2316.6</v>
      </c>
      <c r="K5" s="161"/>
      <c r="L5"/>
    </row>
    <row r="6" spans="1:14">
      <c r="A6" s="7"/>
      <c r="B6" s="29"/>
      <c r="C6" s="29" t="s">
        <v>946</v>
      </c>
      <c r="D6" s="29" t="s">
        <v>947</v>
      </c>
      <c r="E6" s="161" t="s">
        <v>852</v>
      </c>
      <c r="F6" s="7"/>
      <c r="G6" s="251"/>
      <c r="H6" s="51"/>
      <c r="I6" s="51"/>
      <c r="J6" s="149"/>
      <c r="K6" s="161"/>
      <c r="L6"/>
    </row>
    <row r="7" spans="1:14">
      <c r="A7" s="7">
        <v>2</v>
      </c>
      <c r="B7" s="29" t="s">
        <v>658</v>
      </c>
      <c r="C7" s="29" t="s">
        <v>743</v>
      </c>
      <c r="D7" s="161" t="s">
        <v>780</v>
      </c>
      <c r="E7" s="161" t="s">
        <v>852</v>
      </c>
      <c r="F7" s="7"/>
      <c r="G7" s="251">
        <v>498.48</v>
      </c>
      <c r="H7" s="51">
        <v>0</v>
      </c>
      <c r="I7" s="51">
        <v>498.47</v>
      </c>
      <c r="J7" s="149">
        <v>498.47</v>
      </c>
      <c r="K7" s="161"/>
      <c r="L7"/>
    </row>
    <row r="8" spans="1:14">
      <c r="A8" s="7">
        <v>3</v>
      </c>
      <c r="B8" s="29" t="s">
        <v>659</v>
      </c>
      <c r="C8" s="29" t="s">
        <v>744</v>
      </c>
      <c r="D8" s="161" t="s">
        <v>781</v>
      </c>
      <c r="E8" s="161" t="s">
        <v>853</v>
      </c>
      <c r="F8" s="7">
        <v>2</v>
      </c>
      <c r="G8" s="251">
        <v>1637.1</v>
      </c>
      <c r="H8" s="51">
        <v>0</v>
      </c>
      <c r="I8" s="51">
        <v>1637.09</v>
      </c>
      <c r="J8" s="160">
        <v>1637.09</v>
      </c>
      <c r="K8" s="161"/>
      <c r="L8"/>
    </row>
    <row r="9" spans="1:14">
      <c r="A9" s="7">
        <v>4</v>
      </c>
      <c r="B9" s="29" t="s">
        <v>660</v>
      </c>
      <c r="C9" s="29" t="s">
        <v>462</v>
      </c>
      <c r="D9" s="29" t="s">
        <v>425</v>
      </c>
      <c r="E9" s="161" t="s">
        <v>853</v>
      </c>
      <c r="F9" s="7">
        <v>2</v>
      </c>
      <c r="G9" s="251">
        <v>1607.22</v>
      </c>
      <c r="H9" s="51">
        <v>0</v>
      </c>
      <c r="I9" s="51">
        <v>1607.22</v>
      </c>
      <c r="J9" s="149">
        <v>1607.22</v>
      </c>
      <c r="K9" s="161"/>
      <c r="L9"/>
    </row>
    <row r="10" spans="1:14">
      <c r="A10" s="7">
        <v>5</v>
      </c>
      <c r="B10" s="29" t="s">
        <v>833</v>
      </c>
      <c r="C10" s="29" t="s">
        <v>834</v>
      </c>
      <c r="D10" s="29" t="s">
        <v>835</v>
      </c>
      <c r="E10" s="161" t="s">
        <v>852</v>
      </c>
      <c r="F10" s="7"/>
      <c r="G10" s="251">
        <v>614.66</v>
      </c>
      <c r="H10" s="51">
        <v>0</v>
      </c>
      <c r="I10" s="51">
        <v>614.65</v>
      </c>
      <c r="J10" s="149">
        <v>614.65</v>
      </c>
      <c r="K10" s="161"/>
      <c r="L10"/>
    </row>
    <row r="11" spans="1:14">
      <c r="A11" s="7">
        <v>6</v>
      </c>
      <c r="B11" s="29" t="s">
        <v>661</v>
      </c>
      <c r="C11" s="29" t="s">
        <v>460</v>
      </c>
      <c r="D11" s="29" t="s">
        <v>426</v>
      </c>
      <c r="E11" s="161" t="s">
        <v>852</v>
      </c>
      <c r="F11" s="7"/>
      <c r="G11" s="251">
        <v>1292.3599999999999</v>
      </c>
      <c r="H11" s="51">
        <v>0</v>
      </c>
      <c r="I11" s="51">
        <v>1292.3499999999999</v>
      </c>
      <c r="J11" s="149">
        <v>1292.3499999999999</v>
      </c>
      <c r="K11" s="161"/>
      <c r="L11"/>
    </row>
    <row r="12" spans="1:14">
      <c r="A12" s="7">
        <v>7</v>
      </c>
      <c r="B12" s="29" t="s">
        <v>837</v>
      </c>
      <c r="C12" s="29" t="s">
        <v>745</v>
      </c>
      <c r="D12" s="61" t="s">
        <v>838</v>
      </c>
      <c r="E12" s="161" t="s">
        <v>852</v>
      </c>
      <c r="F12" s="7"/>
      <c r="G12" s="251">
        <v>776.02</v>
      </c>
      <c r="H12" s="51">
        <v>0</v>
      </c>
      <c r="I12" s="51">
        <v>776.01</v>
      </c>
      <c r="J12" s="149">
        <v>776.01</v>
      </c>
      <c r="K12" s="161"/>
      <c r="L12"/>
    </row>
    <row r="13" spans="1:14" s="1" customFormat="1">
      <c r="A13" s="7">
        <v>8</v>
      </c>
      <c r="B13" s="29" t="s">
        <v>663</v>
      </c>
      <c r="C13" s="29" t="s">
        <v>745</v>
      </c>
      <c r="D13" s="37" t="s">
        <v>784</v>
      </c>
      <c r="E13" s="161" t="s">
        <v>852</v>
      </c>
      <c r="F13" s="7"/>
      <c r="G13" s="251">
        <v>587.34</v>
      </c>
      <c r="H13" s="51">
        <v>0</v>
      </c>
      <c r="I13" s="51">
        <v>587.34</v>
      </c>
      <c r="J13" s="149">
        <v>587.34</v>
      </c>
      <c r="K13" s="161"/>
      <c r="L13"/>
      <c r="M13"/>
      <c r="N13"/>
    </row>
    <row r="14" spans="1:14" s="1" customFormat="1">
      <c r="A14" s="7">
        <v>9</v>
      </c>
      <c r="B14" s="29" t="s">
        <v>662</v>
      </c>
      <c r="C14" s="29" t="s">
        <v>745</v>
      </c>
      <c r="D14" s="61" t="s">
        <v>783</v>
      </c>
      <c r="E14" s="161" t="s">
        <v>852</v>
      </c>
      <c r="F14" s="7"/>
      <c r="G14" s="251">
        <v>618.62</v>
      </c>
      <c r="H14" s="51">
        <v>0</v>
      </c>
      <c r="I14" s="51">
        <v>618.62</v>
      </c>
      <c r="J14" s="149">
        <v>618.62</v>
      </c>
      <c r="L14"/>
      <c r="M14"/>
      <c r="N14"/>
    </row>
    <row r="15" spans="1:14">
      <c r="A15" s="7">
        <v>10</v>
      </c>
      <c r="B15" s="29" t="s">
        <v>839</v>
      </c>
      <c r="C15" s="29" t="s">
        <v>840</v>
      </c>
      <c r="D15" s="29" t="s">
        <v>841</v>
      </c>
      <c r="E15" s="161" t="s">
        <v>855</v>
      </c>
      <c r="F15" s="7">
        <v>1</v>
      </c>
      <c r="G15" s="251">
        <v>1012.42</v>
      </c>
      <c r="H15" s="51">
        <v>626.58000000000004</v>
      </c>
      <c r="I15" s="51">
        <f>G15+H15</f>
        <v>1639</v>
      </c>
      <c r="J15" s="149">
        <v>1638.99</v>
      </c>
      <c r="K15" s="161"/>
      <c r="L15"/>
    </row>
    <row r="16" spans="1:14">
      <c r="A16" s="7">
        <v>11</v>
      </c>
      <c r="B16" s="29" t="s">
        <v>664</v>
      </c>
      <c r="C16" s="29" t="s">
        <v>746</v>
      </c>
      <c r="D16" s="29" t="s">
        <v>785</v>
      </c>
      <c r="E16" s="161" t="s">
        <v>854</v>
      </c>
      <c r="F16" s="7">
        <v>1</v>
      </c>
      <c r="G16" s="251">
        <v>1843.96</v>
      </c>
      <c r="H16" s="51">
        <v>0</v>
      </c>
      <c r="I16" s="51">
        <v>1843.95</v>
      </c>
      <c r="J16" s="149">
        <v>1843.95</v>
      </c>
      <c r="K16" s="161"/>
      <c r="L16"/>
    </row>
    <row r="17" spans="1:14">
      <c r="A17" s="7">
        <v>12</v>
      </c>
      <c r="B17" s="29" t="s">
        <v>665</v>
      </c>
      <c r="C17" s="29" t="s">
        <v>746</v>
      </c>
      <c r="D17" s="29" t="s">
        <v>786</v>
      </c>
      <c r="E17" s="161" t="s">
        <v>852</v>
      </c>
      <c r="F17" s="7"/>
      <c r="G17" s="251">
        <v>626.58000000000004</v>
      </c>
      <c r="H17" s="51">
        <v>0</v>
      </c>
      <c r="I17" s="51">
        <v>626.57000000000005</v>
      </c>
      <c r="J17" s="149">
        <v>626.57000000000005</v>
      </c>
      <c r="K17" s="161"/>
      <c r="L17"/>
    </row>
    <row r="18" spans="1:14">
      <c r="A18" s="7">
        <v>13</v>
      </c>
      <c r="B18" s="29" t="s">
        <v>666</v>
      </c>
      <c r="C18" s="29" t="s">
        <v>747</v>
      </c>
      <c r="D18" s="37" t="s">
        <v>787</v>
      </c>
      <c r="E18" s="161" t="s">
        <v>854</v>
      </c>
      <c r="F18" s="7">
        <v>1</v>
      </c>
      <c r="G18" s="251">
        <v>996.54</v>
      </c>
      <c r="H18" s="51">
        <v>0</v>
      </c>
      <c r="I18" s="51">
        <v>996.53</v>
      </c>
      <c r="J18" s="149">
        <v>996.53</v>
      </c>
      <c r="K18" s="161"/>
      <c r="L18"/>
    </row>
    <row r="19" spans="1:14">
      <c r="A19" s="7">
        <v>14</v>
      </c>
      <c r="B19" s="220" t="s">
        <v>934</v>
      </c>
      <c r="C19" s="29" t="s">
        <v>932</v>
      </c>
      <c r="D19" s="37" t="s">
        <v>933</v>
      </c>
      <c r="E19" s="161" t="s">
        <v>852</v>
      </c>
      <c r="F19" s="7"/>
      <c r="G19" s="251">
        <v>539.67999999999995</v>
      </c>
      <c r="H19" s="51">
        <v>0</v>
      </c>
      <c r="I19" s="51">
        <v>539.67999999999995</v>
      </c>
      <c r="J19" s="149">
        <v>539.67999999999995</v>
      </c>
      <c r="L19"/>
    </row>
    <row r="20" spans="1:14" s="1" customFormat="1">
      <c r="A20" s="7">
        <v>15</v>
      </c>
      <c r="B20" s="29" t="s">
        <v>667</v>
      </c>
      <c r="C20" s="29" t="s">
        <v>466</v>
      </c>
      <c r="D20" s="29" t="s">
        <v>431</v>
      </c>
      <c r="E20" s="161" t="s">
        <v>853</v>
      </c>
      <c r="F20" s="7">
        <v>2</v>
      </c>
      <c r="G20" s="251">
        <v>1881.68</v>
      </c>
      <c r="H20" s="51">
        <v>0</v>
      </c>
      <c r="I20" s="51">
        <v>1881.68</v>
      </c>
      <c r="J20" s="189">
        <v>1881.68</v>
      </c>
      <c r="K20" s="161"/>
      <c r="L20"/>
      <c r="M20"/>
      <c r="N20"/>
    </row>
    <row r="21" spans="1:14">
      <c r="A21" s="7">
        <v>16</v>
      </c>
      <c r="B21" s="29" t="s">
        <v>668</v>
      </c>
      <c r="C21" s="29" t="s">
        <v>748</v>
      </c>
      <c r="D21" s="37" t="s">
        <v>788</v>
      </c>
      <c r="E21" s="161" t="s">
        <v>852</v>
      </c>
      <c r="F21" s="7"/>
      <c r="G21" s="251">
        <v>1107.1600000000001</v>
      </c>
      <c r="H21" s="51">
        <v>0</v>
      </c>
      <c r="I21" s="51">
        <v>1107.1600000000001</v>
      </c>
      <c r="J21" s="149">
        <v>1107.1600000000001</v>
      </c>
      <c r="K21" s="161"/>
      <c r="L21"/>
    </row>
    <row r="22" spans="1:14">
      <c r="A22" s="7">
        <v>17</v>
      </c>
      <c r="B22" s="29" t="s">
        <v>669</v>
      </c>
      <c r="C22" s="29" t="s">
        <v>749</v>
      </c>
      <c r="D22" s="37" t="s">
        <v>789</v>
      </c>
      <c r="E22" s="161" t="s">
        <v>852</v>
      </c>
      <c r="F22" s="7"/>
      <c r="G22" s="251">
        <v>539.67999999999995</v>
      </c>
      <c r="H22" s="51">
        <v>0</v>
      </c>
      <c r="I22" s="51">
        <v>539.67999999999995</v>
      </c>
      <c r="J22" s="149">
        <v>539.67999999999995</v>
      </c>
      <c r="K22" s="161"/>
      <c r="L22"/>
    </row>
    <row r="23" spans="1:14">
      <c r="A23" s="7">
        <v>18</v>
      </c>
      <c r="B23" s="29" t="s">
        <v>729</v>
      </c>
      <c r="C23" s="29" t="s">
        <v>750</v>
      </c>
      <c r="D23" s="37" t="s">
        <v>790</v>
      </c>
      <c r="E23" s="161" t="s">
        <v>852</v>
      </c>
      <c r="F23" s="7"/>
      <c r="G23" s="251">
        <v>618.62</v>
      </c>
      <c r="H23" s="51">
        <v>0</v>
      </c>
      <c r="I23" s="51">
        <v>618.62</v>
      </c>
      <c r="J23" s="149">
        <v>618.62</v>
      </c>
      <c r="K23" s="161"/>
      <c r="L23"/>
    </row>
    <row r="24" spans="1:14">
      <c r="A24" s="7">
        <v>19</v>
      </c>
      <c r="B24" s="29" t="s">
        <v>671</v>
      </c>
      <c r="C24" s="29" t="s">
        <v>751</v>
      </c>
      <c r="D24" s="29" t="s">
        <v>791</v>
      </c>
      <c r="E24" s="161" t="s">
        <v>852</v>
      </c>
      <c r="F24" s="7"/>
      <c r="G24" s="251">
        <v>1489.48</v>
      </c>
      <c r="H24" s="51">
        <v>0</v>
      </c>
      <c r="I24" s="51">
        <v>1489.47</v>
      </c>
      <c r="J24" s="149">
        <v>1489.47</v>
      </c>
      <c r="K24" s="161"/>
      <c r="L24"/>
    </row>
    <row r="25" spans="1:14">
      <c r="A25" s="7">
        <v>20</v>
      </c>
      <c r="B25" s="29" t="s">
        <v>672</v>
      </c>
      <c r="C25" s="29" t="s">
        <v>752</v>
      </c>
      <c r="D25" s="29" t="s">
        <v>792</v>
      </c>
      <c r="E25" s="161" t="s">
        <v>853</v>
      </c>
      <c r="F25" s="7">
        <v>2</v>
      </c>
      <c r="G25" s="251">
        <v>1414.18</v>
      </c>
      <c r="H25" s="51">
        <v>0</v>
      </c>
      <c r="I25" s="51">
        <v>1414.17</v>
      </c>
      <c r="J25" s="149">
        <v>1414.17</v>
      </c>
      <c r="K25" s="161"/>
      <c r="L25"/>
    </row>
    <row r="26" spans="1:14">
      <c r="A26" s="7">
        <v>21</v>
      </c>
      <c r="B26" s="29" t="s">
        <v>674</v>
      </c>
      <c r="C26" s="29" t="s">
        <v>753</v>
      </c>
      <c r="D26" s="29" t="s">
        <v>794</v>
      </c>
      <c r="E26" s="161" t="s">
        <v>852</v>
      </c>
      <c r="F26" s="7"/>
      <c r="G26" s="251">
        <v>602.74</v>
      </c>
      <c r="H26" s="51">
        <v>0</v>
      </c>
      <c r="I26" s="51">
        <v>602.73</v>
      </c>
      <c r="J26" s="149">
        <v>602.73</v>
      </c>
      <c r="K26" s="161"/>
      <c r="L26"/>
    </row>
    <row r="27" spans="1:14">
      <c r="A27" s="7">
        <v>22</v>
      </c>
      <c r="B27" s="29" t="s">
        <v>715</v>
      </c>
      <c r="C27" s="29" t="s">
        <v>754</v>
      </c>
      <c r="D27" s="61" t="s">
        <v>795</v>
      </c>
      <c r="E27" s="161" t="s">
        <v>852</v>
      </c>
      <c r="F27" s="7"/>
      <c r="G27" s="251">
        <v>1209.94</v>
      </c>
      <c r="H27" s="51">
        <v>0</v>
      </c>
      <c r="I27" s="51">
        <v>1209.94</v>
      </c>
      <c r="J27" s="149">
        <v>1209.94</v>
      </c>
      <c r="K27" s="161"/>
      <c r="L27"/>
    </row>
    <row r="28" spans="1:14">
      <c r="A28" s="7">
        <v>23</v>
      </c>
      <c r="B28" s="29" t="s">
        <v>716</v>
      </c>
      <c r="C28" s="29" t="s">
        <v>439</v>
      </c>
      <c r="D28" s="29" t="s">
        <v>505</v>
      </c>
      <c r="E28" s="161" t="s">
        <v>852</v>
      </c>
      <c r="F28" s="7"/>
      <c r="G28" s="251">
        <v>1489.48</v>
      </c>
      <c r="H28" s="51">
        <v>0</v>
      </c>
      <c r="I28" s="51">
        <v>1489.47</v>
      </c>
      <c r="J28" s="149">
        <v>1489.47</v>
      </c>
      <c r="K28" s="161"/>
      <c r="L28"/>
    </row>
    <row r="29" spans="1:14">
      <c r="A29" s="7">
        <v>24</v>
      </c>
      <c r="B29" s="220" t="s">
        <v>675</v>
      </c>
      <c r="C29" s="29" t="s">
        <v>755</v>
      </c>
      <c r="D29" s="29" t="s">
        <v>796</v>
      </c>
      <c r="E29" s="161" t="s">
        <v>852</v>
      </c>
      <c r="F29" s="7"/>
      <c r="G29" s="251">
        <v>646.42999999999995</v>
      </c>
      <c r="H29" s="51">
        <v>0</v>
      </c>
      <c r="I29" s="51">
        <f>SUM(G29:H29)</f>
        <v>646.42999999999995</v>
      </c>
      <c r="J29" s="149">
        <v>646.42999999999995</v>
      </c>
      <c r="K29" s="161"/>
      <c r="L29"/>
    </row>
    <row r="30" spans="1:14" s="12" customFormat="1" ht="14" customHeight="1">
      <c r="A30" s="7">
        <v>25</v>
      </c>
      <c r="B30" s="29" t="s">
        <v>677</v>
      </c>
      <c r="C30" s="29" t="s">
        <v>755</v>
      </c>
      <c r="D30" s="37" t="s">
        <v>798</v>
      </c>
      <c r="E30" s="161" t="s">
        <v>853</v>
      </c>
      <c r="F30" s="7">
        <v>2</v>
      </c>
      <c r="G30" s="251">
        <v>1741.86</v>
      </c>
      <c r="H30" s="51">
        <v>0</v>
      </c>
      <c r="I30" s="51">
        <v>1741.85</v>
      </c>
      <c r="J30" s="149">
        <v>1741.85</v>
      </c>
      <c r="K30" s="161"/>
      <c r="L30"/>
    </row>
    <row r="31" spans="1:14">
      <c r="A31" s="7">
        <v>26</v>
      </c>
      <c r="B31" s="29" t="s">
        <v>676</v>
      </c>
      <c r="C31" s="29" t="s">
        <v>755</v>
      </c>
      <c r="D31" s="29" t="s">
        <v>797</v>
      </c>
      <c r="E31" s="161" t="s">
        <v>852</v>
      </c>
      <c r="F31" s="7"/>
      <c r="G31" s="251">
        <v>1012.84</v>
      </c>
      <c r="H31" s="51">
        <v>0</v>
      </c>
      <c r="I31" s="51">
        <v>1012.83</v>
      </c>
      <c r="J31" s="149">
        <v>1012.83</v>
      </c>
      <c r="K31" s="161"/>
      <c r="L31"/>
    </row>
    <row r="32" spans="1:14">
      <c r="A32" s="7">
        <v>27</v>
      </c>
      <c r="B32" s="29" t="s">
        <v>678</v>
      </c>
      <c r="C32" s="29" t="s">
        <v>756</v>
      </c>
      <c r="D32" s="37" t="s">
        <v>799</v>
      </c>
      <c r="E32" s="161" t="s">
        <v>852</v>
      </c>
      <c r="F32" s="7"/>
      <c r="G32" s="251">
        <v>1489.48</v>
      </c>
      <c r="H32" s="51">
        <v>0</v>
      </c>
      <c r="I32" s="51">
        <v>1489.47</v>
      </c>
      <c r="J32" s="149">
        <v>1489.47</v>
      </c>
      <c r="K32" s="161"/>
      <c r="L32"/>
    </row>
    <row r="33" spans="1:12">
      <c r="A33" s="7">
        <v>28</v>
      </c>
      <c r="B33" s="29" t="s">
        <v>679</v>
      </c>
      <c r="C33" s="29" t="s">
        <v>756</v>
      </c>
      <c r="D33" s="37" t="s">
        <v>800</v>
      </c>
      <c r="E33" s="161" t="s">
        <v>852</v>
      </c>
      <c r="F33" s="7"/>
      <c r="G33" s="251">
        <v>1426.42</v>
      </c>
      <c r="H33" s="51">
        <v>0</v>
      </c>
      <c r="I33" s="51">
        <v>1426.41</v>
      </c>
      <c r="J33" s="149">
        <v>1426.41</v>
      </c>
      <c r="K33" s="161"/>
      <c r="L33"/>
    </row>
    <row r="34" spans="1:12">
      <c r="A34" s="7">
        <v>29</v>
      </c>
      <c r="B34" s="29" t="s">
        <v>680</v>
      </c>
      <c r="C34" s="29" t="s">
        <v>444</v>
      </c>
      <c r="D34" s="29" t="s">
        <v>506</v>
      </c>
      <c r="E34" s="161" t="s">
        <v>852</v>
      </c>
      <c r="F34" s="7"/>
      <c r="G34" s="251">
        <v>847.02</v>
      </c>
      <c r="H34" s="51">
        <v>0</v>
      </c>
      <c r="I34" s="51">
        <v>847.01</v>
      </c>
      <c r="J34" s="149">
        <v>847.01</v>
      </c>
      <c r="K34" s="161"/>
      <c r="L34"/>
    </row>
    <row r="35" spans="1:12">
      <c r="A35" s="7">
        <v>30</v>
      </c>
      <c r="B35" s="29" t="s">
        <v>682</v>
      </c>
      <c r="C35" s="29" t="s">
        <v>757</v>
      </c>
      <c r="D35" s="29" t="s">
        <v>802</v>
      </c>
      <c r="E35" s="161" t="s">
        <v>854</v>
      </c>
      <c r="F35" s="7">
        <v>1</v>
      </c>
      <c r="G35" s="251">
        <v>1000.52</v>
      </c>
      <c r="H35" s="51">
        <v>0</v>
      </c>
      <c r="I35" s="51">
        <v>1000.51</v>
      </c>
      <c r="J35" s="149">
        <v>1000.51</v>
      </c>
      <c r="K35" s="161"/>
      <c r="L35"/>
    </row>
    <row r="36" spans="1:12">
      <c r="A36" s="7">
        <v>31</v>
      </c>
      <c r="B36" s="29" t="s">
        <v>683</v>
      </c>
      <c r="C36" s="29" t="s">
        <v>757</v>
      </c>
      <c r="D36" s="29" t="s">
        <v>803</v>
      </c>
      <c r="E36" s="161" t="s">
        <v>852</v>
      </c>
      <c r="F36" s="7"/>
      <c r="G36" s="251">
        <v>594.79999999999995</v>
      </c>
      <c r="H36" s="51">
        <v>0</v>
      </c>
      <c r="I36" s="51">
        <v>594.79</v>
      </c>
      <c r="J36" s="149">
        <v>594.79</v>
      </c>
      <c r="K36" s="161"/>
      <c r="L36"/>
    </row>
    <row r="37" spans="1:12">
      <c r="A37" s="7">
        <v>32</v>
      </c>
      <c r="B37" s="29" t="s">
        <v>681</v>
      </c>
      <c r="C37" s="29" t="s">
        <v>757</v>
      </c>
      <c r="D37" s="29" t="s">
        <v>801</v>
      </c>
      <c r="E37" s="161" t="s">
        <v>856</v>
      </c>
      <c r="F37" s="7">
        <v>2</v>
      </c>
      <c r="G37" s="251">
        <v>1390.32</v>
      </c>
      <c r="H37" s="51">
        <v>614.66</v>
      </c>
      <c r="I37" s="51">
        <f>G37+H37</f>
        <v>2004.98</v>
      </c>
      <c r="J37" s="149">
        <v>2004.98</v>
      </c>
      <c r="K37" s="161"/>
      <c r="L37"/>
    </row>
    <row r="38" spans="1:12">
      <c r="A38" s="7">
        <v>33</v>
      </c>
      <c r="B38" s="29" t="s">
        <v>684</v>
      </c>
      <c r="C38" s="29" t="s">
        <v>476</v>
      </c>
      <c r="D38" s="37" t="s">
        <v>804</v>
      </c>
      <c r="E38" s="161" t="s">
        <v>852</v>
      </c>
      <c r="F38" s="7"/>
      <c r="G38" s="251">
        <v>610.67999999999995</v>
      </c>
      <c r="H38" s="51">
        <v>0</v>
      </c>
      <c r="I38" s="51">
        <v>610.67999999999995</v>
      </c>
      <c r="J38" s="149">
        <v>610.67999999999995</v>
      </c>
      <c r="K38" s="161"/>
      <c r="L38"/>
    </row>
    <row r="39" spans="1:12">
      <c r="A39" s="7">
        <v>34</v>
      </c>
      <c r="B39" s="29" t="s">
        <v>686</v>
      </c>
      <c r="C39" s="29" t="s">
        <v>758</v>
      </c>
      <c r="D39" s="29" t="s">
        <v>805</v>
      </c>
      <c r="E39" s="161" t="s">
        <v>852</v>
      </c>
      <c r="F39" s="7"/>
      <c r="G39" s="251">
        <v>539.67999999999995</v>
      </c>
      <c r="H39" s="51">
        <v>0</v>
      </c>
      <c r="I39" s="51">
        <v>539.67999999999995</v>
      </c>
      <c r="J39" s="149">
        <v>539.67999999999995</v>
      </c>
      <c r="K39" s="161"/>
      <c r="L39"/>
    </row>
    <row r="40" spans="1:12">
      <c r="A40" s="7">
        <v>35</v>
      </c>
      <c r="B40" s="29" t="s">
        <v>687</v>
      </c>
      <c r="C40" s="29" t="s">
        <v>478</v>
      </c>
      <c r="D40" s="29" t="s">
        <v>448</v>
      </c>
      <c r="E40" s="161" t="s">
        <v>852</v>
      </c>
      <c r="F40" s="7"/>
      <c r="G40" s="251">
        <v>1489.48</v>
      </c>
      <c r="H40" s="51">
        <v>0</v>
      </c>
      <c r="I40" s="51">
        <v>1489.47</v>
      </c>
      <c r="J40" s="149">
        <v>1489.47</v>
      </c>
      <c r="K40" s="161"/>
      <c r="L40"/>
    </row>
    <row r="41" spans="1:12">
      <c r="A41" s="7">
        <v>36</v>
      </c>
      <c r="B41" s="29" t="s">
        <v>688</v>
      </c>
      <c r="C41" s="29" t="s">
        <v>759</v>
      </c>
      <c r="D41" s="37" t="s">
        <v>806</v>
      </c>
      <c r="E41" s="161" t="s">
        <v>852</v>
      </c>
      <c r="F41" s="7"/>
      <c r="G41" s="251">
        <v>602.74</v>
      </c>
      <c r="H41" s="51">
        <v>0</v>
      </c>
      <c r="I41" s="51">
        <v>602.73</v>
      </c>
      <c r="J41" s="149">
        <v>602.73</v>
      </c>
      <c r="K41" s="161"/>
      <c r="L41"/>
    </row>
    <row r="42" spans="1:12">
      <c r="A42" s="7">
        <v>37</v>
      </c>
      <c r="B42" s="29" t="s">
        <v>689</v>
      </c>
      <c r="C42" s="29" t="s">
        <v>760</v>
      </c>
      <c r="D42" s="29" t="s">
        <v>807</v>
      </c>
      <c r="E42" s="161" t="s">
        <v>852</v>
      </c>
      <c r="F42" s="7"/>
      <c r="G42" s="251">
        <v>508.4</v>
      </c>
      <c r="H42" s="51">
        <v>0</v>
      </c>
      <c r="I42" s="51">
        <v>508.4</v>
      </c>
      <c r="J42" s="149">
        <v>508.4</v>
      </c>
      <c r="K42" s="161"/>
      <c r="L42"/>
    </row>
    <row r="43" spans="1:12">
      <c r="A43" s="7">
        <v>38</v>
      </c>
      <c r="B43" s="29" t="s">
        <v>690</v>
      </c>
      <c r="C43" s="29" t="s">
        <v>761</v>
      </c>
      <c r="D43" s="29" t="s">
        <v>808</v>
      </c>
      <c r="E43" s="161" t="s">
        <v>852</v>
      </c>
      <c r="F43" s="7"/>
      <c r="G43" s="251">
        <v>539.67999999999995</v>
      </c>
      <c r="H43" s="51">
        <v>0</v>
      </c>
      <c r="I43" s="51">
        <v>539.67999999999995</v>
      </c>
      <c r="J43" s="149">
        <v>539.67999999999995</v>
      </c>
      <c r="K43" s="161"/>
      <c r="L43"/>
    </row>
    <row r="44" spans="1:12">
      <c r="A44" s="7">
        <v>39</v>
      </c>
      <c r="B44" s="29" t="s">
        <v>691</v>
      </c>
      <c r="C44" s="29" t="s">
        <v>480</v>
      </c>
      <c r="D44" s="37" t="s">
        <v>809</v>
      </c>
      <c r="E44" s="161" t="s">
        <v>853</v>
      </c>
      <c r="F44" s="7">
        <v>2</v>
      </c>
      <c r="G44" s="251">
        <v>2023.68</v>
      </c>
      <c r="H44" s="51">
        <v>0</v>
      </c>
      <c r="I44" s="51">
        <v>2023.68</v>
      </c>
      <c r="J44" s="149">
        <v>2023.68</v>
      </c>
      <c r="K44" s="161"/>
      <c r="L44"/>
    </row>
    <row r="45" spans="1:12">
      <c r="A45" s="7">
        <v>40</v>
      </c>
      <c r="B45" s="29" t="s">
        <v>692</v>
      </c>
      <c r="C45" s="29" t="s">
        <v>762</v>
      </c>
      <c r="D45" s="29" t="s">
        <v>810</v>
      </c>
      <c r="E45" s="161" t="s">
        <v>854</v>
      </c>
      <c r="F45" s="7">
        <v>1</v>
      </c>
      <c r="G45" s="251">
        <v>1008.46</v>
      </c>
      <c r="H45" s="51">
        <v>0</v>
      </c>
      <c r="I45" s="51">
        <v>1008.45</v>
      </c>
      <c r="J45" s="149">
        <v>1008.45</v>
      </c>
      <c r="K45" s="161"/>
      <c r="L45"/>
    </row>
    <row r="46" spans="1:12">
      <c r="A46" s="7">
        <v>41</v>
      </c>
      <c r="B46" s="29" t="s">
        <v>693</v>
      </c>
      <c r="C46" s="29" t="s">
        <v>763</v>
      </c>
      <c r="D46" s="29" t="s">
        <v>811</v>
      </c>
      <c r="E46" s="161" t="s">
        <v>852</v>
      </c>
      <c r="F46" s="7"/>
      <c r="G46" s="251">
        <v>606.72</v>
      </c>
      <c r="H46" s="51">
        <v>0</v>
      </c>
      <c r="I46" s="51">
        <v>606.71</v>
      </c>
      <c r="J46" s="149">
        <v>606.71</v>
      </c>
      <c r="K46" s="161"/>
      <c r="L46"/>
    </row>
    <row r="47" spans="1:12">
      <c r="A47" s="7">
        <v>42</v>
      </c>
      <c r="B47" s="29" t="s">
        <v>694</v>
      </c>
      <c r="C47" s="29" t="s">
        <v>764</v>
      </c>
      <c r="D47" s="29" t="s">
        <v>812</v>
      </c>
      <c r="E47" s="161" t="s">
        <v>854</v>
      </c>
      <c r="F47" s="7">
        <v>1</v>
      </c>
      <c r="G47" s="251">
        <v>1169.82</v>
      </c>
      <c r="H47" s="51">
        <v>0</v>
      </c>
      <c r="I47" s="51">
        <v>1169.81</v>
      </c>
      <c r="J47" s="149">
        <v>1169.81</v>
      </c>
      <c r="K47" s="161"/>
      <c r="L47"/>
    </row>
    <row r="48" spans="1:12">
      <c r="A48" s="7">
        <v>43</v>
      </c>
      <c r="B48" s="29" t="s">
        <v>695</v>
      </c>
      <c r="C48" s="29" t="s">
        <v>765</v>
      </c>
      <c r="D48" s="29" t="s">
        <v>813</v>
      </c>
      <c r="E48" s="161" t="s">
        <v>854</v>
      </c>
      <c r="F48" s="7">
        <v>1</v>
      </c>
      <c r="G48" s="251">
        <v>1406.64</v>
      </c>
      <c r="H48" s="51">
        <v>0</v>
      </c>
      <c r="I48" s="51">
        <v>1406.63</v>
      </c>
      <c r="J48" s="149">
        <v>1406.63</v>
      </c>
      <c r="K48" s="161"/>
      <c r="L48"/>
    </row>
    <row r="49" spans="1:12">
      <c r="A49" s="7">
        <v>44</v>
      </c>
      <c r="B49" s="29" t="s">
        <v>696</v>
      </c>
      <c r="C49" s="29" t="s">
        <v>766</v>
      </c>
      <c r="D49" s="37" t="s">
        <v>814</v>
      </c>
      <c r="E49" s="161" t="s">
        <v>852</v>
      </c>
      <c r="F49" s="7"/>
      <c r="G49" s="251">
        <v>1158.3</v>
      </c>
      <c r="H49" s="51">
        <v>0</v>
      </c>
      <c r="I49" s="51">
        <v>1158.3</v>
      </c>
      <c r="J49" s="149">
        <v>1158.3</v>
      </c>
      <c r="K49" s="161"/>
      <c r="L49"/>
    </row>
    <row r="50" spans="1:12">
      <c r="A50" s="7">
        <v>45</v>
      </c>
      <c r="B50" s="29" t="s">
        <v>697</v>
      </c>
      <c r="C50" s="29" t="s">
        <v>767</v>
      </c>
      <c r="D50" s="37" t="s">
        <v>815</v>
      </c>
      <c r="E50" s="161" t="s">
        <v>854</v>
      </c>
      <c r="F50" s="7">
        <v>1</v>
      </c>
      <c r="G50" s="251">
        <v>1706.44</v>
      </c>
      <c r="H50" s="51">
        <v>0</v>
      </c>
      <c r="I50" s="51">
        <v>1706.43</v>
      </c>
      <c r="J50" s="149">
        <v>1706.43</v>
      </c>
      <c r="K50" s="161"/>
      <c r="L50"/>
    </row>
    <row r="51" spans="1:12">
      <c r="A51" s="7">
        <v>46</v>
      </c>
      <c r="B51" s="29" t="s">
        <v>732</v>
      </c>
      <c r="C51" s="29" t="s">
        <v>768</v>
      </c>
      <c r="D51" s="37" t="s">
        <v>816</v>
      </c>
      <c r="E51" s="161" t="s">
        <v>852</v>
      </c>
      <c r="F51" s="7"/>
      <c r="G51" s="251">
        <v>1465.64</v>
      </c>
      <c r="H51" s="51">
        <v>0</v>
      </c>
      <c r="I51" s="51">
        <v>1465.63</v>
      </c>
      <c r="J51" s="149">
        <v>1465.63</v>
      </c>
      <c r="K51" s="161"/>
      <c r="L51"/>
    </row>
    <row r="52" spans="1:12">
      <c r="A52" s="7">
        <v>47</v>
      </c>
      <c r="B52" s="29" t="s">
        <v>842</v>
      </c>
      <c r="C52" s="29" t="s">
        <v>769</v>
      </c>
      <c r="D52" s="29" t="s">
        <v>843</v>
      </c>
      <c r="E52" s="161" t="s">
        <v>852</v>
      </c>
      <c r="F52" s="7"/>
      <c r="G52" s="251">
        <v>498.48</v>
      </c>
      <c r="H52" s="51">
        <v>0</v>
      </c>
      <c r="I52" s="51">
        <v>498.47</v>
      </c>
      <c r="J52" s="149">
        <v>498.47</v>
      </c>
      <c r="K52" s="161"/>
      <c r="L52"/>
    </row>
    <row r="53" spans="1:12">
      <c r="A53" s="7">
        <v>48</v>
      </c>
      <c r="B53" s="29" t="s">
        <v>698</v>
      </c>
      <c r="C53" s="29" t="s">
        <v>769</v>
      </c>
      <c r="D53" s="37" t="s">
        <v>817</v>
      </c>
      <c r="E53" s="161" t="s">
        <v>852</v>
      </c>
      <c r="F53" s="7"/>
      <c r="G53" s="251">
        <v>587.34</v>
      </c>
      <c r="H53" s="51">
        <v>0</v>
      </c>
      <c r="I53" s="51">
        <v>587.34</v>
      </c>
      <c r="J53" s="149">
        <v>587.34</v>
      </c>
      <c r="K53" s="225"/>
      <c r="L53"/>
    </row>
    <row r="54" spans="1:12">
      <c r="A54" s="7">
        <v>49</v>
      </c>
      <c r="B54" s="29" t="s">
        <v>699</v>
      </c>
      <c r="C54" s="29" t="s">
        <v>770</v>
      </c>
      <c r="D54" s="29" t="s">
        <v>818</v>
      </c>
      <c r="E54" s="161" t="s">
        <v>852</v>
      </c>
      <c r="F54" s="7"/>
      <c r="G54" s="251">
        <v>1465.64</v>
      </c>
      <c r="H54" s="51">
        <v>0</v>
      </c>
      <c r="I54" s="51">
        <v>1465.63</v>
      </c>
      <c r="J54" s="149">
        <v>1465.63</v>
      </c>
      <c r="K54" s="161"/>
      <c r="L54"/>
    </row>
    <row r="55" spans="1:12">
      <c r="A55" s="7">
        <v>50</v>
      </c>
      <c r="B55" s="29" t="s">
        <v>700</v>
      </c>
      <c r="C55" s="29" t="s">
        <v>771</v>
      </c>
      <c r="D55" s="37" t="s">
        <v>819</v>
      </c>
      <c r="E55" s="161" t="s">
        <v>854</v>
      </c>
      <c r="F55" s="7">
        <v>1</v>
      </c>
      <c r="G55" s="251">
        <v>1706.44</v>
      </c>
      <c r="H55" s="51">
        <v>0</v>
      </c>
      <c r="I55" s="51">
        <v>1706.43</v>
      </c>
      <c r="J55" s="149">
        <v>1706.43</v>
      </c>
      <c r="K55" s="161"/>
      <c r="L55"/>
    </row>
    <row r="56" spans="1:12">
      <c r="A56" s="7">
        <v>51</v>
      </c>
      <c r="B56" s="29" t="s">
        <v>736</v>
      </c>
      <c r="C56" s="29" t="s">
        <v>772</v>
      </c>
      <c r="D56" s="37" t="s">
        <v>820</v>
      </c>
      <c r="E56" s="161" t="s">
        <v>852</v>
      </c>
      <c r="F56" s="7"/>
      <c r="G56" s="251">
        <v>520.32000000000005</v>
      </c>
      <c r="H56" s="51">
        <v>0</v>
      </c>
      <c r="I56" s="51">
        <v>520.32000000000005</v>
      </c>
      <c r="J56" s="149">
        <v>520.32000000000005</v>
      </c>
      <c r="K56" s="161"/>
      <c r="L56"/>
    </row>
    <row r="57" spans="1:12">
      <c r="A57" s="7">
        <v>52</v>
      </c>
      <c r="B57" s="29" t="s">
        <v>702</v>
      </c>
      <c r="C57" s="29" t="s">
        <v>487</v>
      </c>
      <c r="D57" s="29" t="s">
        <v>516</v>
      </c>
      <c r="E57" s="161" t="s">
        <v>852</v>
      </c>
      <c r="F57" s="7"/>
      <c r="G57" s="251">
        <v>925.96</v>
      </c>
      <c r="H57" s="51">
        <v>0</v>
      </c>
      <c r="I57" s="51">
        <v>925.95</v>
      </c>
      <c r="J57" s="149">
        <v>925.95</v>
      </c>
      <c r="K57" s="161"/>
      <c r="L57"/>
    </row>
    <row r="58" spans="1:12">
      <c r="A58" s="7">
        <v>53</v>
      </c>
      <c r="B58" s="29" t="s">
        <v>703</v>
      </c>
      <c r="C58" s="29" t="s">
        <v>488</v>
      </c>
      <c r="D58" s="29" t="s">
        <v>517</v>
      </c>
      <c r="E58" s="161" t="s">
        <v>852</v>
      </c>
      <c r="F58" s="7"/>
      <c r="G58" s="251">
        <v>1489.48</v>
      </c>
      <c r="H58" s="51">
        <v>0</v>
      </c>
      <c r="I58" s="51">
        <v>1489.47</v>
      </c>
      <c r="J58" s="149">
        <v>1489.47</v>
      </c>
      <c r="K58" s="161"/>
      <c r="L58"/>
    </row>
    <row r="59" spans="1:12">
      <c r="A59" s="7">
        <v>54</v>
      </c>
      <c r="B59" s="29" t="s">
        <v>704</v>
      </c>
      <c r="C59" s="29" t="s">
        <v>773</v>
      </c>
      <c r="D59" s="29" t="s">
        <v>821</v>
      </c>
      <c r="E59" s="161" t="s">
        <v>852</v>
      </c>
      <c r="F59" s="7"/>
      <c r="G59" s="251">
        <v>1489.48</v>
      </c>
      <c r="H59" s="51">
        <v>0</v>
      </c>
      <c r="I59" s="51">
        <v>1489.47</v>
      </c>
      <c r="J59" s="149">
        <v>1489.47</v>
      </c>
      <c r="K59" s="161"/>
      <c r="L59"/>
    </row>
    <row r="60" spans="1:12">
      <c r="A60" s="7">
        <v>55</v>
      </c>
      <c r="B60" s="29" t="s">
        <v>705</v>
      </c>
      <c r="C60" s="29" t="s">
        <v>491</v>
      </c>
      <c r="D60" s="29" t="s">
        <v>456</v>
      </c>
      <c r="E60" s="161" t="s">
        <v>852</v>
      </c>
      <c r="F60" s="7"/>
      <c r="G60" s="251">
        <v>744.74</v>
      </c>
      <c r="H60" s="51">
        <v>0</v>
      </c>
      <c r="I60" s="51">
        <v>744.73</v>
      </c>
      <c r="J60" s="149">
        <v>744.73</v>
      </c>
      <c r="K60" s="161"/>
      <c r="L60"/>
    </row>
    <row r="61" spans="1:12">
      <c r="A61" s="7">
        <v>56</v>
      </c>
      <c r="B61" s="29" t="s">
        <v>707</v>
      </c>
      <c r="C61" s="29" t="s">
        <v>774</v>
      </c>
      <c r="D61" s="29" t="s">
        <v>823</v>
      </c>
      <c r="E61" s="161" t="s">
        <v>854</v>
      </c>
      <c r="F61" s="7">
        <v>1</v>
      </c>
      <c r="G61" s="251">
        <v>1272.5</v>
      </c>
      <c r="H61" s="51">
        <v>0</v>
      </c>
      <c r="I61" s="51">
        <v>1272.5</v>
      </c>
      <c r="J61" s="149">
        <v>1272.5</v>
      </c>
      <c r="K61" s="161"/>
      <c r="L61"/>
    </row>
    <row r="62" spans="1:12">
      <c r="A62" s="7">
        <v>57</v>
      </c>
      <c r="B62" s="29" t="s">
        <v>706</v>
      </c>
      <c r="C62" s="29" t="s">
        <v>774</v>
      </c>
      <c r="D62" s="37" t="s">
        <v>822</v>
      </c>
      <c r="E62" s="161" t="s">
        <v>852</v>
      </c>
      <c r="F62" s="7"/>
      <c r="G62" s="251">
        <v>618.62</v>
      </c>
      <c r="H62" s="51">
        <v>0</v>
      </c>
      <c r="I62" s="51">
        <v>618.62</v>
      </c>
      <c r="J62" s="149">
        <v>618.62</v>
      </c>
      <c r="K62" s="161"/>
      <c r="L62"/>
    </row>
    <row r="63" spans="1:12">
      <c r="A63" s="7">
        <v>58</v>
      </c>
      <c r="B63" s="29" t="s">
        <v>708</v>
      </c>
      <c r="C63" s="29" t="s">
        <v>775</v>
      </c>
      <c r="D63" s="37" t="s">
        <v>824</v>
      </c>
      <c r="E63" s="161" t="s">
        <v>854</v>
      </c>
      <c r="F63" s="7">
        <v>1</v>
      </c>
      <c r="G63" s="251">
        <v>1558.48</v>
      </c>
      <c r="H63" s="51">
        <v>0</v>
      </c>
      <c r="I63" s="51">
        <v>1558.47</v>
      </c>
      <c r="J63" s="149">
        <v>1558.47</v>
      </c>
      <c r="K63" s="161"/>
      <c r="L63"/>
    </row>
    <row r="64" spans="1:12">
      <c r="A64" s="7">
        <v>59</v>
      </c>
      <c r="B64" s="29" t="s">
        <v>709</v>
      </c>
      <c r="C64" s="29" t="s">
        <v>776</v>
      </c>
      <c r="D64" s="37" t="s">
        <v>825</v>
      </c>
      <c r="E64" s="161" t="s">
        <v>852</v>
      </c>
      <c r="F64" s="7"/>
      <c r="G64" s="251">
        <v>594.79999999999995</v>
      </c>
      <c r="H64" s="51">
        <v>0</v>
      </c>
      <c r="I64" s="51">
        <v>594.79</v>
      </c>
      <c r="J64" s="149">
        <v>594.79</v>
      </c>
      <c r="K64" s="161"/>
      <c r="L64"/>
    </row>
    <row r="65" spans="1:15">
      <c r="A65" s="7">
        <v>60</v>
      </c>
      <c r="B65" s="29" t="s">
        <v>711</v>
      </c>
      <c r="C65" s="29" t="s">
        <v>777</v>
      </c>
      <c r="D65" s="29" t="s">
        <v>827</v>
      </c>
      <c r="E65" s="161" t="s">
        <v>853</v>
      </c>
      <c r="F65" s="7">
        <v>2</v>
      </c>
      <c r="G65" s="251">
        <v>1681.28</v>
      </c>
      <c r="H65" s="51">
        <v>0</v>
      </c>
      <c r="I65" s="51">
        <v>1681.28</v>
      </c>
      <c r="J65" s="149">
        <v>1681.28</v>
      </c>
      <c r="K65" s="161"/>
      <c r="L65"/>
    </row>
    <row r="66" spans="1:15">
      <c r="A66" s="7">
        <v>61</v>
      </c>
      <c r="B66" s="29" t="s">
        <v>710</v>
      </c>
      <c r="C66" s="29" t="s">
        <v>777</v>
      </c>
      <c r="D66" s="29" t="s">
        <v>826</v>
      </c>
      <c r="E66" s="161" t="s">
        <v>852</v>
      </c>
      <c r="F66" s="7"/>
      <c r="G66" s="251">
        <v>886.72</v>
      </c>
      <c r="H66" s="51">
        <v>0</v>
      </c>
      <c r="I66" s="51">
        <v>886.72</v>
      </c>
      <c r="J66" s="51">
        <v>886.72</v>
      </c>
      <c r="K66" s="161"/>
      <c r="L66"/>
    </row>
    <row r="67" spans="1:15">
      <c r="A67" s="7">
        <v>62</v>
      </c>
      <c r="B67" s="29" t="s">
        <v>712</v>
      </c>
      <c r="C67" s="29" t="s">
        <v>778</v>
      </c>
      <c r="D67" s="37" t="s">
        <v>828</v>
      </c>
      <c r="E67" s="161" t="s">
        <v>852</v>
      </c>
      <c r="F67" s="7"/>
      <c r="G67" s="251">
        <v>587.34</v>
      </c>
      <c r="H67" s="51">
        <v>0</v>
      </c>
      <c r="I67" s="51">
        <v>587.34</v>
      </c>
      <c r="J67" s="149">
        <v>587.34</v>
      </c>
      <c r="K67" s="161"/>
      <c r="L67"/>
    </row>
    <row r="68" spans="1:15">
      <c r="A68" s="7">
        <v>63</v>
      </c>
      <c r="B68" s="29" t="s">
        <v>713</v>
      </c>
      <c r="C68" s="29" t="s">
        <v>778</v>
      </c>
      <c r="D68" s="37" t="s">
        <v>829</v>
      </c>
      <c r="E68" s="161" t="s">
        <v>856</v>
      </c>
      <c r="F68" s="7">
        <v>2</v>
      </c>
      <c r="G68" s="251">
        <v>1402.26</v>
      </c>
      <c r="H68" s="51">
        <v>657.84</v>
      </c>
      <c r="I68" s="51">
        <f>G68+H68</f>
        <v>2060.1</v>
      </c>
      <c r="J68" s="189">
        <v>2060.09</v>
      </c>
      <c r="K68" s="161"/>
      <c r="L68"/>
    </row>
    <row r="69" spans="1:15">
      <c r="A69" s="113"/>
      <c r="E69" s="261"/>
      <c r="F69" s="282"/>
      <c r="G69" s="262"/>
      <c r="H69" s="262"/>
      <c r="I69" s="262"/>
      <c r="J69" s="263"/>
      <c r="K69" s="117"/>
      <c r="N69" s="15"/>
      <c r="O69" s="15"/>
    </row>
    <row r="70" spans="1:15">
      <c r="A70" s="428" t="s">
        <v>652</v>
      </c>
      <c r="B70" s="429"/>
      <c r="C70" s="429"/>
      <c r="D70" s="429"/>
      <c r="E70" s="429"/>
      <c r="F70" s="429"/>
      <c r="G70" s="430"/>
      <c r="H70" s="246"/>
      <c r="I70" s="264">
        <f>SUM(I5:I68)</f>
        <v>70235.190000000017</v>
      </c>
      <c r="J70" s="111">
        <f>SUM(J5:J68)</f>
        <v>70235.17</v>
      </c>
      <c r="K70" s="255"/>
      <c r="L70"/>
    </row>
    <row r="71" spans="1:15">
      <c r="A71" s="431"/>
      <c r="B71" s="453"/>
      <c r="C71" s="432"/>
      <c r="D71" s="141"/>
      <c r="E71" s="271" t="s">
        <v>258</v>
      </c>
      <c r="F71" s="7">
        <v>63</v>
      </c>
      <c r="G71" s="161"/>
      <c r="H71" s="161"/>
      <c r="I71" s="161"/>
      <c r="J71" s="52"/>
      <c r="K71" s="241"/>
      <c r="L71"/>
    </row>
    <row r="72" spans="1:15">
      <c r="A72" s="271"/>
      <c r="B72" s="272"/>
      <c r="C72" s="141"/>
      <c r="D72" s="141"/>
      <c r="E72" s="141" t="s">
        <v>930</v>
      </c>
      <c r="F72" s="7">
        <v>4</v>
      </c>
      <c r="G72" s="161"/>
      <c r="H72" s="161"/>
      <c r="I72" s="161"/>
      <c r="J72" s="52"/>
      <c r="K72" s="241"/>
      <c r="L72"/>
    </row>
    <row r="73" spans="1:15">
      <c r="A73" s="431"/>
      <c r="B73" s="453"/>
      <c r="C73" s="432"/>
      <c r="D73" s="141"/>
      <c r="E73" s="271" t="s">
        <v>931</v>
      </c>
      <c r="F73" s="58">
        <f>SUM(F5:F68)</f>
        <v>29</v>
      </c>
      <c r="G73" s="161"/>
      <c r="H73" s="196"/>
      <c r="I73" s="196"/>
      <c r="J73" s="52"/>
      <c r="K73" s="241"/>
      <c r="L73"/>
    </row>
    <row r="74" spans="1:15">
      <c r="A74" s="433"/>
      <c r="B74" s="454"/>
      <c r="C74" s="434"/>
      <c r="D74" s="92"/>
      <c r="E74" s="91" t="s">
        <v>246</v>
      </c>
      <c r="F74" s="86">
        <f>F71+F73+F72</f>
        <v>96</v>
      </c>
      <c r="G74" s="161"/>
      <c r="H74" s="187"/>
      <c r="I74" s="187"/>
      <c r="J74" s="52"/>
      <c r="K74" s="241"/>
      <c r="L74"/>
    </row>
    <row r="75" spans="1:15">
      <c r="A75" s="455" t="s">
        <v>830</v>
      </c>
      <c r="B75" s="456"/>
      <c r="C75" s="456"/>
      <c r="D75" s="456"/>
      <c r="E75" s="456"/>
      <c r="F75" s="456"/>
      <c r="G75" s="457"/>
      <c r="H75" s="247"/>
      <c r="I75" s="247"/>
      <c r="J75" s="184"/>
      <c r="K75" s="256"/>
      <c r="L75"/>
      <c r="M75" s="15"/>
    </row>
    <row r="76" spans="1:15" s="1" customFormat="1">
      <c r="A76" s="291"/>
      <c r="M76" s="116"/>
    </row>
    <row r="77" spans="1:15" s="287" customFormat="1">
      <c r="A77" s="196"/>
      <c r="B77" s="220" t="s">
        <v>934</v>
      </c>
      <c r="C77" s="29" t="s">
        <v>932</v>
      </c>
      <c r="D77" s="37" t="s">
        <v>933</v>
      </c>
      <c r="E77" s="161" t="s">
        <v>852</v>
      </c>
      <c r="F77" s="37"/>
      <c r="G77" s="37"/>
      <c r="H77" s="37"/>
      <c r="I77" s="37"/>
      <c r="J77" s="288">
        <f>2*539.68</f>
        <v>1079.3599999999999</v>
      </c>
      <c r="K77" s="161" t="s">
        <v>941</v>
      </c>
      <c r="M77" s="289"/>
    </row>
    <row r="78" spans="1:15" s="287" customFormat="1">
      <c r="A78" s="196"/>
      <c r="B78" s="220" t="s">
        <v>675</v>
      </c>
      <c r="C78" s="29" t="s">
        <v>755</v>
      </c>
      <c r="D78" s="29" t="s">
        <v>796</v>
      </c>
      <c r="E78" s="161" t="s">
        <v>852</v>
      </c>
      <c r="F78" s="58"/>
      <c r="G78" s="196"/>
      <c r="H78" s="290"/>
      <c r="I78" s="196"/>
      <c r="J78" s="149">
        <v>646.42999999999995</v>
      </c>
      <c r="K78" s="161" t="s">
        <v>942</v>
      </c>
      <c r="M78" s="289"/>
    </row>
    <row r="79" spans="1:15">
      <c r="A79" s="196"/>
      <c r="B79" s="196"/>
      <c r="C79" s="29"/>
      <c r="D79" s="29"/>
      <c r="E79" s="29"/>
      <c r="F79" s="7"/>
      <c r="G79" s="196"/>
      <c r="H79" s="196"/>
      <c r="I79" s="196"/>
      <c r="J79" s="52"/>
      <c r="K79" s="241"/>
      <c r="L79"/>
      <c r="M79" s="15"/>
    </row>
    <row r="80" spans="1:15" ht="12" customHeight="1">
      <c r="A80" s="428" t="s">
        <v>846</v>
      </c>
      <c r="B80" s="429"/>
      <c r="C80" s="429"/>
      <c r="D80" s="429"/>
      <c r="E80" s="429"/>
      <c r="F80" s="429"/>
      <c r="G80" s="430"/>
      <c r="H80" s="246"/>
      <c r="I80" s="246"/>
      <c r="J80" s="293">
        <f>SUM(J77:J79)</f>
        <v>1725.79</v>
      </c>
      <c r="K80" s="258"/>
      <c r="L80"/>
    </row>
    <row r="81" spans="1:15" ht="12" customHeight="1">
      <c r="A81" s="172"/>
      <c r="B81" s="173"/>
      <c r="C81" s="173"/>
      <c r="D81" s="173"/>
      <c r="E81" s="173"/>
      <c r="F81" s="281"/>
      <c r="G81" s="167"/>
      <c r="H81" s="167"/>
      <c r="I81" s="167"/>
      <c r="J81" s="83"/>
      <c r="K81" s="259"/>
      <c r="L81"/>
    </row>
    <row r="82" spans="1:15" ht="16">
      <c r="A82" s="450" t="s">
        <v>881</v>
      </c>
      <c r="B82" s="451"/>
      <c r="C82" s="451"/>
      <c r="D82" s="451"/>
      <c r="E82" s="451"/>
      <c r="F82" s="451"/>
      <c r="G82" s="452"/>
      <c r="H82" s="267"/>
      <c r="I82" s="267"/>
      <c r="J82" s="268">
        <f>J70+J80</f>
        <v>71960.959999999992</v>
      </c>
      <c r="K82" s="260"/>
      <c r="L82"/>
    </row>
    <row r="83" spans="1:15" ht="18">
      <c r="G83" s="218" t="s">
        <v>250</v>
      </c>
      <c r="H83" s="238">
        <v>45077</v>
      </c>
      <c r="I83"/>
      <c r="J83"/>
      <c r="K83"/>
      <c r="L83"/>
    </row>
    <row r="84" spans="1:15" ht="18">
      <c r="G84" s="218" t="s">
        <v>251</v>
      </c>
      <c r="H84" s="239" t="s">
        <v>653</v>
      </c>
      <c r="I84"/>
      <c r="J84"/>
      <c r="K84"/>
      <c r="L84"/>
    </row>
    <row r="87" spans="1:15">
      <c r="H87" s="269"/>
      <c r="J87" s="270"/>
    </row>
    <row r="89" spans="1:15" s="3" customFormat="1">
      <c r="A89"/>
      <c r="B89"/>
      <c r="C89"/>
      <c r="D89"/>
      <c r="E89"/>
      <c r="G89" s="216"/>
      <c r="H89" s="216"/>
      <c r="I89" s="216"/>
      <c r="K89" s="152"/>
      <c r="L89" s="216"/>
      <c r="M89"/>
      <c r="N89"/>
      <c r="O89"/>
    </row>
  </sheetData>
  <autoFilter ref="A4:L68" xr:uid="{EC283F26-1258-B84E-AE05-5C35489C3CC6}">
    <sortState xmlns:xlrd2="http://schemas.microsoft.com/office/spreadsheetml/2017/richdata2" ref="A5:L68">
      <sortCondition ref="C4:C68"/>
    </sortState>
  </autoFilter>
  <mergeCells count="7">
    <mergeCell ref="A82:G82"/>
    <mergeCell ref="A70:G70"/>
    <mergeCell ref="A71:C71"/>
    <mergeCell ref="A73:C73"/>
    <mergeCell ref="A74:C74"/>
    <mergeCell ref="A75:G75"/>
    <mergeCell ref="A80:G80"/>
  </mergeCells>
  <conditionalFormatting sqref="B4 B7:B8">
    <cfRule type="duplicateValues" dxfId="1291" priority="29"/>
  </conditionalFormatting>
  <conditionalFormatting sqref="B7:B9 B11:B68">
    <cfRule type="duplicateValues" dxfId="1290" priority="717"/>
  </conditionalFormatting>
  <conditionalFormatting sqref="B9 B11:B68">
    <cfRule type="duplicateValues" dxfId="1289" priority="719"/>
  </conditionalFormatting>
  <conditionalFormatting sqref="B77">
    <cfRule type="duplicateValues" dxfId="1288" priority="4"/>
    <cfRule type="duplicateValues" dxfId="1287" priority="5"/>
  </conditionalFormatting>
  <conditionalFormatting sqref="B78">
    <cfRule type="duplicateValues" dxfId="1286" priority="1"/>
    <cfRule type="duplicateValues" dxfId="1285" priority="2"/>
  </conditionalFormatting>
  <conditionalFormatting sqref="C87">
    <cfRule type="duplicateValues" dxfId="1284" priority="18"/>
    <cfRule type="duplicateValues" dxfId="1283" priority="19"/>
  </conditionalFormatting>
  <conditionalFormatting sqref="C89">
    <cfRule type="duplicateValues" dxfId="1282" priority="16"/>
    <cfRule type="duplicateValues" dxfId="1281" priority="17"/>
  </conditionalFormatting>
  <conditionalFormatting sqref="C91">
    <cfRule type="duplicateValues" dxfId="1280" priority="14"/>
    <cfRule type="duplicateValues" dxfId="1279" priority="15"/>
  </conditionalFormatting>
  <conditionalFormatting sqref="C79:F79">
    <cfRule type="duplicateValues" dxfId="1278" priority="26"/>
  </conditionalFormatting>
  <conditionalFormatting sqref="C80:F84 E69:F70 E75:F75 C70:D75 E1:F3 C1:D4">
    <cfRule type="duplicateValues" dxfId="1277" priority="22"/>
  </conditionalFormatting>
  <conditionalFormatting sqref="C80:F85 E1:F3 C1:D4 E69:F70 E75:F75 C70:D75 D87:F87 D89:F89 C88:F88 C92:F1048576 D91:F91 C90:F90">
    <cfRule type="duplicateValues" dxfId="1276" priority="21"/>
  </conditionalFormatting>
  <conditionalFormatting sqref="C85:F85 D87:F87 D89:F89 C88:F88 C92:F1048576 D91:F91 C90:F90">
    <cfRule type="duplicateValues" dxfId="1275" priority="25"/>
  </conditionalFormatting>
  <conditionalFormatting sqref="E72">
    <cfRule type="duplicateValues" dxfId="1274" priority="9"/>
    <cfRule type="duplicateValues" dxfId="1273" priority="10"/>
  </conditionalFormatting>
  <conditionalFormatting sqref="E77">
    <cfRule type="containsText" dxfId="1272" priority="3" operator="containsText" text="Spouse">
      <formula>NOT(ISERROR(SEARCH("Spouse",E77)))</formula>
    </cfRule>
  </conditionalFormatting>
  <conditionalFormatting sqref="E69:F69">
    <cfRule type="duplicateValues" dxfId="1271" priority="23"/>
  </conditionalFormatting>
  <conditionalFormatting sqref="G1:H3 E4:G68 G69:I70 F71:F74 H71:I74 G75:I75 E78:G78 I78 G79:I1048576">
    <cfRule type="containsText" dxfId="1270" priority="12" operator="containsText" text="Spouse">
      <formula>NOT(ISERROR(SEARCH("Spouse",E1)))</formula>
    </cfRule>
  </conditionalFormatting>
  <conditionalFormatting sqref="K5:K6 K9:K13 K15:K18 K20:K33 K77:K78">
    <cfRule type="notContainsBlanks" dxfId="1269" priority="13">
      <formula>LEN(TRIM(K5))&gt;0</formula>
    </cfRule>
  </conditionalFormatting>
  <conditionalFormatting sqref="K35:K52 K54:K65 L69 K70:K75 K80:K82">
    <cfRule type="notContainsBlanks" dxfId="1268" priority="20">
      <formula>LEN(TRIM(K35))&gt;0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AB37-8954-A547-80FE-366607C39EA6}">
  <sheetPr>
    <tabColor theme="7" tint="0.59999389629810485"/>
    <pageSetUpPr fitToPage="1"/>
  </sheetPr>
  <dimension ref="A1:O90"/>
  <sheetViews>
    <sheetView zoomScale="120" zoomScaleNormal="120" zoomScalePageLayoutView="140" workbookViewId="0">
      <pane xSplit="4" ySplit="4" topLeftCell="E51" activePane="bottomRight" state="frozen"/>
      <selection activeCell="D65" sqref="D65"/>
      <selection pane="topRight" activeCell="D65" sqref="D65"/>
      <selection pane="bottomLeft" activeCell="D65" sqref="D65"/>
      <selection pane="bottomRight" activeCell="J85" sqref="J85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9.1640625" customWidth="1"/>
    <col min="4" max="4" width="23.83203125" bestFit="1" customWidth="1"/>
    <col min="5" max="5" width="23.83203125" customWidth="1"/>
    <col min="6" max="6" width="10.1640625" style="3" customWidth="1"/>
    <col min="7" max="7" width="13.6640625" style="216" customWidth="1"/>
    <col min="8" max="8" width="12.832031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45047</v>
      </c>
      <c r="K2" s="230"/>
    </row>
    <row r="3" spans="1:14" ht="14" customHeight="1">
      <c r="J3" s="201"/>
      <c r="K3" s="231" t="s">
        <v>832</v>
      </c>
    </row>
    <row r="4" spans="1:14" ht="28">
      <c r="A4" s="50" t="s">
        <v>226</v>
      </c>
      <c r="B4" s="219" t="s">
        <v>500</v>
      </c>
      <c r="C4" s="50" t="s">
        <v>498</v>
      </c>
      <c r="D4" s="50" t="s">
        <v>499</v>
      </c>
      <c r="E4" s="279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7">
        <v>1</v>
      </c>
      <c r="B5" s="29" t="s">
        <v>741</v>
      </c>
      <c r="C5" s="29" t="s">
        <v>742</v>
      </c>
      <c r="D5" s="29" t="s">
        <v>779</v>
      </c>
      <c r="E5" s="161" t="s">
        <v>851</v>
      </c>
      <c r="F5" s="7"/>
      <c r="G5" s="251">
        <v>1158.3</v>
      </c>
      <c r="H5" s="51">
        <v>1158.3</v>
      </c>
      <c r="I5" s="51">
        <f>G5+H5</f>
        <v>2316.6</v>
      </c>
      <c r="J5" s="149">
        <v>2316.6</v>
      </c>
      <c r="K5" s="161"/>
      <c r="L5"/>
    </row>
    <row r="6" spans="1:14">
      <c r="A6" s="7">
        <v>2</v>
      </c>
      <c r="B6" s="29" t="s">
        <v>658</v>
      </c>
      <c r="C6" s="29" t="s">
        <v>743</v>
      </c>
      <c r="D6" s="161" t="s">
        <v>780</v>
      </c>
      <c r="E6" s="161" t="s">
        <v>852</v>
      </c>
      <c r="F6" s="7"/>
      <c r="G6" s="251">
        <v>498.48</v>
      </c>
      <c r="H6" s="51">
        <v>0</v>
      </c>
      <c r="I6" s="51">
        <v>498.47</v>
      </c>
      <c r="J6" s="149">
        <v>498.47</v>
      </c>
      <c r="K6" s="161"/>
      <c r="L6"/>
    </row>
    <row r="7" spans="1:14">
      <c r="A7" s="7">
        <v>3</v>
      </c>
      <c r="B7" s="29" t="s">
        <v>659</v>
      </c>
      <c r="C7" s="29" t="s">
        <v>744</v>
      </c>
      <c r="D7" s="161" t="s">
        <v>781</v>
      </c>
      <c r="E7" s="161" t="s">
        <v>853</v>
      </c>
      <c r="F7" s="7">
        <v>2</v>
      </c>
      <c r="G7" s="251">
        <v>1637.1</v>
      </c>
      <c r="H7" s="51">
        <v>0</v>
      </c>
      <c r="I7" s="51">
        <v>1637.09</v>
      </c>
      <c r="J7" s="160">
        <v>1637.09</v>
      </c>
      <c r="K7" s="161"/>
      <c r="L7"/>
    </row>
    <row r="8" spans="1:14">
      <c r="A8" s="7">
        <v>4</v>
      </c>
      <c r="B8" s="29" t="s">
        <v>660</v>
      </c>
      <c r="C8" s="29" t="s">
        <v>462</v>
      </c>
      <c r="D8" s="29" t="s">
        <v>425</v>
      </c>
      <c r="E8" s="161" t="s">
        <v>853</v>
      </c>
      <c r="F8" s="7">
        <v>2</v>
      </c>
      <c r="G8" s="251">
        <v>1607.22</v>
      </c>
      <c r="H8" s="51">
        <v>0</v>
      </c>
      <c r="I8" s="51">
        <v>1607.22</v>
      </c>
      <c r="J8" s="149">
        <v>1607.22</v>
      </c>
      <c r="K8" s="161"/>
      <c r="L8"/>
    </row>
    <row r="9" spans="1:14">
      <c r="A9" s="7">
        <v>5</v>
      </c>
      <c r="B9" s="29" t="s">
        <v>833</v>
      </c>
      <c r="C9" s="29" t="s">
        <v>834</v>
      </c>
      <c r="D9" s="29" t="s">
        <v>835</v>
      </c>
      <c r="E9" s="161" t="s">
        <v>852</v>
      </c>
      <c r="F9" s="7"/>
      <c r="G9" s="251">
        <v>614.66</v>
      </c>
      <c r="H9" s="51">
        <v>0</v>
      </c>
      <c r="I9" s="51">
        <v>614.65</v>
      </c>
      <c r="J9" s="149">
        <v>614.65</v>
      </c>
      <c r="K9" s="161"/>
      <c r="L9"/>
    </row>
    <row r="10" spans="1:14" s="12" customFormat="1">
      <c r="A10" s="283"/>
      <c r="B10" s="34" t="s">
        <v>717</v>
      </c>
      <c r="C10" s="34" t="s">
        <v>460</v>
      </c>
      <c r="D10" s="34" t="s">
        <v>782</v>
      </c>
      <c r="E10" s="284" t="s">
        <v>854</v>
      </c>
      <c r="F10" s="283">
        <v>0</v>
      </c>
      <c r="G10" s="265">
        <v>0</v>
      </c>
      <c r="H10" s="121">
        <v>0</v>
      </c>
      <c r="I10" s="121">
        <v>0</v>
      </c>
      <c r="J10" s="285">
        <v>0</v>
      </c>
      <c r="K10" s="284" t="s">
        <v>936</v>
      </c>
    </row>
    <row r="11" spans="1:14">
      <c r="A11" s="7">
        <v>6</v>
      </c>
      <c r="B11" s="29" t="s">
        <v>661</v>
      </c>
      <c r="C11" s="29" t="s">
        <v>460</v>
      </c>
      <c r="D11" s="29" t="s">
        <v>426</v>
      </c>
      <c r="E11" s="161" t="s">
        <v>852</v>
      </c>
      <c r="F11" s="7"/>
      <c r="G11" s="251">
        <v>1292.3599999999999</v>
      </c>
      <c r="H11" s="51">
        <v>0</v>
      </c>
      <c r="I11" s="51">
        <v>1292.3499999999999</v>
      </c>
      <c r="J11" s="149">
        <v>1292.3499999999999</v>
      </c>
      <c r="K11" s="161"/>
      <c r="L11"/>
    </row>
    <row r="12" spans="1:14">
      <c r="A12" s="7">
        <v>7</v>
      </c>
      <c r="B12" s="29" t="s">
        <v>837</v>
      </c>
      <c r="C12" s="29" t="s">
        <v>745</v>
      </c>
      <c r="D12" s="61" t="s">
        <v>838</v>
      </c>
      <c r="E12" s="161" t="s">
        <v>852</v>
      </c>
      <c r="F12" s="7"/>
      <c r="G12" s="251">
        <v>776.02</v>
      </c>
      <c r="H12" s="51">
        <v>0</v>
      </c>
      <c r="I12" s="51">
        <v>776.01</v>
      </c>
      <c r="J12" s="149">
        <v>776.01</v>
      </c>
      <c r="K12" s="161"/>
      <c r="L12"/>
    </row>
    <row r="13" spans="1:14" s="1" customFormat="1">
      <c r="A13" s="7">
        <v>8</v>
      </c>
      <c r="B13" s="29" t="s">
        <v>663</v>
      </c>
      <c r="C13" s="29" t="s">
        <v>745</v>
      </c>
      <c r="D13" s="37" t="s">
        <v>784</v>
      </c>
      <c r="E13" s="161" t="s">
        <v>852</v>
      </c>
      <c r="F13" s="7"/>
      <c r="G13" s="251">
        <v>587.34</v>
      </c>
      <c r="H13" s="51">
        <v>0</v>
      </c>
      <c r="I13" s="51">
        <v>587.34</v>
      </c>
      <c r="J13" s="149">
        <v>587.34</v>
      </c>
      <c r="K13" s="161"/>
      <c r="L13"/>
      <c r="M13"/>
      <c r="N13"/>
    </row>
    <row r="14" spans="1:14" s="1" customFormat="1">
      <c r="A14" s="7">
        <v>9</v>
      </c>
      <c r="B14" s="29" t="s">
        <v>662</v>
      </c>
      <c r="C14" s="29" t="s">
        <v>745</v>
      </c>
      <c r="D14" s="61" t="s">
        <v>783</v>
      </c>
      <c r="E14" s="161" t="s">
        <v>852</v>
      </c>
      <c r="F14" s="7"/>
      <c r="G14" s="251">
        <v>618.62</v>
      </c>
      <c r="H14" s="51">
        <v>0</v>
      </c>
      <c r="I14" s="51">
        <v>618.62</v>
      </c>
      <c r="J14" s="149">
        <v>618.62</v>
      </c>
      <c r="L14"/>
      <c r="M14"/>
      <c r="N14"/>
    </row>
    <row r="15" spans="1:14">
      <c r="A15" s="7">
        <v>10</v>
      </c>
      <c r="B15" s="29" t="s">
        <v>839</v>
      </c>
      <c r="C15" s="29" t="s">
        <v>840</v>
      </c>
      <c r="D15" s="29" t="s">
        <v>841</v>
      </c>
      <c r="E15" s="161" t="s">
        <v>855</v>
      </c>
      <c r="F15" s="7">
        <v>1</v>
      </c>
      <c r="G15" s="251">
        <v>1012.42</v>
      </c>
      <c r="H15" s="51">
        <v>626.58000000000004</v>
      </c>
      <c r="I15" s="51">
        <f>G15+H15</f>
        <v>1639</v>
      </c>
      <c r="J15" s="149">
        <v>1638.99</v>
      </c>
      <c r="K15" s="161"/>
      <c r="L15"/>
    </row>
    <row r="16" spans="1:14">
      <c r="A16" s="7">
        <v>11</v>
      </c>
      <c r="B16" s="29" t="s">
        <v>664</v>
      </c>
      <c r="C16" s="29" t="s">
        <v>746</v>
      </c>
      <c r="D16" s="29" t="s">
        <v>785</v>
      </c>
      <c r="E16" s="161" t="s">
        <v>854</v>
      </c>
      <c r="F16" s="7">
        <v>1</v>
      </c>
      <c r="G16" s="251">
        <v>1843.96</v>
      </c>
      <c r="H16" s="51">
        <v>0</v>
      </c>
      <c r="I16" s="51">
        <v>1843.95</v>
      </c>
      <c r="J16" s="149">
        <v>1843.95</v>
      </c>
      <c r="K16" s="161"/>
      <c r="L16"/>
    </row>
    <row r="17" spans="1:14">
      <c r="A17" s="7">
        <v>12</v>
      </c>
      <c r="B17" s="29" t="s">
        <v>665</v>
      </c>
      <c r="C17" s="29" t="s">
        <v>746</v>
      </c>
      <c r="D17" s="29" t="s">
        <v>786</v>
      </c>
      <c r="E17" s="161" t="s">
        <v>852</v>
      </c>
      <c r="F17" s="7"/>
      <c r="G17" s="251">
        <v>626.58000000000004</v>
      </c>
      <c r="H17" s="51">
        <v>0</v>
      </c>
      <c r="I17" s="51">
        <v>626.57000000000005</v>
      </c>
      <c r="J17" s="149">
        <v>626.57000000000005</v>
      </c>
      <c r="K17" s="161"/>
      <c r="L17"/>
    </row>
    <row r="18" spans="1:14">
      <c r="A18" s="7">
        <v>13</v>
      </c>
      <c r="B18" s="29" t="s">
        <v>666</v>
      </c>
      <c r="C18" s="29" t="s">
        <v>747</v>
      </c>
      <c r="D18" s="37" t="s">
        <v>787</v>
      </c>
      <c r="E18" s="161" t="s">
        <v>854</v>
      </c>
      <c r="F18" s="7">
        <v>1</v>
      </c>
      <c r="G18" s="251">
        <v>996.54</v>
      </c>
      <c r="H18" s="51">
        <v>0</v>
      </c>
      <c r="I18" s="51">
        <v>996.53</v>
      </c>
      <c r="J18" s="149">
        <v>996.53</v>
      </c>
      <c r="K18" s="161"/>
      <c r="L18"/>
    </row>
    <row r="19" spans="1:14">
      <c r="A19" s="7">
        <v>14</v>
      </c>
      <c r="B19" s="220" t="s">
        <v>934</v>
      </c>
      <c r="C19" s="29" t="s">
        <v>932</v>
      </c>
      <c r="D19" s="37" t="s">
        <v>933</v>
      </c>
      <c r="E19" s="161" t="s">
        <v>852</v>
      </c>
      <c r="F19" s="7"/>
      <c r="G19" s="251">
        <v>539.67999999999995</v>
      </c>
      <c r="H19" s="51">
        <v>0</v>
      </c>
      <c r="I19" s="51">
        <v>539.67999999999995</v>
      </c>
      <c r="J19" s="149">
        <v>0</v>
      </c>
      <c r="K19" s="161" t="s">
        <v>935</v>
      </c>
      <c r="L19"/>
    </row>
    <row r="20" spans="1:14" s="1" customFormat="1">
      <c r="A20" s="7">
        <v>15</v>
      </c>
      <c r="B20" s="29" t="s">
        <v>667</v>
      </c>
      <c r="C20" s="29" t="s">
        <v>466</v>
      </c>
      <c r="D20" s="29" t="s">
        <v>431</v>
      </c>
      <c r="E20" s="161" t="s">
        <v>853</v>
      </c>
      <c r="F20" s="7">
        <v>2</v>
      </c>
      <c r="G20" s="251">
        <v>1881.68</v>
      </c>
      <c r="H20" s="51">
        <v>0</v>
      </c>
      <c r="I20" s="51">
        <v>1881.68</v>
      </c>
      <c r="J20" s="189">
        <v>1881.68</v>
      </c>
      <c r="K20" s="161"/>
      <c r="L20"/>
      <c r="M20"/>
      <c r="N20"/>
    </row>
    <row r="21" spans="1:14">
      <c r="A21" s="7">
        <v>16</v>
      </c>
      <c r="B21" s="29" t="s">
        <v>668</v>
      </c>
      <c r="C21" s="29" t="s">
        <v>748</v>
      </c>
      <c r="D21" s="37" t="s">
        <v>788</v>
      </c>
      <c r="E21" s="161" t="s">
        <v>852</v>
      </c>
      <c r="F21" s="7"/>
      <c r="G21" s="251">
        <v>1107.1600000000001</v>
      </c>
      <c r="H21" s="51">
        <v>0</v>
      </c>
      <c r="I21" s="51">
        <v>1107.1600000000001</v>
      </c>
      <c r="J21" s="149">
        <v>1107.1600000000001</v>
      </c>
      <c r="K21" s="161"/>
      <c r="L21"/>
    </row>
    <row r="22" spans="1:14">
      <c r="A22" s="7">
        <v>17</v>
      </c>
      <c r="B22" s="29" t="s">
        <v>669</v>
      </c>
      <c r="C22" s="29" t="s">
        <v>749</v>
      </c>
      <c r="D22" s="37" t="s">
        <v>789</v>
      </c>
      <c r="E22" s="161" t="s">
        <v>852</v>
      </c>
      <c r="F22" s="7"/>
      <c r="G22" s="251">
        <v>539.67999999999995</v>
      </c>
      <c r="H22" s="51">
        <v>0</v>
      </c>
      <c r="I22" s="51">
        <v>539.67999999999995</v>
      </c>
      <c r="J22" s="149">
        <v>539.67999999999995</v>
      </c>
      <c r="K22" s="161"/>
      <c r="L22"/>
    </row>
    <row r="23" spans="1:14">
      <c r="A23" s="7">
        <v>18</v>
      </c>
      <c r="B23" s="29" t="s">
        <v>729</v>
      </c>
      <c r="C23" s="29" t="s">
        <v>750</v>
      </c>
      <c r="D23" s="37" t="s">
        <v>790</v>
      </c>
      <c r="E23" s="161" t="s">
        <v>852</v>
      </c>
      <c r="F23" s="7"/>
      <c r="G23" s="251">
        <v>618.62</v>
      </c>
      <c r="H23" s="51">
        <v>0</v>
      </c>
      <c r="I23" s="51">
        <v>618.62</v>
      </c>
      <c r="J23" s="149">
        <v>618.62</v>
      </c>
      <c r="K23" s="161"/>
      <c r="L23"/>
    </row>
    <row r="24" spans="1:14">
      <c r="A24" s="7">
        <v>19</v>
      </c>
      <c r="B24" s="29" t="s">
        <v>671</v>
      </c>
      <c r="C24" s="29" t="s">
        <v>751</v>
      </c>
      <c r="D24" s="29" t="s">
        <v>791</v>
      </c>
      <c r="E24" s="161" t="s">
        <v>852</v>
      </c>
      <c r="F24" s="7"/>
      <c r="G24" s="251">
        <v>1489.48</v>
      </c>
      <c r="H24" s="51">
        <v>0</v>
      </c>
      <c r="I24" s="51">
        <v>1489.47</v>
      </c>
      <c r="J24" s="149">
        <v>1489.47</v>
      </c>
      <c r="K24" s="161"/>
      <c r="L24"/>
    </row>
    <row r="25" spans="1:14">
      <c r="A25" s="7">
        <v>20</v>
      </c>
      <c r="B25" s="29" t="s">
        <v>672</v>
      </c>
      <c r="C25" s="29" t="s">
        <v>752</v>
      </c>
      <c r="D25" s="29" t="s">
        <v>792</v>
      </c>
      <c r="E25" s="161" t="s">
        <v>853</v>
      </c>
      <c r="F25" s="7">
        <v>2</v>
      </c>
      <c r="G25" s="251">
        <v>1414.18</v>
      </c>
      <c r="H25" s="51">
        <v>0</v>
      </c>
      <c r="I25" s="51">
        <v>1414.17</v>
      </c>
      <c r="J25" s="149">
        <v>1414.17</v>
      </c>
      <c r="K25" s="161"/>
      <c r="L25"/>
    </row>
    <row r="26" spans="1:14">
      <c r="A26" s="7">
        <v>21</v>
      </c>
      <c r="B26" s="29" t="s">
        <v>674</v>
      </c>
      <c r="C26" s="29" t="s">
        <v>753</v>
      </c>
      <c r="D26" s="29" t="s">
        <v>794</v>
      </c>
      <c r="E26" s="161" t="s">
        <v>852</v>
      </c>
      <c r="F26" s="7"/>
      <c r="G26" s="251">
        <v>602.74</v>
      </c>
      <c r="H26" s="51">
        <v>0</v>
      </c>
      <c r="I26" s="51">
        <v>602.73</v>
      </c>
      <c r="J26" s="149">
        <v>602.73</v>
      </c>
      <c r="K26" s="161"/>
      <c r="L26"/>
    </row>
    <row r="27" spans="1:14">
      <c r="A27" s="7">
        <v>22</v>
      </c>
      <c r="B27" s="29" t="s">
        <v>715</v>
      </c>
      <c r="C27" s="29" t="s">
        <v>754</v>
      </c>
      <c r="D27" s="61" t="s">
        <v>795</v>
      </c>
      <c r="E27" s="161" t="s">
        <v>852</v>
      </c>
      <c r="F27" s="7"/>
      <c r="G27" s="251">
        <v>1209.94</v>
      </c>
      <c r="H27" s="51">
        <v>0</v>
      </c>
      <c r="I27" s="51">
        <v>1209.94</v>
      </c>
      <c r="J27" s="149">
        <v>1209.94</v>
      </c>
      <c r="K27" s="161"/>
      <c r="L27"/>
    </row>
    <row r="28" spans="1:14">
      <c r="A28" s="7">
        <v>23</v>
      </c>
      <c r="B28" s="29" t="s">
        <v>716</v>
      </c>
      <c r="C28" s="29" t="s">
        <v>439</v>
      </c>
      <c r="D28" s="29" t="s">
        <v>505</v>
      </c>
      <c r="E28" s="161" t="s">
        <v>852</v>
      </c>
      <c r="F28" s="7"/>
      <c r="G28" s="251">
        <v>1489.48</v>
      </c>
      <c r="H28" s="51">
        <v>0</v>
      </c>
      <c r="I28" s="51">
        <v>1489.47</v>
      </c>
      <c r="J28" s="149">
        <v>1489.47</v>
      </c>
      <c r="K28" s="161"/>
      <c r="L28"/>
    </row>
    <row r="29" spans="1:14">
      <c r="A29" s="7"/>
      <c r="B29" s="220" t="s">
        <v>675</v>
      </c>
      <c r="C29" s="29" t="s">
        <v>755</v>
      </c>
      <c r="D29" s="29" t="s">
        <v>796</v>
      </c>
      <c r="E29" s="161" t="s">
        <v>852</v>
      </c>
      <c r="F29" s="7"/>
      <c r="G29" s="251">
        <v>646.42999999999995</v>
      </c>
      <c r="H29" s="51">
        <v>0</v>
      </c>
      <c r="I29" s="51">
        <f>SUM(G29:H29)</f>
        <v>646.42999999999995</v>
      </c>
      <c r="J29" s="149"/>
      <c r="K29" s="161" t="s">
        <v>940</v>
      </c>
      <c r="L29"/>
    </row>
    <row r="30" spans="1:14" s="12" customFormat="1" ht="14" customHeight="1">
      <c r="A30" s="7">
        <v>24</v>
      </c>
      <c r="B30" s="29" t="s">
        <v>677</v>
      </c>
      <c r="C30" s="29" t="s">
        <v>755</v>
      </c>
      <c r="D30" s="37" t="s">
        <v>798</v>
      </c>
      <c r="E30" s="161" t="s">
        <v>853</v>
      </c>
      <c r="F30" s="7">
        <v>2</v>
      </c>
      <c r="G30" s="251">
        <v>1741.86</v>
      </c>
      <c r="H30" s="51">
        <v>0</v>
      </c>
      <c r="I30" s="51">
        <v>1741.85</v>
      </c>
      <c r="J30" s="149">
        <v>1741.85</v>
      </c>
      <c r="K30" s="161"/>
      <c r="L30"/>
    </row>
    <row r="31" spans="1:14">
      <c r="A31" s="7">
        <v>25</v>
      </c>
      <c r="B31" s="29" t="s">
        <v>676</v>
      </c>
      <c r="C31" s="29" t="s">
        <v>755</v>
      </c>
      <c r="D31" s="29" t="s">
        <v>797</v>
      </c>
      <c r="E31" s="161" t="s">
        <v>852</v>
      </c>
      <c r="F31" s="7"/>
      <c r="G31" s="251">
        <v>1012.84</v>
      </c>
      <c r="H31" s="51">
        <v>0</v>
      </c>
      <c r="I31" s="51">
        <v>1012.83</v>
      </c>
      <c r="J31" s="149">
        <v>1012.83</v>
      </c>
      <c r="K31" s="161"/>
      <c r="L31"/>
    </row>
    <row r="32" spans="1:14">
      <c r="A32" s="7">
        <v>26</v>
      </c>
      <c r="B32" s="29" t="s">
        <v>678</v>
      </c>
      <c r="C32" s="29" t="s">
        <v>756</v>
      </c>
      <c r="D32" s="37" t="s">
        <v>799</v>
      </c>
      <c r="E32" s="161" t="s">
        <v>852</v>
      </c>
      <c r="F32" s="7"/>
      <c r="G32" s="251">
        <v>1489.48</v>
      </c>
      <c r="H32" s="51">
        <v>0</v>
      </c>
      <c r="I32" s="51">
        <v>1489.47</v>
      </c>
      <c r="J32" s="149">
        <v>1489.47</v>
      </c>
      <c r="K32" s="161"/>
      <c r="L32"/>
    </row>
    <row r="33" spans="1:12">
      <c r="A33" s="7">
        <v>27</v>
      </c>
      <c r="B33" s="29" t="s">
        <v>679</v>
      </c>
      <c r="C33" s="29" t="s">
        <v>756</v>
      </c>
      <c r="D33" s="37" t="s">
        <v>800</v>
      </c>
      <c r="E33" s="161" t="s">
        <v>852</v>
      </c>
      <c r="F33" s="7"/>
      <c r="G33" s="251">
        <v>1426.42</v>
      </c>
      <c r="H33" s="51">
        <v>0</v>
      </c>
      <c r="I33" s="51">
        <v>1426.41</v>
      </c>
      <c r="J33" s="149">
        <v>1426.41</v>
      </c>
      <c r="K33" s="161"/>
      <c r="L33"/>
    </row>
    <row r="34" spans="1:12">
      <c r="A34" s="7">
        <v>28</v>
      </c>
      <c r="B34" s="29" t="s">
        <v>680</v>
      </c>
      <c r="C34" s="29" t="s">
        <v>444</v>
      </c>
      <c r="D34" s="29" t="s">
        <v>506</v>
      </c>
      <c r="E34" s="161" t="s">
        <v>852</v>
      </c>
      <c r="F34" s="7"/>
      <c r="G34" s="251">
        <v>847.02</v>
      </c>
      <c r="H34" s="51">
        <v>0</v>
      </c>
      <c r="I34" s="51">
        <v>847.01</v>
      </c>
      <c r="J34" s="149">
        <v>847.01</v>
      </c>
      <c r="K34" s="161"/>
      <c r="L34"/>
    </row>
    <row r="35" spans="1:12">
      <c r="A35" s="7">
        <v>29</v>
      </c>
      <c r="B35" s="29" t="s">
        <v>682</v>
      </c>
      <c r="C35" s="29" t="s">
        <v>757</v>
      </c>
      <c r="D35" s="29" t="s">
        <v>802</v>
      </c>
      <c r="E35" s="161" t="s">
        <v>854</v>
      </c>
      <c r="F35" s="7">
        <v>1</v>
      </c>
      <c r="G35" s="251">
        <v>1000.52</v>
      </c>
      <c r="H35" s="51">
        <v>0</v>
      </c>
      <c r="I35" s="51">
        <v>1000.51</v>
      </c>
      <c r="J35" s="149">
        <v>1000.51</v>
      </c>
      <c r="K35" s="161"/>
      <c r="L35"/>
    </row>
    <row r="36" spans="1:12">
      <c r="A36" s="7">
        <v>30</v>
      </c>
      <c r="B36" s="29" t="s">
        <v>683</v>
      </c>
      <c r="C36" s="29" t="s">
        <v>757</v>
      </c>
      <c r="D36" s="29" t="s">
        <v>803</v>
      </c>
      <c r="E36" s="161" t="s">
        <v>852</v>
      </c>
      <c r="F36" s="7"/>
      <c r="G36" s="251">
        <v>594.79999999999995</v>
      </c>
      <c r="H36" s="51">
        <v>0</v>
      </c>
      <c r="I36" s="51">
        <v>594.79</v>
      </c>
      <c r="J36" s="149">
        <v>594.79</v>
      </c>
      <c r="K36" s="161"/>
      <c r="L36"/>
    </row>
    <row r="37" spans="1:12">
      <c r="A37" s="7">
        <v>31</v>
      </c>
      <c r="B37" s="29" t="s">
        <v>681</v>
      </c>
      <c r="C37" s="29" t="s">
        <v>757</v>
      </c>
      <c r="D37" s="29" t="s">
        <v>801</v>
      </c>
      <c r="E37" s="161" t="s">
        <v>856</v>
      </c>
      <c r="F37" s="7">
        <v>2</v>
      </c>
      <c r="G37" s="251">
        <v>1390.32</v>
      </c>
      <c r="H37" s="51">
        <v>614.66</v>
      </c>
      <c r="I37" s="51">
        <f>G37+H37</f>
        <v>2004.98</v>
      </c>
      <c r="J37" s="149">
        <v>2004.98</v>
      </c>
      <c r="K37" s="161"/>
      <c r="L37"/>
    </row>
    <row r="38" spans="1:12">
      <c r="A38" s="7">
        <v>32</v>
      </c>
      <c r="B38" s="29" t="s">
        <v>684</v>
      </c>
      <c r="C38" s="29" t="s">
        <v>476</v>
      </c>
      <c r="D38" s="37" t="s">
        <v>804</v>
      </c>
      <c r="E38" s="161" t="s">
        <v>852</v>
      </c>
      <c r="F38" s="7"/>
      <c r="G38" s="251">
        <v>610.67999999999995</v>
      </c>
      <c r="H38" s="51">
        <v>0</v>
      </c>
      <c r="I38" s="51">
        <v>610.67999999999995</v>
      </c>
      <c r="J38" s="149">
        <v>610.67999999999995</v>
      </c>
      <c r="K38" s="161"/>
      <c r="L38"/>
    </row>
    <row r="39" spans="1:12">
      <c r="A39" s="7">
        <v>33</v>
      </c>
      <c r="B39" s="29" t="s">
        <v>686</v>
      </c>
      <c r="C39" s="29" t="s">
        <v>758</v>
      </c>
      <c r="D39" s="29" t="s">
        <v>805</v>
      </c>
      <c r="E39" s="161" t="s">
        <v>852</v>
      </c>
      <c r="F39" s="7"/>
      <c r="G39" s="251">
        <v>539.67999999999995</v>
      </c>
      <c r="H39" s="51">
        <v>0</v>
      </c>
      <c r="I39" s="51">
        <v>539.67999999999995</v>
      </c>
      <c r="J39" s="149">
        <v>539.67999999999995</v>
      </c>
      <c r="K39" s="161"/>
      <c r="L39"/>
    </row>
    <row r="40" spans="1:12">
      <c r="A40" s="7">
        <v>34</v>
      </c>
      <c r="B40" s="29" t="s">
        <v>687</v>
      </c>
      <c r="C40" s="29" t="s">
        <v>478</v>
      </c>
      <c r="D40" s="29" t="s">
        <v>448</v>
      </c>
      <c r="E40" s="161" t="s">
        <v>852</v>
      </c>
      <c r="F40" s="7"/>
      <c r="G40" s="251">
        <v>1489.48</v>
      </c>
      <c r="H40" s="51">
        <v>0</v>
      </c>
      <c r="I40" s="51">
        <v>1489.47</v>
      </c>
      <c r="J40" s="149">
        <v>1489.47</v>
      </c>
      <c r="K40" s="161"/>
      <c r="L40"/>
    </row>
    <row r="41" spans="1:12">
      <c r="A41" s="7">
        <v>35</v>
      </c>
      <c r="B41" s="29" t="s">
        <v>688</v>
      </c>
      <c r="C41" s="29" t="s">
        <v>759</v>
      </c>
      <c r="D41" s="37" t="s">
        <v>806</v>
      </c>
      <c r="E41" s="161" t="s">
        <v>852</v>
      </c>
      <c r="F41" s="7"/>
      <c r="G41" s="251">
        <v>602.74</v>
      </c>
      <c r="H41" s="51">
        <v>0</v>
      </c>
      <c r="I41" s="51">
        <v>602.73</v>
      </c>
      <c r="J41" s="149">
        <v>602.73</v>
      </c>
      <c r="K41" s="161"/>
      <c r="L41"/>
    </row>
    <row r="42" spans="1:12">
      <c r="A42" s="7">
        <v>36</v>
      </c>
      <c r="B42" s="29" t="s">
        <v>689</v>
      </c>
      <c r="C42" s="29" t="s">
        <v>760</v>
      </c>
      <c r="D42" s="29" t="s">
        <v>807</v>
      </c>
      <c r="E42" s="161" t="s">
        <v>852</v>
      </c>
      <c r="F42" s="7"/>
      <c r="G42" s="251">
        <v>508.4</v>
      </c>
      <c r="H42" s="51">
        <v>0</v>
      </c>
      <c r="I42" s="51">
        <v>508.4</v>
      </c>
      <c r="J42" s="149">
        <v>508.4</v>
      </c>
      <c r="K42" s="161"/>
      <c r="L42"/>
    </row>
    <row r="43" spans="1:12">
      <c r="A43" s="7">
        <v>37</v>
      </c>
      <c r="B43" s="29" t="s">
        <v>690</v>
      </c>
      <c r="C43" s="29" t="s">
        <v>761</v>
      </c>
      <c r="D43" s="29" t="s">
        <v>808</v>
      </c>
      <c r="E43" s="161" t="s">
        <v>852</v>
      </c>
      <c r="F43" s="7"/>
      <c r="G43" s="251">
        <v>539.67999999999995</v>
      </c>
      <c r="H43" s="51">
        <v>0</v>
      </c>
      <c r="I43" s="51">
        <v>539.67999999999995</v>
      </c>
      <c r="J43" s="149">
        <v>539.67999999999995</v>
      </c>
      <c r="K43" s="161"/>
      <c r="L43"/>
    </row>
    <row r="44" spans="1:12">
      <c r="A44" s="7">
        <v>38</v>
      </c>
      <c r="B44" s="29" t="s">
        <v>691</v>
      </c>
      <c r="C44" s="29" t="s">
        <v>480</v>
      </c>
      <c r="D44" s="37" t="s">
        <v>809</v>
      </c>
      <c r="E44" s="161" t="s">
        <v>853</v>
      </c>
      <c r="F44" s="7">
        <v>2</v>
      </c>
      <c r="G44" s="251">
        <v>2023.68</v>
      </c>
      <c r="H44" s="51">
        <v>0</v>
      </c>
      <c r="I44" s="51">
        <v>2023.68</v>
      </c>
      <c r="J44" s="149">
        <v>2023.68</v>
      </c>
      <c r="K44" s="161"/>
      <c r="L44"/>
    </row>
    <row r="45" spans="1:12">
      <c r="A45" s="7">
        <v>39</v>
      </c>
      <c r="B45" s="29" t="s">
        <v>692</v>
      </c>
      <c r="C45" s="29" t="s">
        <v>762</v>
      </c>
      <c r="D45" s="29" t="s">
        <v>810</v>
      </c>
      <c r="E45" s="161" t="s">
        <v>854</v>
      </c>
      <c r="F45" s="7">
        <v>1</v>
      </c>
      <c r="G45" s="251">
        <v>1008.46</v>
      </c>
      <c r="H45" s="51">
        <v>0</v>
      </c>
      <c r="I45" s="51">
        <v>1008.45</v>
      </c>
      <c r="J45" s="149">
        <v>1008.45</v>
      </c>
      <c r="K45" s="161"/>
      <c r="L45"/>
    </row>
    <row r="46" spans="1:12">
      <c r="A46" s="7">
        <v>40</v>
      </c>
      <c r="B46" s="29" t="s">
        <v>693</v>
      </c>
      <c r="C46" s="29" t="s">
        <v>763</v>
      </c>
      <c r="D46" s="29" t="s">
        <v>811</v>
      </c>
      <c r="E46" s="161" t="s">
        <v>852</v>
      </c>
      <c r="F46" s="7"/>
      <c r="G46" s="251">
        <v>606.72</v>
      </c>
      <c r="H46" s="51">
        <v>0</v>
      </c>
      <c r="I46" s="51">
        <v>606.71</v>
      </c>
      <c r="J46" s="149">
        <v>606.71</v>
      </c>
      <c r="K46" s="161"/>
      <c r="L46"/>
    </row>
    <row r="47" spans="1:12">
      <c r="A47" s="7">
        <v>41</v>
      </c>
      <c r="B47" s="29" t="s">
        <v>694</v>
      </c>
      <c r="C47" s="29" t="s">
        <v>764</v>
      </c>
      <c r="D47" s="29" t="s">
        <v>812</v>
      </c>
      <c r="E47" s="161" t="s">
        <v>854</v>
      </c>
      <c r="F47" s="7">
        <v>1</v>
      </c>
      <c r="G47" s="251">
        <v>1169.82</v>
      </c>
      <c r="H47" s="51">
        <v>0</v>
      </c>
      <c r="I47" s="51">
        <v>1169.81</v>
      </c>
      <c r="J47" s="149">
        <v>1169.81</v>
      </c>
      <c r="K47" s="161"/>
      <c r="L47"/>
    </row>
    <row r="48" spans="1:12">
      <c r="A48" s="7">
        <v>42</v>
      </c>
      <c r="B48" s="29" t="s">
        <v>695</v>
      </c>
      <c r="C48" s="29" t="s">
        <v>765</v>
      </c>
      <c r="D48" s="29" t="s">
        <v>813</v>
      </c>
      <c r="E48" s="161" t="s">
        <v>854</v>
      </c>
      <c r="F48" s="7">
        <v>1</v>
      </c>
      <c r="G48" s="251">
        <v>1406.64</v>
      </c>
      <c r="H48" s="51">
        <v>0</v>
      </c>
      <c r="I48" s="51">
        <v>1406.63</v>
      </c>
      <c r="J48" s="149">
        <v>1406.63</v>
      </c>
      <c r="K48" s="161"/>
      <c r="L48"/>
    </row>
    <row r="49" spans="1:12">
      <c r="A49" s="7">
        <v>43</v>
      </c>
      <c r="B49" s="29" t="s">
        <v>696</v>
      </c>
      <c r="C49" s="29" t="s">
        <v>766</v>
      </c>
      <c r="D49" s="37" t="s">
        <v>814</v>
      </c>
      <c r="E49" s="161" t="s">
        <v>852</v>
      </c>
      <c r="F49" s="7"/>
      <c r="G49" s="251">
        <v>1158.3</v>
      </c>
      <c r="H49" s="51">
        <v>0</v>
      </c>
      <c r="I49" s="51">
        <v>1158.3</v>
      </c>
      <c r="J49" s="149">
        <v>1158.3</v>
      </c>
      <c r="K49" s="161"/>
      <c r="L49"/>
    </row>
    <row r="50" spans="1:12">
      <c r="A50" s="7">
        <v>44</v>
      </c>
      <c r="B50" s="29" t="s">
        <v>697</v>
      </c>
      <c r="C50" s="29" t="s">
        <v>767</v>
      </c>
      <c r="D50" s="37" t="s">
        <v>815</v>
      </c>
      <c r="E50" s="161" t="s">
        <v>854</v>
      </c>
      <c r="F50" s="7">
        <v>1</v>
      </c>
      <c r="G50" s="251">
        <v>1706.44</v>
      </c>
      <c r="H50" s="51">
        <v>0</v>
      </c>
      <c r="I50" s="51">
        <v>1706.43</v>
      </c>
      <c r="J50" s="149">
        <v>1706.43</v>
      </c>
      <c r="K50" s="161"/>
      <c r="L50"/>
    </row>
    <row r="51" spans="1:12">
      <c r="A51" s="7">
        <v>45</v>
      </c>
      <c r="B51" s="29" t="s">
        <v>732</v>
      </c>
      <c r="C51" s="29" t="s">
        <v>768</v>
      </c>
      <c r="D51" s="37" t="s">
        <v>816</v>
      </c>
      <c r="E51" s="161" t="s">
        <v>852</v>
      </c>
      <c r="F51" s="7"/>
      <c r="G51" s="251">
        <v>1465.64</v>
      </c>
      <c r="H51" s="51">
        <v>0</v>
      </c>
      <c r="I51" s="51">
        <v>1465.63</v>
      </c>
      <c r="J51" s="149">
        <v>1465.63</v>
      </c>
      <c r="K51" s="161"/>
      <c r="L51"/>
    </row>
    <row r="52" spans="1:12">
      <c r="A52" s="7">
        <v>46</v>
      </c>
      <c r="B52" s="29" t="s">
        <v>842</v>
      </c>
      <c r="C52" s="29" t="s">
        <v>769</v>
      </c>
      <c r="D52" s="29" t="s">
        <v>843</v>
      </c>
      <c r="E52" s="161" t="s">
        <v>852</v>
      </c>
      <c r="F52" s="7"/>
      <c r="G52" s="251">
        <v>498.48</v>
      </c>
      <c r="H52" s="51">
        <v>0</v>
      </c>
      <c r="I52" s="51">
        <v>498.47</v>
      </c>
      <c r="J52" s="149">
        <v>498.47</v>
      </c>
      <c r="K52" s="161"/>
      <c r="L52"/>
    </row>
    <row r="53" spans="1:12">
      <c r="A53" s="7">
        <v>47</v>
      </c>
      <c r="B53" s="29" t="s">
        <v>698</v>
      </c>
      <c r="C53" s="29" t="s">
        <v>769</v>
      </c>
      <c r="D53" s="37" t="s">
        <v>817</v>
      </c>
      <c r="E53" s="161" t="s">
        <v>852</v>
      </c>
      <c r="F53" s="7"/>
      <c r="G53" s="251">
        <v>587.34</v>
      </c>
      <c r="H53" s="51">
        <v>0</v>
      </c>
      <c r="I53" s="51">
        <v>587.34</v>
      </c>
      <c r="J53" s="149">
        <v>587.34</v>
      </c>
      <c r="K53" s="225"/>
      <c r="L53"/>
    </row>
    <row r="54" spans="1:12">
      <c r="A54" s="7">
        <v>48</v>
      </c>
      <c r="B54" s="29" t="s">
        <v>699</v>
      </c>
      <c r="C54" s="29" t="s">
        <v>770</v>
      </c>
      <c r="D54" s="29" t="s">
        <v>818</v>
      </c>
      <c r="E54" s="161" t="s">
        <v>852</v>
      </c>
      <c r="F54" s="7"/>
      <c r="G54" s="251">
        <v>1465.64</v>
      </c>
      <c r="H54" s="51">
        <v>0</v>
      </c>
      <c r="I54" s="51">
        <v>1465.63</v>
      </c>
      <c r="J54" s="149">
        <v>1465.63</v>
      </c>
      <c r="K54" s="161"/>
      <c r="L54"/>
    </row>
    <row r="55" spans="1:12">
      <c r="A55" s="7">
        <v>49</v>
      </c>
      <c r="B55" s="29" t="s">
        <v>700</v>
      </c>
      <c r="C55" s="29" t="s">
        <v>771</v>
      </c>
      <c r="D55" s="37" t="s">
        <v>819</v>
      </c>
      <c r="E55" s="161" t="s">
        <v>854</v>
      </c>
      <c r="F55" s="7">
        <v>1</v>
      </c>
      <c r="G55" s="251">
        <v>1706.44</v>
      </c>
      <c r="H55" s="51">
        <v>0</v>
      </c>
      <c r="I55" s="51">
        <v>1706.43</v>
      </c>
      <c r="J55" s="149">
        <v>1706.43</v>
      </c>
      <c r="K55" s="161"/>
      <c r="L55"/>
    </row>
    <row r="56" spans="1:12">
      <c r="A56" s="7">
        <v>50</v>
      </c>
      <c r="B56" s="29" t="s">
        <v>736</v>
      </c>
      <c r="C56" s="29" t="s">
        <v>772</v>
      </c>
      <c r="D56" s="37" t="s">
        <v>820</v>
      </c>
      <c r="E56" s="161" t="s">
        <v>852</v>
      </c>
      <c r="F56" s="7"/>
      <c r="G56" s="251">
        <v>520.32000000000005</v>
      </c>
      <c r="H56" s="51">
        <v>0</v>
      </c>
      <c r="I56" s="51">
        <v>520.32000000000005</v>
      </c>
      <c r="J56" s="149">
        <v>520.32000000000005</v>
      </c>
      <c r="K56" s="161"/>
      <c r="L56"/>
    </row>
    <row r="57" spans="1:12">
      <c r="A57" s="7">
        <v>51</v>
      </c>
      <c r="B57" s="29" t="s">
        <v>702</v>
      </c>
      <c r="C57" s="29" t="s">
        <v>487</v>
      </c>
      <c r="D57" s="29" t="s">
        <v>516</v>
      </c>
      <c r="E57" s="161" t="s">
        <v>852</v>
      </c>
      <c r="F57" s="7"/>
      <c r="G57" s="251">
        <v>925.96</v>
      </c>
      <c r="H57" s="51">
        <v>0</v>
      </c>
      <c r="I57" s="51">
        <v>925.95</v>
      </c>
      <c r="J57" s="149">
        <v>925.95</v>
      </c>
      <c r="K57" s="161"/>
      <c r="L57"/>
    </row>
    <row r="58" spans="1:12">
      <c r="A58" s="7">
        <v>52</v>
      </c>
      <c r="B58" s="29" t="s">
        <v>703</v>
      </c>
      <c r="C58" s="29" t="s">
        <v>488</v>
      </c>
      <c r="D58" s="29" t="s">
        <v>517</v>
      </c>
      <c r="E58" s="161" t="s">
        <v>852</v>
      </c>
      <c r="F58" s="7"/>
      <c r="G58" s="251">
        <v>1489.48</v>
      </c>
      <c r="H58" s="51">
        <v>0</v>
      </c>
      <c r="I58" s="51">
        <v>1489.47</v>
      </c>
      <c r="J58" s="149">
        <v>1489.47</v>
      </c>
      <c r="K58" s="161"/>
      <c r="L58"/>
    </row>
    <row r="59" spans="1:12">
      <c r="A59" s="7">
        <v>53</v>
      </c>
      <c r="B59" s="29" t="s">
        <v>704</v>
      </c>
      <c r="C59" s="29" t="s">
        <v>773</v>
      </c>
      <c r="D59" s="29" t="s">
        <v>821</v>
      </c>
      <c r="E59" s="161" t="s">
        <v>852</v>
      </c>
      <c r="F59" s="7"/>
      <c r="G59" s="251">
        <v>1489.48</v>
      </c>
      <c r="H59" s="51">
        <v>0</v>
      </c>
      <c r="I59" s="51">
        <v>1489.47</v>
      </c>
      <c r="J59" s="149">
        <v>1489.47</v>
      </c>
      <c r="K59" s="161"/>
      <c r="L59"/>
    </row>
    <row r="60" spans="1:12">
      <c r="A60" s="7">
        <v>54</v>
      </c>
      <c r="B60" s="29" t="s">
        <v>705</v>
      </c>
      <c r="C60" s="29" t="s">
        <v>491</v>
      </c>
      <c r="D60" s="29" t="s">
        <v>456</v>
      </c>
      <c r="E60" s="161" t="s">
        <v>852</v>
      </c>
      <c r="F60" s="7"/>
      <c r="G60" s="251">
        <v>744.74</v>
      </c>
      <c r="H60" s="51">
        <v>0</v>
      </c>
      <c r="I60" s="51">
        <v>744.73</v>
      </c>
      <c r="J60" s="149">
        <v>744.73</v>
      </c>
      <c r="K60" s="161"/>
      <c r="L60"/>
    </row>
    <row r="61" spans="1:12">
      <c r="A61" s="7">
        <v>55</v>
      </c>
      <c r="B61" s="29" t="s">
        <v>707</v>
      </c>
      <c r="C61" s="29" t="s">
        <v>774</v>
      </c>
      <c r="D61" s="29" t="s">
        <v>823</v>
      </c>
      <c r="E61" s="161" t="s">
        <v>854</v>
      </c>
      <c r="F61" s="7">
        <v>1</v>
      </c>
      <c r="G61" s="251">
        <v>1272.5</v>
      </c>
      <c r="H61" s="51">
        <v>0</v>
      </c>
      <c r="I61" s="51">
        <v>1272.5</v>
      </c>
      <c r="J61" s="149">
        <v>1272.5</v>
      </c>
      <c r="K61" s="161"/>
      <c r="L61"/>
    </row>
    <row r="62" spans="1:12">
      <c r="A62" s="7">
        <v>56</v>
      </c>
      <c r="B62" s="29" t="s">
        <v>706</v>
      </c>
      <c r="C62" s="29" t="s">
        <v>774</v>
      </c>
      <c r="D62" s="37" t="s">
        <v>822</v>
      </c>
      <c r="E62" s="161" t="s">
        <v>852</v>
      </c>
      <c r="F62" s="7"/>
      <c r="G62" s="251">
        <v>618.62</v>
      </c>
      <c r="H62" s="51">
        <v>0</v>
      </c>
      <c r="I62" s="51">
        <v>618.62</v>
      </c>
      <c r="J62" s="149">
        <v>618.62</v>
      </c>
      <c r="K62" s="161"/>
      <c r="L62"/>
    </row>
    <row r="63" spans="1:12">
      <c r="A63" s="7">
        <v>57</v>
      </c>
      <c r="B63" s="29" t="s">
        <v>708</v>
      </c>
      <c r="C63" s="29" t="s">
        <v>775</v>
      </c>
      <c r="D63" s="37" t="s">
        <v>824</v>
      </c>
      <c r="E63" s="161" t="s">
        <v>854</v>
      </c>
      <c r="F63" s="7">
        <v>1</v>
      </c>
      <c r="G63" s="251">
        <v>1558.48</v>
      </c>
      <c r="H63" s="51">
        <v>0</v>
      </c>
      <c r="I63" s="51">
        <v>1558.47</v>
      </c>
      <c r="J63" s="149">
        <v>1558.47</v>
      </c>
      <c r="K63" s="161"/>
      <c r="L63"/>
    </row>
    <row r="64" spans="1:12">
      <c r="A64" s="7">
        <v>58</v>
      </c>
      <c r="B64" s="29" t="s">
        <v>709</v>
      </c>
      <c r="C64" s="29" t="s">
        <v>776</v>
      </c>
      <c r="D64" s="37" t="s">
        <v>825</v>
      </c>
      <c r="E64" s="161" t="s">
        <v>852</v>
      </c>
      <c r="F64" s="7"/>
      <c r="G64" s="251">
        <v>594.79999999999995</v>
      </c>
      <c r="H64" s="51">
        <v>0</v>
      </c>
      <c r="I64" s="51">
        <v>594.79</v>
      </c>
      <c r="J64" s="149">
        <v>594.79</v>
      </c>
      <c r="K64" s="161"/>
      <c r="L64"/>
    </row>
    <row r="65" spans="1:15">
      <c r="A65" s="7">
        <v>59</v>
      </c>
      <c r="B65" s="29" t="s">
        <v>711</v>
      </c>
      <c r="C65" s="29" t="s">
        <v>777</v>
      </c>
      <c r="D65" s="29" t="s">
        <v>827</v>
      </c>
      <c r="E65" s="161" t="s">
        <v>853</v>
      </c>
      <c r="F65" s="7">
        <v>2</v>
      </c>
      <c r="G65" s="251">
        <v>1681.28</v>
      </c>
      <c r="H65" s="51">
        <v>0</v>
      </c>
      <c r="I65" s="51">
        <v>1681.28</v>
      </c>
      <c r="J65" s="149">
        <v>1681.28</v>
      </c>
      <c r="K65" s="161"/>
      <c r="L65"/>
    </row>
    <row r="66" spans="1:15">
      <c r="A66" s="7">
        <v>60</v>
      </c>
      <c r="B66" s="29" t="s">
        <v>710</v>
      </c>
      <c r="C66" s="29" t="s">
        <v>777</v>
      </c>
      <c r="D66" s="29" t="s">
        <v>826</v>
      </c>
      <c r="E66" s="161" t="s">
        <v>852</v>
      </c>
      <c r="F66" s="7"/>
      <c r="G66" s="251">
        <v>886.72</v>
      </c>
      <c r="H66" s="51">
        <v>0</v>
      </c>
      <c r="I66" s="51">
        <v>886.72</v>
      </c>
      <c r="J66" s="51">
        <v>886.72</v>
      </c>
      <c r="K66" s="161"/>
      <c r="L66"/>
    </row>
    <row r="67" spans="1:15">
      <c r="A67" s="7">
        <v>61</v>
      </c>
      <c r="B67" s="29" t="s">
        <v>712</v>
      </c>
      <c r="C67" s="29" t="s">
        <v>778</v>
      </c>
      <c r="D67" s="37" t="s">
        <v>828</v>
      </c>
      <c r="E67" s="161" t="s">
        <v>852</v>
      </c>
      <c r="F67" s="7"/>
      <c r="G67" s="251">
        <v>587.34</v>
      </c>
      <c r="H67" s="51">
        <v>0</v>
      </c>
      <c r="I67" s="51">
        <v>587.34</v>
      </c>
      <c r="J67" s="149">
        <v>587.34</v>
      </c>
      <c r="K67" s="161"/>
      <c r="L67"/>
    </row>
    <row r="68" spans="1:15">
      <c r="A68" s="7">
        <v>62</v>
      </c>
      <c r="B68" s="29" t="s">
        <v>713</v>
      </c>
      <c r="C68" s="29" t="s">
        <v>778</v>
      </c>
      <c r="D68" s="37" t="s">
        <v>829</v>
      </c>
      <c r="E68" s="161" t="s">
        <v>856</v>
      </c>
      <c r="F68" s="7">
        <v>2</v>
      </c>
      <c r="G68" s="251">
        <v>1402.26</v>
      </c>
      <c r="H68" s="51">
        <v>657.84</v>
      </c>
      <c r="I68" s="51">
        <f>G68+H68</f>
        <v>2060.1</v>
      </c>
      <c r="J68" s="189">
        <v>2060.09</v>
      </c>
      <c r="K68" s="161"/>
      <c r="L68"/>
    </row>
    <row r="69" spans="1:15" s="12" customFormat="1">
      <c r="A69" s="283"/>
      <c r="B69" s="34" t="s">
        <v>868</v>
      </c>
      <c r="C69" s="34" t="s">
        <v>870</v>
      </c>
      <c r="D69" s="34" t="s">
        <v>869</v>
      </c>
      <c r="E69" s="34" t="s">
        <v>854</v>
      </c>
      <c r="F69" s="283">
        <v>0</v>
      </c>
      <c r="G69" s="265">
        <v>0</v>
      </c>
      <c r="H69" s="121">
        <v>0</v>
      </c>
      <c r="I69" s="265">
        <v>0</v>
      </c>
      <c r="J69" s="265">
        <v>0</v>
      </c>
      <c r="K69" s="284" t="s">
        <v>936</v>
      </c>
    </row>
    <row r="70" spans="1:15">
      <c r="A70" s="113"/>
      <c r="E70" s="261"/>
      <c r="F70" s="282"/>
      <c r="G70" s="262"/>
      <c r="H70" s="262"/>
      <c r="I70" s="262"/>
      <c r="J70" s="263"/>
      <c r="K70" s="117"/>
      <c r="N70" s="15"/>
      <c r="O70" s="15"/>
    </row>
    <row r="71" spans="1:15">
      <c r="A71" s="428" t="s">
        <v>652</v>
      </c>
      <c r="B71" s="429"/>
      <c r="C71" s="429"/>
      <c r="D71" s="429"/>
      <c r="E71" s="429"/>
      <c r="F71" s="429"/>
      <c r="G71" s="430"/>
      <c r="H71" s="246"/>
      <c r="I71" s="264">
        <f>SUM(I5:I69)</f>
        <v>70235.190000000017</v>
      </c>
      <c r="J71" s="111">
        <f>SUM(J5:J69)</f>
        <v>69049.06</v>
      </c>
      <c r="K71" s="255"/>
      <c r="L71"/>
    </row>
    <row r="72" spans="1:15">
      <c r="A72" s="431"/>
      <c r="B72" s="453"/>
      <c r="C72" s="432"/>
      <c r="D72" s="141"/>
      <c r="E72" s="271" t="s">
        <v>258</v>
      </c>
      <c r="F72" s="7">
        <v>62</v>
      </c>
      <c r="G72" s="161"/>
      <c r="H72" s="161"/>
      <c r="I72" s="161"/>
      <c r="J72" s="52"/>
      <c r="K72" s="241"/>
      <c r="L72"/>
    </row>
    <row r="73" spans="1:15">
      <c r="A73" s="271"/>
      <c r="B73" s="272"/>
      <c r="C73" s="141"/>
      <c r="D73" s="141"/>
      <c r="E73" s="141" t="s">
        <v>930</v>
      </c>
      <c r="F73" s="7">
        <v>4</v>
      </c>
      <c r="G73" s="161"/>
      <c r="H73" s="161"/>
      <c r="I73" s="161"/>
      <c r="J73" s="52"/>
      <c r="K73" s="241"/>
      <c r="L73"/>
    </row>
    <row r="74" spans="1:15">
      <c r="A74" s="431"/>
      <c r="B74" s="453"/>
      <c r="C74" s="432"/>
      <c r="D74" s="141"/>
      <c r="E74" s="271" t="s">
        <v>931</v>
      </c>
      <c r="F74" s="58">
        <f>SUM(F5:F69)</f>
        <v>29</v>
      </c>
      <c r="G74" s="161"/>
      <c r="H74" s="196"/>
      <c r="I74" s="196"/>
      <c r="J74" s="52"/>
      <c r="K74" s="241"/>
      <c r="L74"/>
    </row>
    <row r="75" spans="1:15">
      <c r="A75" s="433"/>
      <c r="B75" s="454"/>
      <c r="C75" s="434"/>
      <c r="D75" s="92"/>
      <c r="E75" s="91" t="s">
        <v>246</v>
      </c>
      <c r="F75" s="86">
        <f>F72+F74+F73</f>
        <v>95</v>
      </c>
      <c r="G75" s="161"/>
      <c r="H75" s="187"/>
      <c r="I75" s="187"/>
      <c r="J75" s="52"/>
      <c r="K75" s="241"/>
      <c r="L75"/>
    </row>
    <row r="76" spans="1:15">
      <c r="A76" s="455" t="s">
        <v>830</v>
      </c>
      <c r="B76" s="456"/>
      <c r="C76" s="456"/>
      <c r="D76" s="456"/>
      <c r="E76" s="456"/>
      <c r="F76" s="456"/>
      <c r="G76" s="457"/>
      <c r="H76" s="247"/>
      <c r="I76" s="247"/>
      <c r="J76" s="184"/>
      <c r="K76" s="256"/>
      <c r="L76"/>
      <c r="M76" s="15"/>
    </row>
    <row r="77" spans="1:15" s="1" customFormat="1">
      <c r="A77" s="291"/>
      <c r="M77" s="116"/>
    </row>
    <row r="78" spans="1:15" s="287" customFormat="1">
      <c r="A78" s="196"/>
      <c r="B78" s="29" t="s">
        <v>717</v>
      </c>
      <c r="C78" s="29" t="s">
        <v>460</v>
      </c>
      <c r="D78" s="29" t="s">
        <v>782</v>
      </c>
      <c r="E78" s="161" t="s">
        <v>854</v>
      </c>
      <c r="F78" s="37"/>
      <c r="G78" s="37"/>
      <c r="H78" s="37"/>
      <c r="I78" s="37"/>
      <c r="J78" s="288">
        <v>-1773.94</v>
      </c>
      <c r="K78" s="37" t="s">
        <v>936</v>
      </c>
      <c r="M78" s="289"/>
    </row>
    <row r="79" spans="1:15" s="287" customFormat="1">
      <c r="A79" s="196"/>
      <c r="B79" s="37" t="s">
        <v>868</v>
      </c>
      <c r="C79" s="37" t="s">
        <v>870</v>
      </c>
      <c r="D79" s="37" t="s">
        <v>869</v>
      </c>
      <c r="E79" s="37" t="s">
        <v>854</v>
      </c>
      <c r="F79" s="58"/>
      <c r="G79" s="196"/>
      <c r="H79" s="290"/>
      <c r="I79" s="196"/>
      <c r="J79" s="288">
        <v>-1383.21</v>
      </c>
      <c r="K79" s="37" t="s">
        <v>936</v>
      </c>
      <c r="M79" s="289"/>
    </row>
    <row r="80" spans="1:15">
      <c r="A80" s="196"/>
      <c r="B80" s="196"/>
      <c r="C80" s="29"/>
      <c r="D80" s="29"/>
      <c r="E80" s="29"/>
      <c r="F80" s="7"/>
      <c r="G80" s="196"/>
      <c r="H80" s="196"/>
      <c r="I80" s="196"/>
      <c r="J80" s="52"/>
      <c r="K80" s="241"/>
      <c r="L80"/>
      <c r="M80" s="15"/>
    </row>
    <row r="81" spans="1:15" ht="12" customHeight="1">
      <c r="A81" s="428" t="s">
        <v>846</v>
      </c>
      <c r="B81" s="429"/>
      <c r="C81" s="429"/>
      <c r="D81" s="429"/>
      <c r="E81" s="429"/>
      <c r="F81" s="429"/>
      <c r="G81" s="430"/>
      <c r="H81" s="246"/>
      <c r="I81" s="246"/>
      <c r="J81" s="293">
        <f>SUM(J78:J80)</f>
        <v>-3157.15</v>
      </c>
      <c r="K81" s="258"/>
      <c r="L81"/>
    </row>
    <row r="82" spans="1:15" ht="12" customHeight="1">
      <c r="A82" s="172"/>
      <c r="B82" s="173"/>
      <c r="C82" s="173"/>
      <c r="D82" s="173"/>
      <c r="E82" s="173"/>
      <c r="F82" s="281"/>
      <c r="G82" s="167"/>
      <c r="H82" s="167"/>
      <c r="I82" s="167"/>
      <c r="J82" s="83"/>
      <c r="K82" s="259"/>
      <c r="L82"/>
    </row>
    <row r="83" spans="1:15" ht="16">
      <c r="A83" s="450" t="s">
        <v>881</v>
      </c>
      <c r="B83" s="451"/>
      <c r="C83" s="451"/>
      <c r="D83" s="451"/>
      <c r="E83" s="451"/>
      <c r="F83" s="451"/>
      <c r="G83" s="452"/>
      <c r="H83" s="267"/>
      <c r="I83" s="267"/>
      <c r="J83" s="268">
        <f>J71+J81</f>
        <v>65891.91</v>
      </c>
      <c r="K83" s="260"/>
      <c r="L83"/>
    </row>
    <row r="84" spans="1:15" ht="18">
      <c r="G84" s="218" t="s">
        <v>250</v>
      </c>
      <c r="H84" s="238">
        <v>45028</v>
      </c>
      <c r="I84"/>
      <c r="J84"/>
      <c r="K84"/>
      <c r="L84"/>
    </row>
    <row r="85" spans="1:15" ht="18">
      <c r="G85" s="218" t="s">
        <v>251</v>
      </c>
      <c r="H85" s="239" t="s">
        <v>653</v>
      </c>
      <c r="I85"/>
      <c r="J85"/>
      <c r="K85"/>
      <c r="L85"/>
    </row>
    <row r="88" spans="1:15">
      <c r="H88" s="269"/>
      <c r="J88" s="270"/>
    </row>
    <row r="90" spans="1:15" s="3" customFormat="1">
      <c r="A90"/>
      <c r="B90"/>
      <c r="C90"/>
      <c r="D90"/>
      <c r="E90"/>
      <c r="G90" s="216"/>
      <c r="H90" s="216"/>
      <c r="I90" s="216"/>
      <c r="K90" s="152"/>
      <c r="L90" s="216"/>
      <c r="M90"/>
      <c r="N90"/>
      <c r="O90"/>
    </row>
  </sheetData>
  <autoFilter ref="A4:L69" xr:uid="{EC283F26-1258-B84E-AE05-5C35489C3CC6}">
    <sortState xmlns:xlrd2="http://schemas.microsoft.com/office/spreadsheetml/2017/richdata2" ref="A5:L69">
      <sortCondition ref="C4:C69"/>
    </sortState>
  </autoFilter>
  <mergeCells count="7">
    <mergeCell ref="A83:G83"/>
    <mergeCell ref="A71:G71"/>
    <mergeCell ref="A72:C72"/>
    <mergeCell ref="A74:C74"/>
    <mergeCell ref="A75:C75"/>
    <mergeCell ref="A76:G76"/>
    <mergeCell ref="A81:G81"/>
  </mergeCells>
  <conditionalFormatting sqref="B4 B6:B7">
    <cfRule type="duplicateValues" dxfId="1267" priority="714"/>
  </conditionalFormatting>
  <conditionalFormatting sqref="B6:B8 B10:B68">
    <cfRule type="duplicateValues" dxfId="1266" priority="28"/>
  </conditionalFormatting>
  <conditionalFormatting sqref="B8 B10:B68">
    <cfRule type="duplicateValues" dxfId="1265" priority="27"/>
  </conditionalFormatting>
  <conditionalFormatting sqref="B78">
    <cfRule type="duplicateValues" dxfId="1264" priority="2"/>
    <cfRule type="duplicateValues" dxfId="1263" priority="3"/>
  </conditionalFormatting>
  <conditionalFormatting sqref="C88">
    <cfRule type="duplicateValues" dxfId="1262" priority="17"/>
    <cfRule type="duplicateValues" dxfId="1261" priority="18"/>
  </conditionalFormatting>
  <conditionalFormatting sqref="C90">
    <cfRule type="duplicateValues" dxfId="1260" priority="15"/>
    <cfRule type="duplicateValues" dxfId="1259" priority="16"/>
  </conditionalFormatting>
  <conditionalFormatting sqref="C92">
    <cfRule type="duplicateValues" dxfId="1258" priority="13"/>
    <cfRule type="duplicateValues" dxfId="1257" priority="14"/>
  </conditionalFormatting>
  <conditionalFormatting sqref="C79:D79">
    <cfRule type="duplicateValues" dxfId="1256" priority="24"/>
  </conditionalFormatting>
  <conditionalFormatting sqref="C80:F80">
    <cfRule type="duplicateValues" dxfId="1255" priority="26"/>
  </conditionalFormatting>
  <conditionalFormatting sqref="C81:F85 E70:F71 E76:F76 C71:D76 C69:D69 E1:F3 C1:D4">
    <cfRule type="duplicateValues" dxfId="1254" priority="22"/>
  </conditionalFormatting>
  <conditionalFormatting sqref="C81:F86 E1:F3 C1:D4 E70:F71 E76:F76 C71:D76 C69:D69 D88:F88 D90:F90 C89:F89 C93:F1048576 D92:F92 C91:F91">
    <cfRule type="duplicateValues" dxfId="1253" priority="21"/>
  </conditionalFormatting>
  <conditionalFormatting sqref="C86:F86 D88:F88 D90:F90 C89:F89 C93:F1048576 D92:F92 C91:F91">
    <cfRule type="duplicateValues" dxfId="1252" priority="25"/>
  </conditionalFormatting>
  <conditionalFormatting sqref="E73">
    <cfRule type="duplicateValues" dxfId="1251" priority="8"/>
    <cfRule type="duplicateValues" dxfId="1250" priority="9"/>
  </conditionalFormatting>
  <conditionalFormatting sqref="E78">
    <cfRule type="containsText" dxfId="1249" priority="1" operator="containsText" text="Spouse">
      <formula>NOT(ISERROR(SEARCH("Spouse",E78)))</formula>
    </cfRule>
  </conditionalFormatting>
  <conditionalFormatting sqref="E70:F70 C69:D69">
    <cfRule type="duplicateValues" dxfId="1248" priority="23"/>
  </conditionalFormatting>
  <conditionalFormatting sqref="G1:H3 E4:G68 E69:F69 I69:J69 G70:I71 F72:F75 H72:I75 G76:I76 E79:G79 I79 G80:I1048576">
    <cfRule type="containsText" dxfId="1247" priority="11" operator="containsText" text="Spouse">
      <formula>NOT(ISERROR(SEARCH("Spouse",E1)))</formula>
    </cfRule>
  </conditionalFormatting>
  <conditionalFormatting sqref="K5">
    <cfRule type="notContainsBlanks" dxfId="1246" priority="12">
      <formula>LEN(TRIM(K5))&gt;0</formula>
    </cfRule>
  </conditionalFormatting>
  <conditionalFormatting sqref="K8:K13 K15:K33 K35:K52 K54:K65 L70 K71:K76 K81:K83">
    <cfRule type="notContainsBlanks" dxfId="1245" priority="19">
      <formula>LEN(TRIM(K8))&gt;0</formula>
    </cfRule>
  </conditionalFormatting>
  <conditionalFormatting sqref="K69">
    <cfRule type="notContainsBlanks" dxfId="1244" priority="10">
      <formula>LEN(TRIM(K69))&gt;0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DEF2-43AA-0D42-B725-9E8735BF7FCA}">
  <sheetPr>
    <tabColor theme="7" tint="0.59999389629810485"/>
    <pageSetUpPr fitToPage="1"/>
  </sheetPr>
  <dimension ref="A1:O90"/>
  <sheetViews>
    <sheetView zoomScale="120" zoomScaleNormal="120" zoomScalePageLayoutView="140" workbookViewId="0">
      <pane xSplit="4" ySplit="4" topLeftCell="E46" activePane="bottomRight" state="frozen"/>
      <selection activeCell="D65" sqref="D65"/>
      <selection pane="topRight" activeCell="D65" sqref="D65"/>
      <selection pane="bottomLeft" activeCell="D65" sqref="D65"/>
      <selection pane="bottomRight" activeCell="I68" sqref="G68:I68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9.1640625" customWidth="1"/>
    <col min="4" max="4" width="23.83203125" bestFit="1" customWidth="1"/>
    <col min="5" max="5" width="23.83203125" customWidth="1"/>
    <col min="6" max="6" width="10.1640625" style="3" customWidth="1"/>
    <col min="7" max="7" width="13.6640625" style="216" customWidth="1"/>
    <col min="8" max="8" width="12.832031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45017</v>
      </c>
      <c r="K2" s="230"/>
    </row>
    <row r="3" spans="1:14" ht="14" customHeight="1">
      <c r="J3" s="201"/>
      <c r="K3" s="231" t="s">
        <v>832</v>
      </c>
    </row>
    <row r="4" spans="1:14" ht="28">
      <c r="A4" s="50" t="s">
        <v>226</v>
      </c>
      <c r="B4" s="219" t="s">
        <v>500</v>
      </c>
      <c r="C4" s="50" t="s">
        <v>498</v>
      </c>
      <c r="D4" s="50" t="s">
        <v>499</v>
      </c>
      <c r="E4" s="279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7">
        <v>1</v>
      </c>
      <c r="B5" s="29" t="s">
        <v>741</v>
      </c>
      <c r="C5" s="29" t="s">
        <v>742</v>
      </c>
      <c r="D5" s="29" t="s">
        <v>779</v>
      </c>
      <c r="E5" s="161" t="s">
        <v>851</v>
      </c>
      <c r="F5" s="7"/>
      <c r="G5" s="251">
        <v>1158.3</v>
      </c>
      <c r="H5" s="51">
        <v>1158.3</v>
      </c>
      <c r="I5" s="51">
        <f>G5+H5</f>
        <v>2316.6</v>
      </c>
      <c r="J5" s="149">
        <v>2316.6</v>
      </c>
      <c r="K5" s="161"/>
      <c r="L5"/>
    </row>
    <row r="6" spans="1:14">
      <c r="A6" s="7">
        <v>2</v>
      </c>
      <c r="B6" s="29" t="s">
        <v>658</v>
      </c>
      <c r="C6" s="29" t="s">
        <v>743</v>
      </c>
      <c r="D6" s="161" t="s">
        <v>780</v>
      </c>
      <c r="E6" s="161" t="s">
        <v>852</v>
      </c>
      <c r="F6" s="7"/>
      <c r="G6" s="251">
        <v>498.48</v>
      </c>
      <c r="H6" s="51">
        <v>0</v>
      </c>
      <c r="I6" s="51">
        <v>498.47</v>
      </c>
      <c r="J6" s="149">
        <v>498.47</v>
      </c>
      <c r="K6" s="161"/>
      <c r="L6"/>
    </row>
    <row r="7" spans="1:14">
      <c r="A7" s="7">
        <v>3</v>
      </c>
      <c r="B7" s="29" t="s">
        <v>659</v>
      </c>
      <c r="C7" s="29" t="s">
        <v>744</v>
      </c>
      <c r="D7" s="161" t="s">
        <v>781</v>
      </c>
      <c r="E7" s="161" t="s">
        <v>853</v>
      </c>
      <c r="F7" s="7">
        <v>2</v>
      </c>
      <c r="G7" s="251">
        <v>1637.1</v>
      </c>
      <c r="H7" s="51">
        <v>0</v>
      </c>
      <c r="I7" s="51">
        <v>1637.09</v>
      </c>
      <c r="J7" s="160">
        <v>1637.09</v>
      </c>
      <c r="K7" s="161"/>
      <c r="L7"/>
    </row>
    <row r="8" spans="1:14">
      <c r="A8" s="7">
        <v>4</v>
      </c>
      <c r="B8" s="29" t="s">
        <v>660</v>
      </c>
      <c r="C8" s="29" t="s">
        <v>462</v>
      </c>
      <c r="D8" s="29" t="s">
        <v>425</v>
      </c>
      <c r="E8" s="161" t="s">
        <v>853</v>
      </c>
      <c r="F8" s="7">
        <v>2</v>
      </c>
      <c r="G8" s="251">
        <v>1607.22</v>
      </c>
      <c r="H8" s="51">
        <v>0</v>
      </c>
      <c r="I8" s="51">
        <v>1607.22</v>
      </c>
      <c r="J8" s="149">
        <v>1607.22</v>
      </c>
      <c r="K8" s="161"/>
      <c r="L8"/>
    </row>
    <row r="9" spans="1:14">
      <c r="A9" s="7">
        <v>5</v>
      </c>
      <c r="B9" s="29" t="s">
        <v>833</v>
      </c>
      <c r="C9" s="29" t="s">
        <v>834</v>
      </c>
      <c r="D9" s="29" t="s">
        <v>835</v>
      </c>
      <c r="E9" s="161" t="s">
        <v>852</v>
      </c>
      <c r="F9" s="7"/>
      <c r="G9" s="251">
        <v>614.66</v>
      </c>
      <c r="H9" s="51">
        <v>0</v>
      </c>
      <c r="I9" s="51">
        <v>614.65</v>
      </c>
      <c r="J9" s="149">
        <v>614.65</v>
      </c>
      <c r="K9" s="161"/>
      <c r="L9"/>
    </row>
    <row r="10" spans="1:14">
      <c r="A10" s="7">
        <v>6</v>
      </c>
      <c r="B10" s="34" t="s">
        <v>717</v>
      </c>
      <c r="C10" s="34" t="s">
        <v>460</v>
      </c>
      <c r="D10" s="34" t="s">
        <v>782</v>
      </c>
      <c r="E10" s="284" t="s">
        <v>854</v>
      </c>
      <c r="F10" s="283">
        <v>0</v>
      </c>
      <c r="G10" s="265">
        <v>0</v>
      </c>
      <c r="H10" s="121">
        <v>0</v>
      </c>
      <c r="I10" s="121">
        <v>0</v>
      </c>
      <c r="J10" s="285">
        <v>1773.94</v>
      </c>
      <c r="K10" s="161" t="s">
        <v>936</v>
      </c>
      <c r="L10"/>
    </row>
    <row r="11" spans="1:14">
      <c r="A11" s="7">
        <v>7</v>
      </c>
      <c r="B11" s="29" t="s">
        <v>661</v>
      </c>
      <c r="C11" s="29" t="s">
        <v>460</v>
      </c>
      <c r="D11" s="29" t="s">
        <v>426</v>
      </c>
      <c r="E11" s="161" t="s">
        <v>852</v>
      </c>
      <c r="F11" s="7"/>
      <c r="G11" s="251">
        <v>1292.3599999999999</v>
      </c>
      <c r="H11" s="51">
        <v>0</v>
      </c>
      <c r="I11" s="51">
        <v>1292.3499999999999</v>
      </c>
      <c r="J11" s="149">
        <v>1292.3499999999999</v>
      </c>
      <c r="K11" s="161"/>
      <c r="L11"/>
    </row>
    <row r="12" spans="1:14">
      <c r="A12" s="7">
        <v>8</v>
      </c>
      <c r="B12" s="29" t="s">
        <v>837</v>
      </c>
      <c r="C12" s="29" t="s">
        <v>745</v>
      </c>
      <c r="D12" s="61" t="s">
        <v>838</v>
      </c>
      <c r="E12" s="161" t="s">
        <v>852</v>
      </c>
      <c r="F12" s="7"/>
      <c r="G12" s="251">
        <v>776.02</v>
      </c>
      <c r="H12" s="51">
        <v>0</v>
      </c>
      <c r="I12" s="51">
        <v>776.01</v>
      </c>
      <c r="J12" s="149">
        <v>776.01</v>
      </c>
      <c r="K12" s="161"/>
      <c r="L12"/>
    </row>
    <row r="13" spans="1:14" s="1" customFormat="1">
      <c r="A13" s="7">
        <v>9</v>
      </c>
      <c r="B13" s="29" t="s">
        <v>663</v>
      </c>
      <c r="C13" s="29" t="s">
        <v>745</v>
      </c>
      <c r="D13" s="37" t="s">
        <v>784</v>
      </c>
      <c r="E13" s="161" t="s">
        <v>852</v>
      </c>
      <c r="F13" s="7"/>
      <c r="G13" s="251">
        <v>587.34</v>
      </c>
      <c r="H13" s="51">
        <v>0</v>
      </c>
      <c r="I13" s="51">
        <v>587.34</v>
      </c>
      <c r="J13" s="149">
        <v>587.34</v>
      </c>
      <c r="K13" s="161"/>
      <c r="L13"/>
      <c r="M13"/>
      <c r="N13"/>
    </row>
    <row r="14" spans="1:14" s="1" customFormat="1">
      <c r="A14" s="7">
        <v>10</v>
      </c>
      <c r="B14" s="29" t="s">
        <v>662</v>
      </c>
      <c r="C14" s="29" t="s">
        <v>745</v>
      </c>
      <c r="D14" s="61" t="s">
        <v>783</v>
      </c>
      <c r="E14" s="161" t="s">
        <v>852</v>
      </c>
      <c r="F14" s="7"/>
      <c r="G14" s="251">
        <v>618.62</v>
      </c>
      <c r="H14" s="51">
        <v>0</v>
      </c>
      <c r="I14" s="51">
        <v>618.62</v>
      </c>
      <c r="J14" s="149">
        <v>618.62</v>
      </c>
      <c r="L14"/>
      <c r="M14"/>
      <c r="N14"/>
    </row>
    <row r="15" spans="1:14">
      <c r="A15" s="7">
        <v>11</v>
      </c>
      <c r="B15" s="29" t="s">
        <v>839</v>
      </c>
      <c r="C15" s="29" t="s">
        <v>840</v>
      </c>
      <c r="D15" s="29" t="s">
        <v>841</v>
      </c>
      <c r="E15" s="161" t="s">
        <v>855</v>
      </c>
      <c r="F15" s="7">
        <v>1</v>
      </c>
      <c r="G15" s="251">
        <v>1012.42</v>
      </c>
      <c r="H15" s="51">
        <v>626.58000000000004</v>
      </c>
      <c r="I15" s="51">
        <f>G15+H15</f>
        <v>1639</v>
      </c>
      <c r="J15" s="149">
        <v>1638.99</v>
      </c>
      <c r="K15" s="161"/>
      <c r="L15"/>
    </row>
    <row r="16" spans="1:14">
      <c r="A16" s="7">
        <v>12</v>
      </c>
      <c r="B16" s="29" t="s">
        <v>664</v>
      </c>
      <c r="C16" s="29" t="s">
        <v>746</v>
      </c>
      <c r="D16" s="29" t="s">
        <v>785</v>
      </c>
      <c r="E16" s="161" t="s">
        <v>854</v>
      </c>
      <c r="F16" s="7">
        <v>1</v>
      </c>
      <c r="G16" s="251">
        <v>1843.96</v>
      </c>
      <c r="H16" s="51">
        <v>0</v>
      </c>
      <c r="I16" s="51">
        <v>1843.95</v>
      </c>
      <c r="J16" s="149">
        <v>1843.95</v>
      </c>
      <c r="K16" s="161"/>
      <c r="L16"/>
    </row>
    <row r="17" spans="1:14">
      <c r="A17" s="7">
        <v>13</v>
      </c>
      <c r="B17" s="29" t="s">
        <v>665</v>
      </c>
      <c r="C17" s="29" t="s">
        <v>746</v>
      </c>
      <c r="D17" s="29" t="s">
        <v>786</v>
      </c>
      <c r="E17" s="161" t="s">
        <v>852</v>
      </c>
      <c r="F17" s="7"/>
      <c r="G17" s="251">
        <v>626.58000000000004</v>
      </c>
      <c r="H17" s="51">
        <v>0</v>
      </c>
      <c r="I17" s="51">
        <v>626.57000000000005</v>
      </c>
      <c r="J17" s="149">
        <v>626.57000000000005</v>
      </c>
      <c r="K17" s="161"/>
      <c r="L17"/>
    </row>
    <row r="18" spans="1:14">
      <c r="A18" s="7">
        <v>14</v>
      </c>
      <c r="B18" s="29" t="s">
        <v>666</v>
      </c>
      <c r="C18" s="29" t="s">
        <v>747</v>
      </c>
      <c r="D18" s="37" t="s">
        <v>787</v>
      </c>
      <c r="E18" s="161" t="s">
        <v>854</v>
      </c>
      <c r="F18" s="7">
        <v>1</v>
      </c>
      <c r="G18" s="251">
        <v>996.54</v>
      </c>
      <c r="H18" s="51">
        <v>0</v>
      </c>
      <c r="I18" s="51">
        <v>996.53</v>
      </c>
      <c r="J18" s="149">
        <v>996.53</v>
      </c>
      <c r="K18" s="161"/>
      <c r="L18"/>
    </row>
    <row r="19" spans="1:14">
      <c r="A19" s="7"/>
      <c r="B19" s="220" t="s">
        <v>934</v>
      </c>
      <c r="C19" s="29" t="s">
        <v>932</v>
      </c>
      <c r="D19" s="37" t="s">
        <v>933</v>
      </c>
      <c r="E19" s="161" t="s">
        <v>852</v>
      </c>
      <c r="F19" s="7"/>
      <c r="G19" s="251">
        <v>539.67999999999995</v>
      </c>
      <c r="H19" s="51">
        <v>0</v>
      </c>
      <c r="I19" s="51">
        <v>539.67999999999995</v>
      </c>
      <c r="J19" s="149">
        <v>0</v>
      </c>
      <c r="K19" s="161" t="s">
        <v>935</v>
      </c>
      <c r="L19"/>
    </row>
    <row r="20" spans="1:14" s="1" customFormat="1">
      <c r="A20" s="7">
        <v>15</v>
      </c>
      <c r="B20" s="29" t="s">
        <v>667</v>
      </c>
      <c r="C20" s="29" t="s">
        <v>466</v>
      </c>
      <c r="D20" s="29" t="s">
        <v>431</v>
      </c>
      <c r="E20" s="161" t="s">
        <v>853</v>
      </c>
      <c r="F20" s="7">
        <v>2</v>
      </c>
      <c r="G20" s="251">
        <v>1881.68</v>
      </c>
      <c r="H20" s="51">
        <v>0</v>
      </c>
      <c r="I20" s="51">
        <v>1881.68</v>
      </c>
      <c r="J20" s="189">
        <v>1881.68</v>
      </c>
      <c r="K20" s="161"/>
      <c r="L20"/>
      <c r="M20"/>
      <c r="N20"/>
    </row>
    <row r="21" spans="1:14">
      <c r="A21" s="7">
        <v>16</v>
      </c>
      <c r="B21" s="29" t="s">
        <v>668</v>
      </c>
      <c r="C21" s="29" t="s">
        <v>748</v>
      </c>
      <c r="D21" s="37" t="s">
        <v>788</v>
      </c>
      <c r="E21" s="161" t="s">
        <v>852</v>
      </c>
      <c r="F21" s="7"/>
      <c r="G21" s="251">
        <v>1107.1600000000001</v>
      </c>
      <c r="H21" s="51">
        <v>0</v>
      </c>
      <c r="I21" s="51">
        <v>1107.1600000000001</v>
      </c>
      <c r="J21" s="149">
        <v>1107.1600000000001</v>
      </c>
      <c r="K21" s="161"/>
      <c r="L21"/>
    </row>
    <row r="22" spans="1:14">
      <c r="A22" s="7">
        <v>17</v>
      </c>
      <c r="B22" s="29" t="s">
        <v>669</v>
      </c>
      <c r="C22" s="29" t="s">
        <v>749</v>
      </c>
      <c r="D22" s="37" t="s">
        <v>789</v>
      </c>
      <c r="E22" s="161" t="s">
        <v>852</v>
      </c>
      <c r="F22" s="7"/>
      <c r="G22" s="251">
        <v>539.67999999999995</v>
      </c>
      <c r="H22" s="51">
        <v>0</v>
      </c>
      <c r="I22" s="51">
        <v>539.67999999999995</v>
      </c>
      <c r="J22" s="149">
        <v>539.67999999999995</v>
      </c>
      <c r="K22" s="161"/>
      <c r="L22"/>
    </row>
    <row r="23" spans="1:14">
      <c r="A23" s="7">
        <v>18</v>
      </c>
      <c r="B23" s="29" t="s">
        <v>729</v>
      </c>
      <c r="C23" s="29" t="s">
        <v>750</v>
      </c>
      <c r="D23" s="37" t="s">
        <v>790</v>
      </c>
      <c r="E23" s="161" t="s">
        <v>852</v>
      </c>
      <c r="F23" s="7"/>
      <c r="G23" s="251">
        <v>618.62</v>
      </c>
      <c r="H23" s="51">
        <v>0</v>
      </c>
      <c r="I23" s="51">
        <v>618.62</v>
      </c>
      <c r="J23" s="149">
        <v>618.62</v>
      </c>
      <c r="K23" s="161"/>
      <c r="L23"/>
    </row>
    <row r="24" spans="1:14">
      <c r="A24" s="7">
        <v>19</v>
      </c>
      <c r="B24" s="29" t="s">
        <v>671</v>
      </c>
      <c r="C24" s="29" t="s">
        <v>751</v>
      </c>
      <c r="D24" s="29" t="s">
        <v>791</v>
      </c>
      <c r="E24" s="161" t="s">
        <v>852</v>
      </c>
      <c r="F24" s="7"/>
      <c r="G24" s="251">
        <v>1489.48</v>
      </c>
      <c r="H24" s="51">
        <v>0</v>
      </c>
      <c r="I24" s="51">
        <v>1489.47</v>
      </c>
      <c r="J24" s="149">
        <v>1489.47</v>
      </c>
      <c r="K24" s="161"/>
      <c r="L24"/>
    </row>
    <row r="25" spans="1:14">
      <c r="A25" s="7">
        <v>20</v>
      </c>
      <c r="B25" s="29" t="s">
        <v>672</v>
      </c>
      <c r="C25" s="29" t="s">
        <v>752</v>
      </c>
      <c r="D25" s="29" t="s">
        <v>792</v>
      </c>
      <c r="E25" s="161" t="s">
        <v>853</v>
      </c>
      <c r="F25" s="7">
        <v>2</v>
      </c>
      <c r="G25" s="251">
        <v>1414.18</v>
      </c>
      <c r="H25" s="51">
        <v>0</v>
      </c>
      <c r="I25" s="51">
        <v>1414.17</v>
      </c>
      <c r="J25" s="149">
        <v>1414.17</v>
      </c>
      <c r="K25" s="161"/>
      <c r="L25"/>
    </row>
    <row r="26" spans="1:14">
      <c r="A26" s="7">
        <v>21</v>
      </c>
      <c r="B26" s="29" t="s">
        <v>674</v>
      </c>
      <c r="C26" s="29" t="s">
        <v>753</v>
      </c>
      <c r="D26" s="29" t="s">
        <v>794</v>
      </c>
      <c r="E26" s="161" t="s">
        <v>852</v>
      </c>
      <c r="F26" s="7"/>
      <c r="G26" s="251">
        <v>602.74</v>
      </c>
      <c r="H26" s="51">
        <v>0</v>
      </c>
      <c r="I26" s="51">
        <v>602.73</v>
      </c>
      <c r="J26" s="149">
        <v>602.73</v>
      </c>
      <c r="K26" s="161"/>
      <c r="L26"/>
    </row>
    <row r="27" spans="1:14">
      <c r="A27" s="7">
        <v>22</v>
      </c>
      <c r="B27" s="29" t="s">
        <v>715</v>
      </c>
      <c r="C27" s="29" t="s">
        <v>754</v>
      </c>
      <c r="D27" s="61" t="s">
        <v>795</v>
      </c>
      <c r="E27" s="161" t="s">
        <v>852</v>
      </c>
      <c r="F27" s="7"/>
      <c r="G27" s="251">
        <v>1209.94</v>
      </c>
      <c r="H27" s="51">
        <v>0</v>
      </c>
      <c r="I27" s="51">
        <v>1209.94</v>
      </c>
      <c r="J27" s="149">
        <v>1209.94</v>
      </c>
      <c r="K27" s="161"/>
      <c r="L27"/>
    </row>
    <row r="28" spans="1:14">
      <c r="A28" s="7">
        <v>23</v>
      </c>
      <c r="B28" s="29" t="s">
        <v>716</v>
      </c>
      <c r="C28" s="29" t="s">
        <v>439</v>
      </c>
      <c r="D28" s="29" t="s">
        <v>505</v>
      </c>
      <c r="E28" s="161" t="s">
        <v>852</v>
      </c>
      <c r="F28" s="7"/>
      <c r="G28" s="251">
        <v>1489.48</v>
      </c>
      <c r="H28" s="51">
        <v>0</v>
      </c>
      <c r="I28" s="51">
        <v>1489.47</v>
      </c>
      <c r="J28" s="149">
        <v>1489.47</v>
      </c>
      <c r="K28" s="161"/>
      <c r="L28"/>
    </row>
    <row r="29" spans="1:14" s="12" customFormat="1" ht="14" customHeight="1">
      <c r="A29" s="7">
        <v>24</v>
      </c>
      <c r="B29" s="29" t="s">
        <v>677</v>
      </c>
      <c r="C29" s="29" t="s">
        <v>755</v>
      </c>
      <c r="D29" s="37" t="s">
        <v>798</v>
      </c>
      <c r="E29" s="161" t="s">
        <v>853</v>
      </c>
      <c r="F29" s="7">
        <v>2</v>
      </c>
      <c r="G29" s="251">
        <v>1741.86</v>
      </c>
      <c r="H29" s="51">
        <v>0</v>
      </c>
      <c r="I29" s="51">
        <v>1741.85</v>
      </c>
      <c r="J29" s="149">
        <v>1741.85</v>
      </c>
      <c r="K29" s="161"/>
      <c r="L29"/>
    </row>
    <row r="30" spans="1:14">
      <c r="A30" s="7">
        <v>25</v>
      </c>
      <c r="B30" s="29" t="s">
        <v>676</v>
      </c>
      <c r="C30" s="29" t="s">
        <v>755</v>
      </c>
      <c r="D30" s="29" t="s">
        <v>797</v>
      </c>
      <c r="E30" s="161" t="s">
        <v>852</v>
      </c>
      <c r="F30" s="7"/>
      <c r="G30" s="251">
        <v>1012.84</v>
      </c>
      <c r="H30" s="51">
        <v>0</v>
      </c>
      <c r="I30" s="51">
        <v>1012.83</v>
      </c>
      <c r="J30" s="149">
        <v>1012.83</v>
      </c>
      <c r="K30" s="161"/>
      <c r="L30"/>
    </row>
    <row r="31" spans="1:14">
      <c r="A31" s="7">
        <v>26</v>
      </c>
      <c r="B31" s="29" t="s">
        <v>678</v>
      </c>
      <c r="C31" s="29" t="s">
        <v>756</v>
      </c>
      <c r="D31" s="37" t="s">
        <v>799</v>
      </c>
      <c r="E31" s="161" t="s">
        <v>852</v>
      </c>
      <c r="F31" s="7"/>
      <c r="G31" s="251">
        <v>1489.48</v>
      </c>
      <c r="H31" s="51">
        <v>0</v>
      </c>
      <c r="I31" s="51">
        <v>1489.47</v>
      </c>
      <c r="J31" s="149">
        <v>1489.47</v>
      </c>
      <c r="K31" s="161"/>
      <c r="L31"/>
    </row>
    <row r="32" spans="1:14">
      <c r="A32" s="7">
        <v>27</v>
      </c>
      <c r="B32" s="29" t="s">
        <v>679</v>
      </c>
      <c r="C32" s="29" t="s">
        <v>756</v>
      </c>
      <c r="D32" s="37" t="s">
        <v>800</v>
      </c>
      <c r="E32" s="161" t="s">
        <v>852</v>
      </c>
      <c r="F32" s="7"/>
      <c r="G32" s="251">
        <v>1426.42</v>
      </c>
      <c r="H32" s="51">
        <v>0</v>
      </c>
      <c r="I32" s="51">
        <v>1426.41</v>
      </c>
      <c r="J32" s="149">
        <v>1426.41</v>
      </c>
      <c r="K32" s="161"/>
      <c r="L32"/>
    </row>
    <row r="33" spans="1:12">
      <c r="A33" s="7">
        <v>28</v>
      </c>
      <c r="B33" s="29" t="s">
        <v>680</v>
      </c>
      <c r="C33" s="29" t="s">
        <v>444</v>
      </c>
      <c r="D33" s="29" t="s">
        <v>506</v>
      </c>
      <c r="E33" s="161" t="s">
        <v>852</v>
      </c>
      <c r="F33" s="7"/>
      <c r="G33" s="251">
        <v>847.02</v>
      </c>
      <c r="H33" s="51">
        <v>0</v>
      </c>
      <c r="I33" s="51">
        <v>847.01</v>
      </c>
      <c r="J33" s="149">
        <v>847.01</v>
      </c>
      <c r="K33" s="161"/>
      <c r="L33"/>
    </row>
    <row r="34" spans="1:12">
      <c r="A34" s="7">
        <v>29</v>
      </c>
      <c r="B34" s="29" t="s">
        <v>682</v>
      </c>
      <c r="C34" s="29" t="s">
        <v>757</v>
      </c>
      <c r="D34" s="29" t="s">
        <v>802</v>
      </c>
      <c r="E34" s="161" t="s">
        <v>854</v>
      </c>
      <c r="F34" s="7">
        <v>1</v>
      </c>
      <c r="G34" s="251">
        <v>1000.52</v>
      </c>
      <c r="H34" s="51">
        <v>0</v>
      </c>
      <c r="I34" s="51">
        <v>1000.51</v>
      </c>
      <c r="J34" s="149">
        <v>1000.51</v>
      </c>
      <c r="K34" s="161"/>
      <c r="L34"/>
    </row>
    <row r="35" spans="1:12">
      <c r="A35" s="7">
        <v>30</v>
      </c>
      <c r="B35" s="29" t="s">
        <v>683</v>
      </c>
      <c r="C35" s="29" t="s">
        <v>757</v>
      </c>
      <c r="D35" s="29" t="s">
        <v>803</v>
      </c>
      <c r="E35" s="161" t="s">
        <v>852</v>
      </c>
      <c r="F35" s="7"/>
      <c r="G35" s="251">
        <v>594.79999999999995</v>
      </c>
      <c r="H35" s="51">
        <v>0</v>
      </c>
      <c r="I35" s="51">
        <v>594.79</v>
      </c>
      <c r="J35" s="149">
        <v>594.79</v>
      </c>
      <c r="K35" s="161"/>
      <c r="L35"/>
    </row>
    <row r="36" spans="1:12">
      <c r="A36" s="7">
        <v>31</v>
      </c>
      <c r="B36" s="29" t="s">
        <v>681</v>
      </c>
      <c r="C36" s="29" t="s">
        <v>757</v>
      </c>
      <c r="D36" s="29" t="s">
        <v>801</v>
      </c>
      <c r="E36" s="161" t="s">
        <v>856</v>
      </c>
      <c r="F36" s="7">
        <v>2</v>
      </c>
      <c r="G36" s="251">
        <v>1390.32</v>
      </c>
      <c r="H36" s="51">
        <v>614.66</v>
      </c>
      <c r="I36" s="51">
        <f>G36+H36</f>
        <v>2004.98</v>
      </c>
      <c r="J36" s="149">
        <v>2004.98</v>
      </c>
      <c r="K36" s="161"/>
      <c r="L36"/>
    </row>
    <row r="37" spans="1:12">
      <c r="A37" s="7">
        <v>32</v>
      </c>
      <c r="B37" s="29" t="s">
        <v>684</v>
      </c>
      <c r="C37" s="29" t="s">
        <v>476</v>
      </c>
      <c r="D37" s="37" t="s">
        <v>804</v>
      </c>
      <c r="E37" s="161" t="s">
        <v>852</v>
      </c>
      <c r="F37" s="7"/>
      <c r="G37" s="251">
        <v>610.67999999999995</v>
      </c>
      <c r="H37" s="51">
        <v>0</v>
      </c>
      <c r="I37" s="51">
        <v>610.67999999999995</v>
      </c>
      <c r="J37" s="149">
        <v>610.67999999999995</v>
      </c>
      <c r="K37" s="161"/>
      <c r="L37"/>
    </row>
    <row r="38" spans="1:12">
      <c r="A38" s="7">
        <v>33</v>
      </c>
      <c r="B38" s="29" t="s">
        <v>686</v>
      </c>
      <c r="C38" s="29" t="s">
        <v>758</v>
      </c>
      <c r="D38" s="29" t="s">
        <v>805</v>
      </c>
      <c r="E38" s="161" t="s">
        <v>852</v>
      </c>
      <c r="F38" s="7"/>
      <c r="G38" s="251">
        <v>539.67999999999995</v>
      </c>
      <c r="H38" s="51">
        <v>0</v>
      </c>
      <c r="I38" s="51">
        <v>539.67999999999995</v>
      </c>
      <c r="J38" s="149">
        <v>539.67999999999995</v>
      </c>
      <c r="K38" s="161"/>
      <c r="L38"/>
    </row>
    <row r="39" spans="1:12">
      <c r="A39" s="7">
        <v>34</v>
      </c>
      <c r="B39" s="29" t="s">
        <v>687</v>
      </c>
      <c r="C39" s="29" t="s">
        <v>478</v>
      </c>
      <c r="D39" s="29" t="s">
        <v>448</v>
      </c>
      <c r="E39" s="161" t="s">
        <v>852</v>
      </c>
      <c r="F39" s="7"/>
      <c r="G39" s="251">
        <v>1489.48</v>
      </c>
      <c r="H39" s="51">
        <v>0</v>
      </c>
      <c r="I39" s="51">
        <v>1489.47</v>
      </c>
      <c r="J39" s="149">
        <v>1489.47</v>
      </c>
      <c r="K39" s="161"/>
      <c r="L39"/>
    </row>
    <row r="40" spans="1:12">
      <c r="A40" s="7">
        <v>35</v>
      </c>
      <c r="B40" s="29" t="s">
        <v>688</v>
      </c>
      <c r="C40" s="29" t="s">
        <v>759</v>
      </c>
      <c r="D40" s="37" t="s">
        <v>806</v>
      </c>
      <c r="E40" s="161" t="s">
        <v>852</v>
      </c>
      <c r="F40" s="7"/>
      <c r="G40" s="251">
        <v>602.74</v>
      </c>
      <c r="H40" s="51">
        <v>0</v>
      </c>
      <c r="I40" s="51">
        <v>602.73</v>
      </c>
      <c r="J40" s="149">
        <v>602.73</v>
      </c>
      <c r="K40" s="161"/>
      <c r="L40"/>
    </row>
    <row r="41" spans="1:12">
      <c r="A41" s="7">
        <v>36</v>
      </c>
      <c r="B41" s="29" t="s">
        <v>689</v>
      </c>
      <c r="C41" s="29" t="s">
        <v>760</v>
      </c>
      <c r="D41" s="29" t="s">
        <v>807</v>
      </c>
      <c r="E41" s="161" t="s">
        <v>852</v>
      </c>
      <c r="F41" s="7"/>
      <c r="G41" s="251">
        <v>508.4</v>
      </c>
      <c r="H41" s="51">
        <v>0</v>
      </c>
      <c r="I41" s="51">
        <v>508.4</v>
      </c>
      <c r="J41" s="149">
        <v>508.4</v>
      </c>
      <c r="K41" s="161"/>
      <c r="L41"/>
    </row>
    <row r="42" spans="1:12">
      <c r="A42" s="7">
        <v>37</v>
      </c>
      <c r="B42" s="29" t="s">
        <v>690</v>
      </c>
      <c r="C42" s="29" t="s">
        <v>761</v>
      </c>
      <c r="D42" s="29" t="s">
        <v>808</v>
      </c>
      <c r="E42" s="161" t="s">
        <v>852</v>
      </c>
      <c r="F42" s="7"/>
      <c r="G42" s="251">
        <v>539.67999999999995</v>
      </c>
      <c r="H42" s="51">
        <v>0</v>
      </c>
      <c r="I42" s="51">
        <v>539.67999999999995</v>
      </c>
      <c r="J42" s="149">
        <v>539.67999999999995</v>
      </c>
      <c r="K42" s="161"/>
      <c r="L42"/>
    </row>
    <row r="43" spans="1:12">
      <c r="A43" s="7">
        <v>38</v>
      </c>
      <c r="B43" s="29" t="s">
        <v>691</v>
      </c>
      <c r="C43" s="29" t="s">
        <v>480</v>
      </c>
      <c r="D43" s="37" t="s">
        <v>809</v>
      </c>
      <c r="E43" s="161" t="s">
        <v>853</v>
      </c>
      <c r="F43" s="7">
        <v>2</v>
      </c>
      <c r="G43" s="251">
        <v>2023.68</v>
      </c>
      <c r="H43" s="51">
        <v>0</v>
      </c>
      <c r="I43" s="51">
        <v>2023.68</v>
      </c>
      <c r="J43" s="149">
        <v>2023.68</v>
      </c>
      <c r="K43" s="161"/>
      <c r="L43"/>
    </row>
    <row r="44" spans="1:12">
      <c r="A44" s="7">
        <v>39</v>
      </c>
      <c r="B44" s="29" t="s">
        <v>692</v>
      </c>
      <c r="C44" s="29" t="s">
        <v>762</v>
      </c>
      <c r="D44" s="29" t="s">
        <v>810</v>
      </c>
      <c r="E44" s="161" t="s">
        <v>854</v>
      </c>
      <c r="F44" s="7">
        <v>1</v>
      </c>
      <c r="G44" s="251">
        <v>1008.46</v>
      </c>
      <c r="H44" s="51">
        <v>0</v>
      </c>
      <c r="I44" s="51">
        <v>1008.45</v>
      </c>
      <c r="J44" s="149">
        <v>1008.45</v>
      </c>
      <c r="K44" s="161"/>
      <c r="L44"/>
    </row>
    <row r="45" spans="1:12">
      <c r="A45" s="7">
        <v>40</v>
      </c>
      <c r="B45" s="29" t="s">
        <v>693</v>
      </c>
      <c r="C45" s="29" t="s">
        <v>763</v>
      </c>
      <c r="D45" s="29" t="s">
        <v>811</v>
      </c>
      <c r="E45" s="161" t="s">
        <v>852</v>
      </c>
      <c r="F45" s="7"/>
      <c r="G45" s="251">
        <v>606.72</v>
      </c>
      <c r="H45" s="51">
        <v>0</v>
      </c>
      <c r="I45" s="51">
        <v>606.71</v>
      </c>
      <c r="J45" s="149">
        <v>606.71</v>
      </c>
      <c r="K45" s="161"/>
      <c r="L45"/>
    </row>
    <row r="46" spans="1:12">
      <c r="A46" s="7">
        <v>41</v>
      </c>
      <c r="B46" s="29" t="s">
        <v>694</v>
      </c>
      <c r="C46" s="29" t="s">
        <v>764</v>
      </c>
      <c r="D46" s="29" t="s">
        <v>812</v>
      </c>
      <c r="E46" s="161" t="s">
        <v>854</v>
      </c>
      <c r="F46" s="7">
        <v>1</v>
      </c>
      <c r="G46" s="251">
        <v>1169.82</v>
      </c>
      <c r="H46" s="51">
        <v>0</v>
      </c>
      <c r="I46" s="51">
        <v>1169.81</v>
      </c>
      <c r="J46" s="149">
        <v>1169.81</v>
      </c>
      <c r="K46" s="161"/>
      <c r="L46"/>
    </row>
    <row r="47" spans="1:12">
      <c r="A47" s="7">
        <v>42</v>
      </c>
      <c r="B47" s="29" t="s">
        <v>695</v>
      </c>
      <c r="C47" s="29" t="s">
        <v>765</v>
      </c>
      <c r="D47" s="29" t="s">
        <v>813</v>
      </c>
      <c r="E47" s="161" t="s">
        <v>854</v>
      </c>
      <c r="F47" s="7">
        <v>1</v>
      </c>
      <c r="G47" s="251">
        <v>1406.64</v>
      </c>
      <c r="H47" s="51">
        <v>0</v>
      </c>
      <c r="I47" s="51">
        <v>1406.63</v>
      </c>
      <c r="J47" s="149">
        <v>1406.63</v>
      </c>
      <c r="K47" s="161"/>
      <c r="L47"/>
    </row>
    <row r="48" spans="1:12">
      <c r="A48" s="7">
        <v>43</v>
      </c>
      <c r="B48" s="29" t="s">
        <v>696</v>
      </c>
      <c r="C48" s="29" t="s">
        <v>766</v>
      </c>
      <c r="D48" s="37" t="s">
        <v>814</v>
      </c>
      <c r="E48" s="161" t="s">
        <v>852</v>
      </c>
      <c r="F48" s="7"/>
      <c r="G48" s="251">
        <v>1158.3</v>
      </c>
      <c r="H48" s="51">
        <v>0</v>
      </c>
      <c r="I48" s="51">
        <v>1158.3</v>
      </c>
      <c r="J48" s="149">
        <v>1158.3</v>
      </c>
      <c r="K48" s="161"/>
      <c r="L48"/>
    </row>
    <row r="49" spans="1:12">
      <c r="A49" s="7">
        <v>44</v>
      </c>
      <c r="B49" s="29" t="s">
        <v>697</v>
      </c>
      <c r="C49" s="29" t="s">
        <v>767</v>
      </c>
      <c r="D49" s="37" t="s">
        <v>815</v>
      </c>
      <c r="E49" s="161" t="s">
        <v>854</v>
      </c>
      <c r="F49" s="7">
        <v>1</v>
      </c>
      <c r="G49" s="251">
        <v>1706.44</v>
      </c>
      <c r="H49" s="51">
        <v>0</v>
      </c>
      <c r="I49" s="51">
        <v>1706.43</v>
      </c>
      <c r="J49" s="149">
        <v>1706.43</v>
      </c>
      <c r="K49" s="161"/>
      <c r="L49"/>
    </row>
    <row r="50" spans="1:12">
      <c r="A50" s="7">
        <v>45</v>
      </c>
      <c r="B50" s="29" t="s">
        <v>732</v>
      </c>
      <c r="C50" s="29" t="s">
        <v>768</v>
      </c>
      <c r="D50" s="37" t="s">
        <v>816</v>
      </c>
      <c r="E50" s="161" t="s">
        <v>852</v>
      </c>
      <c r="F50" s="7"/>
      <c r="G50" s="251">
        <v>1465.64</v>
      </c>
      <c r="H50" s="51">
        <v>0</v>
      </c>
      <c r="I50" s="51">
        <v>1465.63</v>
      </c>
      <c r="J50" s="149">
        <v>1465.63</v>
      </c>
      <c r="K50" s="161"/>
      <c r="L50"/>
    </row>
    <row r="51" spans="1:12">
      <c r="A51" s="7">
        <v>46</v>
      </c>
      <c r="B51" s="29" t="s">
        <v>842</v>
      </c>
      <c r="C51" s="29" t="s">
        <v>769</v>
      </c>
      <c r="D51" s="29" t="s">
        <v>843</v>
      </c>
      <c r="E51" s="161" t="s">
        <v>852</v>
      </c>
      <c r="F51" s="7"/>
      <c r="G51" s="251">
        <v>498.48</v>
      </c>
      <c r="H51" s="51">
        <v>0</v>
      </c>
      <c r="I51" s="51">
        <v>498.47</v>
      </c>
      <c r="J51" s="149">
        <v>498.47</v>
      </c>
      <c r="K51" s="161"/>
      <c r="L51"/>
    </row>
    <row r="52" spans="1:12">
      <c r="A52" s="7">
        <v>47</v>
      </c>
      <c r="B52" s="29" t="s">
        <v>698</v>
      </c>
      <c r="C52" s="29" t="s">
        <v>769</v>
      </c>
      <c r="D52" s="37" t="s">
        <v>817</v>
      </c>
      <c r="E52" s="161" t="s">
        <v>852</v>
      </c>
      <c r="F52" s="7"/>
      <c r="G52" s="251">
        <v>587.34</v>
      </c>
      <c r="H52" s="51">
        <v>0</v>
      </c>
      <c r="I52" s="51">
        <v>587.34</v>
      </c>
      <c r="J52" s="149">
        <v>587.34</v>
      </c>
      <c r="K52" s="225"/>
      <c r="L52"/>
    </row>
    <row r="53" spans="1:12">
      <c r="A53" s="7">
        <v>48</v>
      </c>
      <c r="B53" s="29" t="s">
        <v>699</v>
      </c>
      <c r="C53" s="29" t="s">
        <v>770</v>
      </c>
      <c r="D53" s="29" t="s">
        <v>818</v>
      </c>
      <c r="E53" s="161" t="s">
        <v>852</v>
      </c>
      <c r="F53" s="7"/>
      <c r="G53" s="251">
        <v>1465.64</v>
      </c>
      <c r="H53" s="51">
        <v>0</v>
      </c>
      <c r="I53" s="51">
        <v>1465.63</v>
      </c>
      <c r="J53" s="149">
        <v>1465.63</v>
      </c>
      <c r="K53" s="161"/>
      <c r="L53"/>
    </row>
    <row r="54" spans="1:12">
      <c r="A54" s="7">
        <v>49</v>
      </c>
      <c r="B54" s="29" t="s">
        <v>700</v>
      </c>
      <c r="C54" s="29" t="s">
        <v>771</v>
      </c>
      <c r="D54" s="37" t="s">
        <v>819</v>
      </c>
      <c r="E54" s="161" t="s">
        <v>854</v>
      </c>
      <c r="F54" s="7">
        <v>1</v>
      </c>
      <c r="G54" s="251">
        <v>1706.44</v>
      </c>
      <c r="H54" s="51">
        <v>0</v>
      </c>
      <c r="I54" s="51">
        <v>1706.43</v>
      </c>
      <c r="J54" s="149">
        <v>1706.43</v>
      </c>
      <c r="K54" s="161"/>
      <c r="L54"/>
    </row>
    <row r="55" spans="1:12">
      <c r="A55" s="7">
        <v>50</v>
      </c>
      <c r="B55" s="29" t="s">
        <v>736</v>
      </c>
      <c r="C55" s="29" t="s">
        <v>772</v>
      </c>
      <c r="D55" s="37" t="s">
        <v>820</v>
      </c>
      <c r="E55" s="161" t="s">
        <v>852</v>
      </c>
      <c r="F55" s="7"/>
      <c r="G55" s="251">
        <v>520.32000000000005</v>
      </c>
      <c r="H55" s="51">
        <v>0</v>
      </c>
      <c r="I55" s="51">
        <v>520.32000000000005</v>
      </c>
      <c r="J55" s="149">
        <v>520.32000000000005</v>
      </c>
      <c r="K55" s="161"/>
      <c r="L55"/>
    </row>
    <row r="56" spans="1:12">
      <c r="A56" s="7">
        <v>51</v>
      </c>
      <c r="B56" s="29" t="s">
        <v>702</v>
      </c>
      <c r="C56" s="29" t="s">
        <v>487</v>
      </c>
      <c r="D56" s="29" t="s">
        <v>516</v>
      </c>
      <c r="E56" s="161" t="s">
        <v>852</v>
      </c>
      <c r="F56" s="7"/>
      <c r="G56" s="251">
        <v>925.96</v>
      </c>
      <c r="H56" s="51">
        <v>0</v>
      </c>
      <c r="I56" s="51">
        <v>925.95</v>
      </c>
      <c r="J56" s="149">
        <v>925.95</v>
      </c>
      <c r="K56" s="161"/>
      <c r="L56"/>
    </row>
    <row r="57" spans="1:12">
      <c r="A57" s="7">
        <v>52</v>
      </c>
      <c r="B57" s="29" t="s">
        <v>703</v>
      </c>
      <c r="C57" s="29" t="s">
        <v>488</v>
      </c>
      <c r="D57" s="29" t="s">
        <v>517</v>
      </c>
      <c r="E57" s="161" t="s">
        <v>852</v>
      </c>
      <c r="F57" s="7"/>
      <c r="G57" s="251">
        <v>1489.48</v>
      </c>
      <c r="H57" s="51">
        <v>0</v>
      </c>
      <c r="I57" s="51">
        <v>1489.47</v>
      </c>
      <c r="J57" s="149">
        <v>1489.47</v>
      </c>
      <c r="K57" s="161"/>
      <c r="L57"/>
    </row>
    <row r="58" spans="1:12">
      <c r="A58" s="7">
        <v>53</v>
      </c>
      <c r="B58" s="29" t="s">
        <v>704</v>
      </c>
      <c r="C58" s="29" t="s">
        <v>773</v>
      </c>
      <c r="D58" s="29" t="s">
        <v>821</v>
      </c>
      <c r="E58" s="161" t="s">
        <v>852</v>
      </c>
      <c r="F58" s="7"/>
      <c r="G58" s="251">
        <v>1489.48</v>
      </c>
      <c r="H58" s="51">
        <v>0</v>
      </c>
      <c r="I58" s="51">
        <v>1489.47</v>
      </c>
      <c r="J58" s="149">
        <v>1489.47</v>
      </c>
      <c r="K58" s="161"/>
      <c r="L58"/>
    </row>
    <row r="59" spans="1:12">
      <c r="A59" s="7">
        <v>54</v>
      </c>
      <c r="B59" s="29" t="s">
        <v>705</v>
      </c>
      <c r="C59" s="29" t="s">
        <v>491</v>
      </c>
      <c r="D59" s="29" t="s">
        <v>456</v>
      </c>
      <c r="E59" s="161" t="s">
        <v>852</v>
      </c>
      <c r="F59" s="7"/>
      <c r="G59" s="251">
        <v>744.74</v>
      </c>
      <c r="H59" s="51">
        <v>0</v>
      </c>
      <c r="I59" s="51">
        <v>744.73</v>
      </c>
      <c r="J59" s="149">
        <v>744.73</v>
      </c>
      <c r="K59" s="161"/>
      <c r="L59"/>
    </row>
    <row r="60" spans="1:12">
      <c r="A60" s="7">
        <v>55</v>
      </c>
      <c r="B60" s="29" t="s">
        <v>707</v>
      </c>
      <c r="C60" s="29" t="s">
        <v>774</v>
      </c>
      <c r="D60" s="29" t="s">
        <v>823</v>
      </c>
      <c r="E60" s="161" t="s">
        <v>854</v>
      </c>
      <c r="F60" s="7">
        <v>1</v>
      </c>
      <c r="G60" s="251">
        <v>1272.5</v>
      </c>
      <c r="H60" s="51">
        <v>0</v>
      </c>
      <c r="I60" s="51">
        <v>1272.5</v>
      </c>
      <c r="J60" s="149">
        <v>1272.5</v>
      </c>
      <c r="K60" s="161"/>
      <c r="L60"/>
    </row>
    <row r="61" spans="1:12">
      <c r="A61" s="7">
        <v>56</v>
      </c>
      <c r="B61" s="29" t="s">
        <v>706</v>
      </c>
      <c r="C61" s="29" t="s">
        <v>774</v>
      </c>
      <c r="D61" s="37" t="s">
        <v>822</v>
      </c>
      <c r="E61" s="161" t="s">
        <v>852</v>
      </c>
      <c r="F61" s="7"/>
      <c r="G61" s="251">
        <v>618.62</v>
      </c>
      <c r="H61" s="51">
        <v>0</v>
      </c>
      <c r="I61" s="51">
        <v>618.62</v>
      </c>
      <c r="J61" s="149">
        <v>618.62</v>
      </c>
      <c r="K61" s="161"/>
      <c r="L61"/>
    </row>
    <row r="62" spans="1:12">
      <c r="A62" s="7">
        <v>57</v>
      </c>
      <c r="B62" s="29" t="s">
        <v>708</v>
      </c>
      <c r="C62" s="29" t="s">
        <v>775</v>
      </c>
      <c r="D62" s="37" t="s">
        <v>824</v>
      </c>
      <c r="E62" s="161" t="s">
        <v>854</v>
      </c>
      <c r="F62" s="7">
        <v>1</v>
      </c>
      <c r="G62" s="251">
        <v>1558.48</v>
      </c>
      <c r="H62" s="51">
        <v>0</v>
      </c>
      <c r="I62" s="51">
        <v>1558.47</v>
      </c>
      <c r="J62" s="149">
        <v>1558.47</v>
      </c>
      <c r="K62" s="161"/>
      <c r="L62"/>
    </row>
    <row r="63" spans="1:12">
      <c r="A63" s="7">
        <v>58</v>
      </c>
      <c r="B63" s="29" t="s">
        <v>709</v>
      </c>
      <c r="C63" s="29" t="s">
        <v>776</v>
      </c>
      <c r="D63" s="37" t="s">
        <v>825</v>
      </c>
      <c r="E63" s="161" t="s">
        <v>852</v>
      </c>
      <c r="F63" s="7"/>
      <c r="G63" s="251">
        <v>594.79999999999995</v>
      </c>
      <c r="H63" s="51">
        <v>0</v>
      </c>
      <c r="I63" s="51">
        <v>594.79</v>
      </c>
      <c r="J63" s="149">
        <v>594.79</v>
      </c>
      <c r="K63" s="161"/>
      <c r="L63"/>
    </row>
    <row r="64" spans="1:12">
      <c r="A64" s="7">
        <v>59</v>
      </c>
      <c r="B64" s="29" t="s">
        <v>711</v>
      </c>
      <c r="C64" s="29" t="s">
        <v>777</v>
      </c>
      <c r="D64" s="29" t="s">
        <v>827</v>
      </c>
      <c r="E64" s="161" t="s">
        <v>853</v>
      </c>
      <c r="F64" s="7">
        <v>2</v>
      </c>
      <c r="G64" s="251">
        <v>1681.28</v>
      </c>
      <c r="H64" s="51">
        <v>0</v>
      </c>
      <c r="I64" s="51">
        <v>1681.28</v>
      </c>
      <c r="J64" s="149">
        <v>1681.28</v>
      </c>
      <c r="K64" s="161"/>
      <c r="L64"/>
    </row>
    <row r="65" spans="1:15">
      <c r="A65" s="7">
        <v>60</v>
      </c>
      <c r="B65" s="29" t="s">
        <v>710</v>
      </c>
      <c r="C65" s="29" t="s">
        <v>777</v>
      </c>
      <c r="D65" s="29" t="s">
        <v>826</v>
      </c>
      <c r="E65" s="161" t="s">
        <v>852</v>
      </c>
      <c r="F65" s="7"/>
      <c r="G65" s="251">
        <v>886.72</v>
      </c>
      <c r="H65" s="51">
        <v>0</v>
      </c>
      <c r="I65" s="51">
        <v>886.72</v>
      </c>
      <c r="J65" s="51">
        <v>886.72</v>
      </c>
      <c r="K65" s="161"/>
      <c r="L65"/>
    </row>
    <row r="66" spans="1:15">
      <c r="A66" s="7">
        <v>61</v>
      </c>
      <c r="B66" s="29" t="s">
        <v>712</v>
      </c>
      <c r="C66" s="29" t="s">
        <v>778</v>
      </c>
      <c r="D66" s="37" t="s">
        <v>828</v>
      </c>
      <c r="E66" s="161" t="s">
        <v>852</v>
      </c>
      <c r="F66" s="7"/>
      <c r="G66" s="251">
        <v>587.34</v>
      </c>
      <c r="H66" s="51">
        <v>0</v>
      </c>
      <c r="I66" s="51">
        <v>587.34</v>
      </c>
      <c r="J66" s="149">
        <v>587.34</v>
      </c>
      <c r="K66" s="161"/>
      <c r="L66"/>
    </row>
    <row r="67" spans="1:15">
      <c r="A67" s="7">
        <v>62</v>
      </c>
      <c r="B67" s="29" t="s">
        <v>713</v>
      </c>
      <c r="C67" s="29" t="s">
        <v>778</v>
      </c>
      <c r="D67" s="37" t="s">
        <v>829</v>
      </c>
      <c r="E67" s="161" t="s">
        <v>856</v>
      </c>
      <c r="F67" s="7">
        <v>2</v>
      </c>
      <c r="G67" s="251">
        <v>1402.26</v>
      </c>
      <c r="H67" s="51">
        <v>657.84</v>
      </c>
      <c r="I67" s="51">
        <f>G67+H67</f>
        <v>2060.1</v>
      </c>
      <c r="J67" s="189">
        <v>2060.09</v>
      </c>
      <c r="K67" s="161"/>
      <c r="L67"/>
    </row>
    <row r="68" spans="1:15">
      <c r="A68" s="7">
        <v>63</v>
      </c>
      <c r="B68" s="29" t="s">
        <v>868</v>
      </c>
      <c r="C68" s="29" t="s">
        <v>870</v>
      </c>
      <c r="D68" s="37" t="s">
        <v>869</v>
      </c>
      <c r="E68" s="29" t="s">
        <v>854</v>
      </c>
      <c r="F68" s="7">
        <v>1</v>
      </c>
      <c r="G68" s="286">
        <v>0</v>
      </c>
      <c r="H68" s="52">
        <v>0</v>
      </c>
      <c r="I68" s="286">
        <v>0</v>
      </c>
      <c r="J68" s="265">
        <v>1383.21</v>
      </c>
      <c r="K68" s="161" t="s">
        <v>936</v>
      </c>
      <c r="L68"/>
    </row>
    <row r="69" spans="1:15">
      <c r="A69" s="113"/>
      <c r="E69" s="261"/>
      <c r="F69" s="282"/>
      <c r="G69" s="262"/>
      <c r="H69" s="262"/>
      <c r="I69" s="262"/>
      <c r="J69" s="263"/>
      <c r="K69" s="117"/>
      <c r="N69" s="15"/>
      <c r="O69" s="15"/>
    </row>
    <row r="70" spans="1:15">
      <c r="A70" s="428" t="s">
        <v>652</v>
      </c>
      <c r="B70" s="429"/>
      <c r="C70" s="429"/>
      <c r="D70" s="429"/>
      <c r="E70" s="429"/>
      <c r="F70" s="429"/>
      <c r="G70" s="430"/>
      <c r="H70" s="246"/>
      <c r="I70" s="264">
        <f>SUM(I5:I68)</f>
        <v>69588.760000000009</v>
      </c>
      <c r="J70" s="111">
        <f>SUM(J5:J68)</f>
        <v>72206.210000000006</v>
      </c>
      <c r="K70" s="255"/>
      <c r="L70"/>
    </row>
    <row r="71" spans="1:15">
      <c r="A71" s="431"/>
      <c r="B71" s="453"/>
      <c r="C71" s="432"/>
      <c r="D71" s="141"/>
      <c r="E71" s="271" t="s">
        <v>258</v>
      </c>
      <c r="F71" s="7">
        <v>63</v>
      </c>
      <c r="G71" s="161"/>
      <c r="H71" s="161"/>
      <c r="I71" s="161"/>
      <c r="J71" s="52"/>
      <c r="K71" s="241"/>
      <c r="L71"/>
    </row>
    <row r="72" spans="1:15">
      <c r="A72" s="271"/>
      <c r="B72" s="272"/>
      <c r="C72" s="141"/>
      <c r="D72" s="141"/>
      <c r="E72" s="141" t="s">
        <v>930</v>
      </c>
      <c r="F72" s="7">
        <v>4</v>
      </c>
      <c r="G72" s="161"/>
      <c r="H72" s="161"/>
      <c r="I72" s="161"/>
      <c r="J72" s="52"/>
      <c r="K72" s="241"/>
      <c r="L72"/>
    </row>
    <row r="73" spans="1:15">
      <c r="A73" s="431"/>
      <c r="B73" s="453"/>
      <c r="C73" s="432"/>
      <c r="D73" s="141"/>
      <c r="E73" s="271" t="s">
        <v>931</v>
      </c>
      <c r="F73" s="58">
        <f>SUM(F5:F68)</f>
        <v>30</v>
      </c>
      <c r="G73" s="161"/>
      <c r="H73" s="196"/>
      <c r="I73" s="196"/>
      <c r="J73" s="52"/>
      <c r="K73" s="241"/>
      <c r="L73"/>
    </row>
    <row r="74" spans="1:15">
      <c r="A74" s="433"/>
      <c r="B74" s="454"/>
      <c r="C74" s="434"/>
      <c r="D74" s="92"/>
      <c r="E74" s="91" t="s">
        <v>246</v>
      </c>
      <c r="F74" s="86">
        <f>F71+F73+F72</f>
        <v>97</v>
      </c>
      <c r="G74" s="161"/>
      <c r="H74" s="187"/>
      <c r="I74" s="187"/>
      <c r="J74" s="52"/>
      <c r="K74" s="241"/>
      <c r="L74"/>
    </row>
    <row r="75" spans="1:15">
      <c r="A75" s="455" t="s">
        <v>830</v>
      </c>
      <c r="B75" s="456"/>
      <c r="C75" s="456"/>
      <c r="D75" s="456"/>
      <c r="E75" s="456"/>
      <c r="F75" s="456"/>
      <c r="G75" s="457"/>
      <c r="H75" s="247"/>
      <c r="I75" s="247"/>
      <c r="J75" s="184"/>
      <c r="K75" s="256"/>
      <c r="L75"/>
      <c r="M75" s="15"/>
    </row>
    <row r="76" spans="1:15" s="1" customFormat="1">
      <c r="A76" s="291"/>
      <c r="M76" s="116"/>
    </row>
    <row r="77" spans="1:15" s="287" customFormat="1">
      <c r="A77" s="196"/>
      <c r="B77" s="37" t="s">
        <v>673</v>
      </c>
      <c r="C77" s="37" t="s">
        <v>752</v>
      </c>
      <c r="D77" s="37" t="s">
        <v>793</v>
      </c>
      <c r="E77" s="37" t="s">
        <v>853</v>
      </c>
      <c r="F77" s="37"/>
      <c r="G77" s="37"/>
      <c r="H77" s="37"/>
      <c r="I77" s="37"/>
      <c r="J77" s="288">
        <f>-1382.39*2</f>
        <v>-2764.78</v>
      </c>
      <c r="K77" s="37" t="s">
        <v>938</v>
      </c>
      <c r="M77" s="289"/>
    </row>
    <row r="78" spans="1:15" s="287" customFormat="1">
      <c r="A78" s="196"/>
      <c r="B78" s="37" t="s">
        <v>675</v>
      </c>
      <c r="C78" s="37" t="s">
        <v>755</v>
      </c>
      <c r="D78" s="37" t="s">
        <v>796</v>
      </c>
      <c r="E78" s="37" t="s">
        <v>852</v>
      </c>
      <c r="F78" s="58"/>
      <c r="G78" s="196"/>
      <c r="H78" s="290"/>
      <c r="I78" s="196"/>
      <c r="J78" s="288">
        <v>-646.42999999999995</v>
      </c>
      <c r="K78" s="292" t="s">
        <v>939</v>
      </c>
      <c r="M78" s="289"/>
    </row>
    <row r="79" spans="1:15" s="287" customFormat="1">
      <c r="A79" s="196"/>
      <c r="B79" s="37" t="s">
        <v>868</v>
      </c>
      <c r="C79" s="37" t="s">
        <v>870</v>
      </c>
      <c r="D79" s="37" t="s">
        <v>869</v>
      </c>
      <c r="E79" s="37" t="s">
        <v>854</v>
      </c>
      <c r="F79" s="58"/>
      <c r="G79" s="196"/>
      <c r="H79" s="290"/>
      <c r="I79" s="196"/>
      <c r="J79" s="288">
        <v>1383.21</v>
      </c>
      <c r="K79" s="292" t="s">
        <v>937</v>
      </c>
      <c r="M79" s="289"/>
    </row>
    <row r="80" spans="1:15">
      <c r="A80" s="196"/>
      <c r="B80" s="196"/>
      <c r="C80" s="29"/>
      <c r="D80" s="29"/>
      <c r="E80" s="29"/>
      <c r="F80" s="7"/>
      <c r="G80" s="196"/>
      <c r="H80" s="196"/>
      <c r="I80" s="196"/>
      <c r="J80" s="52"/>
      <c r="K80" s="241"/>
      <c r="L80"/>
      <c r="M80" s="15"/>
    </row>
    <row r="81" spans="1:15" ht="12" customHeight="1">
      <c r="A81" s="428" t="s">
        <v>846</v>
      </c>
      <c r="B81" s="429"/>
      <c r="C81" s="429"/>
      <c r="D81" s="429"/>
      <c r="E81" s="429"/>
      <c r="F81" s="429"/>
      <c r="G81" s="430"/>
      <c r="H81" s="246"/>
      <c r="I81" s="246"/>
      <c r="J81" s="293">
        <f>SUM(J77:J80)</f>
        <v>-2028</v>
      </c>
      <c r="K81" s="258"/>
      <c r="L81"/>
    </row>
    <row r="82" spans="1:15" ht="12" customHeight="1">
      <c r="A82" s="172"/>
      <c r="B82" s="173"/>
      <c r="C82" s="173"/>
      <c r="D82" s="173"/>
      <c r="E82" s="173"/>
      <c r="F82" s="281"/>
      <c r="G82" s="167"/>
      <c r="H82" s="167"/>
      <c r="I82" s="167"/>
      <c r="J82" s="83"/>
      <c r="K82" s="259"/>
      <c r="L82"/>
    </row>
    <row r="83" spans="1:15" ht="16">
      <c r="A83" s="450" t="s">
        <v>881</v>
      </c>
      <c r="B83" s="451"/>
      <c r="C83" s="451"/>
      <c r="D83" s="451"/>
      <c r="E83" s="451"/>
      <c r="F83" s="451"/>
      <c r="G83" s="452"/>
      <c r="H83" s="267"/>
      <c r="I83" s="267"/>
      <c r="J83" s="268">
        <f>J70+J81</f>
        <v>70178.210000000006</v>
      </c>
      <c r="K83" s="260"/>
      <c r="L83"/>
    </row>
    <row r="84" spans="1:15" ht="18">
      <c r="G84" s="218" t="s">
        <v>250</v>
      </c>
      <c r="H84" s="238">
        <v>45027</v>
      </c>
      <c r="I84"/>
      <c r="J84"/>
      <c r="K84"/>
      <c r="L84"/>
    </row>
    <row r="85" spans="1:15" ht="18">
      <c r="G85" s="218" t="s">
        <v>251</v>
      </c>
      <c r="H85" s="239" t="s">
        <v>653</v>
      </c>
      <c r="I85"/>
      <c r="J85"/>
      <c r="K85"/>
      <c r="L85"/>
    </row>
    <row r="88" spans="1:15">
      <c r="H88" s="269"/>
      <c r="J88" s="270"/>
    </row>
    <row r="90" spans="1:15" s="3" customFormat="1">
      <c r="A90"/>
      <c r="B90"/>
      <c r="C90"/>
      <c r="D90"/>
      <c r="E90"/>
      <c r="G90" s="216"/>
      <c r="H90" s="216"/>
      <c r="I90" s="216"/>
      <c r="K90" s="152"/>
      <c r="L90" s="216"/>
      <c r="M90"/>
      <c r="N90"/>
      <c r="O90"/>
    </row>
  </sheetData>
  <autoFilter ref="A4:L68" xr:uid="{EC283F26-1258-B84E-AE05-5C35489C3CC6}">
    <sortState xmlns:xlrd2="http://schemas.microsoft.com/office/spreadsheetml/2017/richdata2" ref="A5:L68">
      <sortCondition ref="C4:C68"/>
    </sortState>
  </autoFilter>
  <mergeCells count="7">
    <mergeCell ref="A83:G83"/>
    <mergeCell ref="A70:G70"/>
    <mergeCell ref="A71:C71"/>
    <mergeCell ref="A73:C73"/>
    <mergeCell ref="A74:C74"/>
    <mergeCell ref="A75:G75"/>
    <mergeCell ref="A81:G81"/>
  </mergeCells>
  <conditionalFormatting sqref="B4 B6:B7">
    <cfRule type="duplicateValues" dxfId="1243" priority="44"/>
  </conditionalFormatting>
  <conditionalFormatting sqref="B10:B67 B6:B8">
    <cfRule type="duplicateValues" dxfId="1242" priority="710"/>
  </conditionalFormatting>
  <conditionalFormatting sqref="B10:B67 B8">
    <cfRule type="duplicateValues" dxfId="1241" priority="707"/>
  </conditionalFormatting>
  <conditionalFormatting sqref="B77">
    <cfRule type="duplicateValues" dxfId="1240" priority="3"/>
    <cfRule type="duplicateValues" dxfId="1239" priority="4"/>
  </conditionalFormatting>
  <conditionalFormatting sqref="B78">
    <cfRule type="duplicateValues" dxfId="1238" priority="1"/>
    <cfRule type="duplicateValues" dxfId="1237" priority="2"/>
  </conditionalFormatting>
  <conditionalFormatting sqref="C88">
    <cfRule type="duplicateValues" dxfId="1236" priority="39"/>
    <cfRule type="duplicateValues" dxfId="1235" priority="40"/>
  </conditionalFormatting>
  <conditionalFormatting sqref="C90">
    <cfRule type="duplicateValues" dxfId="1234" priority="37"/>
    <cfRule type="duplicateValues" dxfId="1233" priority="38"/>
  </conditionalFormatting>
  <conditionalFormatting sqref="C92">
    <cfRule type="duplicateValues" dxfId="1232" priority="35"/>
    <cfRule type="duplicateValues" dxfId="1231" priority="36"/>
  </conditionalFormatting>
  <conditionalFormatting sqref="C79:D79">
    <cfRule type="duplicateValues" dxfId="1230" priority="621"/>
  </conditionalFormatting>
  <conditionalFormatting sqref="C80:F80">
    <cfRule type="duplicateValues" dxfId="1229" priority="671"/>
  </conditionalFormatting>
  <conditionalFormatting sqref="C81:F85 E69:F70 E75:F75 C70:D75 C68:D68 E1:F3 C1:D4">
    <cfRule type="duplicateValues" dxfId="1228" priority="46"/>
  </conditionalFormatting>
  <conditionalFormatting sqref="C81:F86 E1:F3 C1:D4 E69:F70 E75:F75 C70:D75 C68:D68 D88:F88 D90:F90 C89:F89 C93:F1048576 D92:F92 C91:F91">
    <cfRule type="duplicateValues" dxfId="1227" priority="45"/>
  </conditionalFormatting>
  <conditionalFormatting sqref="C86:F86 D88:F88 D90:F90 C89:F89 C93:F1048576 D92:F92 C91:F91">
    <cfRule type="duplicateValues" dxfId="1226" priority="657"/>
  </conditionalFormatting>
  <conditionalFormatting sqref="E72">
    <cfRule type="duplicateValues" dxfId="1225" priority="9"/>
    <cfRule type="duplicateValues" dxfId="1224" priority="10"/>
  </conditionalFormatting>
  <conditionalFormatting sqref="E69:F69 C68:D68">
    <cfRule type="duplicateValues" dxfId="1223" priority="47"/>
  </conditionalFormatting>
  <conditionalFormatting sqref="G1:H3 E4:G67 E68:F68 I68:J68 G69:I70 F71:F74 H71:I74 G75:I75 E78:G79 I78:I79 G80:I1048576">
    <cfRule type="containsText" dxfId="1222" priority="31" operator="containsText" text="Spouse">
      <formula>NOT(ISERROR(SEARCH("Spouse",E1)))</formula>
    </cfRule>
  </conditionalFormatting>
  <conditionalFormatting sqref="K5">
    <cfRule type="notContainsBlanks" dxfId="1221" priority="32">
      <formula>LEN(TRIM(K5))&gt;0</formula>
    </cfRule>
  </conditionalFormatting>
  <conditionalFormatting sqref="K8:K13 K15:K32 K34:K51 K53:K64 L69 K70:K75 K81:K83">
    <cfRule type="notContainsBlanks" dxfId="1220" priority="43">
      <formula>LEN(TRIM(K8))&gt;0</formula>
    </cfRule>
  </conditionalFormatting>
  <conditionalFormatting sqref="K68">
    <cfRule type="notContainsBlanks" dxfId="1219" priority="12">
      <formula>LEN(TRIM(K68))&gt;0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C3E5-487E-8749-8548-30D700CFF04C}">
  <sheetPr>
    <tabColor theme="7" tint="0.59999389629810485"/>
    <pageSetUpPr fitToPage="1"/>
  </sheetPr>
  <dimension ref="A1:O101"/>
  <sheetViews>
    <sheetView zoomScale="120" zoomScaleNormal="120" zoomScalePageLayoutView="140" workbookViewId="0">
      <pane xSplit="4" ySplit="4" topLeftCell="E56" activePane="bottomRight" state="frozen"/>
      <selection activeCell="D65" sqref="D65"/>
      <selection pane="topRight" activeCell="D65" sqref="D65"/>
      <selection pane="bottomLeft" activeCell="D65" sqref="D65"/>
      <selection pane="bottomRight" activeCell="J3" sqref="J3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9.1640625" customWidth="1"/>
    <col min="4" max="4" width="23.83203125" bestFit="1" customWidth="1"/>
    <col min="5" max="5" width="23.83203125" customWidth="1"/>
    <col min="6" max="6" width="10.1640625" style="3" customWidth="1"/>
    <col min="7" max="7" width="13.6640625" style="216" customWidth="1"/>
    <col min="8" max="8" width="12.832031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44986</v>
      </c>
      <c r="K2" s="230"/>
    </row>
    <row r="3" spans="1:14" ht="14" customHeight="1">
      <c r="J3" s="201"/>
      <c r="K3" s="231" t="s">
        <v>832</v>
      </c>
    </row>
    <row r="4" spans="1:14" ht="28">
      <c r="A4" s="50" t="s">
        <v>226</v>
      </c>
      <c r="B4" s="219" t="s">
        <v>500</v>
      </c>
      <c r="C4" s="50" t="s">
        <v>498</v>
      </c>
      <c r="D4" s="50" t="s">
        <v>499</v>
      </c>
      <c r="E4" s="279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7">
        <v>1</v>
      </c>
      <c r="B5" s="29" t="s">
        <v>741</v>
      </c>
      <c r="C5" s="29" t="s">
        <v>742</v>
      </c>
      <c r="D5" s="29" t="s">
        <v>779</v>
      </c>
      <c r="E5" s="161" t="s">
        <v>851</v>
      </c>
      <c r="F5" s="7"/>
      <c r="G5" s="251">
        <v>1158.3</v>
      </c>
      <c r="H5" s="51">
        <v>1158.3</v>
      </c>
      <c r="I5" s="51">
        <v>2316.6</v>
      </c>
      <c r="J5" s="149">
        <v>2316.6</v>
      </c>
      <c r="K5" s="161"/>
      <c r="L5"/>
    </row>
    <row r="6" spans="1:14">
      <c r="A6" s="7">
        <v>2</v>
      </c>
      <c r="B6" s="29" t="s">
        <v>658</v>
      </c>
      <c r="C6" s="29" t="s">
        <v>743</v>
      </c>
      <c r="D6" s="161" t="s">
        <v>780</v>
      </c>
      <c r="E6" s="161" t="s">
        <v>852</v>
      </c>
      <c r="F6" s="7"/>
      <c r="G6" s="251">
        <v>498.48</v>
      </c>
      <c r="H6" s="51">
        <v>0</v>
      </c>
      <c r="I6" s="51">
        <v>498.48</v>
      </c>
      <c r="J6" s="149">
        <v>498.47</v>
      </c>
      <c r="K6" s="161"/>
      <c r="L6"/>
    </row>
    <row r="7" spans="1:14">
      <c r="A7" s="7">
        <v>3</v>
      </c>
      <c r="B7" s="29" t="s">
        <v>659</v>
      </c>
      <c r="C7" s="29" t="s">
        <v>744</v>
      </c>
      <c r="D7" s="161" t="s">
        <v>781</v>
      </c>
      <c r="E7" s="161" t="s">
        <v>853</v>
      </c>
      <c r="F7" s="7">
        <v>2</v>
      </c>
      <c r="G7" s="251">
        <v>1637.1</v>
      </c>
      <c r="H7" s="51">
        <v>0</v>
      </c>
      <c r="I7" s="51">
        <v>1637.1</v>
      </c>
      <c r="J7" s="160">
        <v>1637.09</v>
      </c>
      <c r="K7" s="161"/>
      <c r="L7"/>
    </row>
    <row r="8" spans="1:14">
      <c r="A8" s="7">
        <v>4</v>
      </c>
      <c r="B8" s="29" t="s">
        <v>660</v>
      </c>
      <c r="C8" s="29" t="s">
        <v>462</v>
      </c>
      <c r="D8" s="29" t="s">
        <v>425</v>
      </c>
      <c r="E8" s="161" t="s">
        <v>853</v>
      </c>
      <c r="F8" s="7">
        <v>2</v>
      </c>
      <c r="G8" s="251">
        <v>1607.22</v>
      </c>
      <c r="H8" s="51">
        <v>0</v>
      </c>
      <c r="I8" s="51">
        <v>1607.22</v>
      </c>
      <c r="J8" s="149">
        <v>1607.22</v>
      </c>
      <c r="K8" s="161"/>
      <c r="L8"/>
    </row>
    <row r="9" spans="1:14">
      <c r="A9" s="7">
        <v>5</v>
      </c>
      <c r="B9" s="29" t="s">
        <v>833</v>
      </c>
      <c r="C9" s="29" t="s">
        <v>834</v>
      </c>
      <c r="D9" s="29" t="s">
        <v>835</v>
      </c>
      <c r="E9" s="161" t="s">
        <v>852</v>
      </c>
      <c r="F9" s="7"/>
      <c r="G9" s="251">
        <v>614.66</v>
      </c>
      <c r="H9" s="51">
        <v>0</v>
      </c>
      <c r="I9" s="51">
        <v>614.66</v>
      </c>
      <c r="J9" s="149">
        <v>614.65</v>
      </c>
      <c r="K9" s="161"/>
      <c r="L9"/>
    </row>
    <row r="10" spans="1:14">
      <c r="A10" s="7">
        <v>7</v>
      </c>
      <c r="B10" s="29" t="s">
        <v>717</v>
      </c>
      <c r="C10" s="29" t="s">
        <v>460</v>
      </c>
      <c r="D10" s="29" t="s">
        <v>782</v>
      </c>
      <c r="E10" s="161" t="s">
        <v>854</v>
      </c>
      <c r="F10" s="7">
        <v>1</v>
      </c>
      <c r="G10" s="251">
        <v>1773.94</v>
      </c>
      <c r="H10" s="51">
        <v>0</v>
      </c>
      <c r="I10" s="51">
        <v>1773.94</v>
      </c>
      <c r="J10" s="149">
        <v>1773.94</v>
      </c>
      <c r="K10" s="161"/>
      <c r="L10"/>
    </row>
    <row r="11" spans="1:14">
      <c r="A11" s="7">
        <v>6</v>
      </c>
      <c r="B11" s="29" t="s">
        <v>661</v>
      </c>
      <c r="C11" s="29" t="s">
        <v>460</v>
      </c>
      <c r="D11" s="29" t="s">
        <v>426</v>
      </c>
      <c r="E11" s="161" t="s">
        <v>852</v>
      </c>
      <c r="F11" s="7"/>
      <c r="G11" s="251">
        <v>1292.3599999999999</v>
      </c>
      <c r="H11" s="51">
        <v>0</v>
      </c>
      <c r="I11" s="51">
        <v>1292.3599999999999</v>
      </c>
      <c r="J11" s="149">
        <v>1292.3499999999999</v>
      </c>
      <c r="K11" s="161"/>
      <c r="L11"/>
    </row>
    <row r="12" spans="1:14">
      <c r="A12" s="7">
        <v>8</v>
      </c>
      <c r="B12" s="29" t="s">
        <v>663</v>
      </c>
      <c r="C12" s="29" t="s">
        <v>745</v>
      </c>
      <c r="D12" s="37" t="s">
        <v>784</v>
      </c>
      <c r="E12" s="161" t="s">
        <v>852</v>
      </c>
      <c r="F12" s="7"/>
      <c r="G12" s="251">
        <v>587.34</v>
      </c>
      <c r="H12" s="51">
        <v>0</v>
      </c>
      <c r="I12" s="51">
        <v>587.34</v>
      </c>
      <c r="J12" s="149">
        <v>587.34</v>
      </c>
      <c r="K12" s="161"/>
      <c r="L12"/>
    </row>
    <row r="13" spans="1:14" s="1" customFormat="1">
      <c r="A13" s="7">
        <v>9</v>
      </c>
      <c r="B13" s="29" t="s">
        <v>837</v>
      </c>
      <c r="C13" s="29" t="s">
        <v>745</v>
      </c>
      <c r="D13" s="61" t="s">
        <v>838</v>
      </c>
      <c r="E13" s="161" t="s">
        <v>852</v>
      </c>
      <c r="F13" s="7"/>
      <c r="G13" s="251">
        <v>776.02</v>
      </c>
      <c r="H13" s="51">
        <v>0</v>
      </c>
      <c r="I13" s="51">
        <v>776.02</v>
      </c>
      <c r="J13" s="149">
        <v>776.01</v>
      </c>
      <c r="K13" s="161"/>
      <c r="L13"/>
      <c r="M13"/>
      <c r="N13"/>
    </row>
    <row r="14" spans="1:14" s="1" customFormat="1">
      <c r="A14" s="7">
        <v>10</v>
      </c>
      <c r="B14" s="29" t="s">
        <v>662</v>
      </c>
      <c r="C14" s="29" t="s">
        <v>745</v>
      </c>
      <c r="D14" s="61" t="s">
        <v>783</v>
      </c>
      <c r="E14" s="161" t="s">
        <v>852</v>
      </c>
      <c r="F14" s="7"/>
      <c r="G14" s="251">
        <v>618.62</v>
      </c>
      <c r="H14" s="51">
        <v>0</v>
      </c>
      <c r="I14" s="51">
        <v>618.62</v>
      </c>
      <c r="J14" s="149">
        <v>618.62</v>
      </c>
      <c r="L14"/>
      <c r="M14"/>
      <c r="N14"/>
    </row>
    <row r="15" spans="1:14">
      <c r="A15" s="7">
        <v>12</v>
      </c>
      <c r="B15" s="29" t="s">
        <v>839</v>
      </c>
      <c r="C15" s="29" t="s">
        <v>840</v>
      </c>
      <c r="D15" s="29" t="s">
        <v>841</v>
      </c>
      <c r="E15" s="161" t="s">
        <v>855</v>
      </c>
      <c r="F15" s="7">
        <v>1</v>
      </c>
      <c r="G15" s="251">
        <v>1012.42</v>
      </c>
      <c r="H15" s="51">
        <v>626.58000000000004</v>
      </c>
      <c r="I15" s="51">
        <v>1639</v>
      </c>
      <c r="J15" s="149">
        <v>1638.99</v>
      </c>
      <c r="K15" s="161"/>
      <c r="L15"/>
    </row>
    <row r="16" spans="1:14">
      <c r="A16" s="7">
        <v>13</v>
      </c>
      <c r="B16" s="29" t="s">
        <v>664</v>
      </c>
      <c r="C16" s="29" t="s">
        <v>746</v>
      </c>
      <c r="D16" s="29" t="s">
        <v>785</v>
      </c>
      <c r="E16" s="161" t="s">
        <v>854</v>
      </c>
      <c r="F16" s="7">
        <v>1</v>
      </c>
      <c r="G16" s="251">
        <v>1843.96</v>
      </c>
      <c r="H16" s="51">
        <v>0</v>
      </c>
      <c r="I16" s="51">
        <v>1843.96</v>
      </c>
      <c r="J16" s="149">
        <v>1843.95</v>
      </c>
      <c r="K16" s="161"/>
      <c r="L16"/>
    </row>
    <row r="17" spans="1:14">
      <c r="A17" s="7">
        <v>11</v>
      </c>
      <c r="B17" s="29" t="s">
        <v>665</v>
      </c>
      <c r="C17" s="29" t="s">
        <v>746</v>
      </c>
      <c r="D17" s="29" t="s">
        <v>786</v>
      </c>
      <c r="E17" s="161" t="s">
        <v>852</v>
      </c>
      <c r="F17" s="7"/>
      <c r="G17" s="251">
        <v>626.58000000000004</v>
      </c>
      <c r="H17" s="51">
        <v>0</v>
      </c>
      <c r="I17" s="51">
        <v>626.58000000000004</v>
      </c>
      <c r="J17" s="149">
        <v>626.57000000000005</v>
      </c>
      <c r="K17" s="161"/>
      <c r="L17"/>
    </row>
    <row r="18" spans="1:14">
      <c r="A18" s="7">
        <v>14</v>
      </c>
      <c r="B18" s="29" t="s">
        <v>666</v>
      </c>
      <c r="C18" s="29" t="s">
        <v>747</v>
      </c>
      <c r="D18" s="37" t="s">
        <v>787</v>
      </c>
      <c r="E18" s="161" t="s">
        <v>854</v>
      </c>
      <c r="F18" s="7">
        <v>1</v>
      </c>
      <c r="G18" s="251">
        <v>996.54</v>
      </c>
      <c r="H18" s="51">
        <v>0</v>
      </c>
      <c r="I18" s="51">
        <v>996.54</v>
      </c>
      <c r="J18" s="149">
        <v>996.53</v>
      </c>
      <c r="K18" s="161"/>
      <c r="L18"/>
    </row>
    <row r="19" spans="1:14" s="1" customFormat="1">
      <c r="A19" s="7">
        <v>15</v>
      </c>
      <c r="B19" s="29" t="s">
        <v>667</v>
      </c>
      <c r="C19" s="29" t="s">
        <v>466</v>
      </c>
      <c r="D19" s="29" t="s">
        <v>431</v>
      </c>
      <c r="E19" s="161" t="s">
        <v>853</v>
      </c>
      <c r="F19" s="7">
        <v>2</v>
      </c>
      <c r="G19" s="251">
        <v>1881.68</v>
      </c>
      <c r="H19" s="51">
        <v>0</v>
      </c>
      <c r="I19" s="51">
        <v>1881.68</v>
      </c>
      <c r="J19" s="189">
        <v>1881.68</v>
      </c>
      <c r="K19" s="161"/>
      <c r="L19"/>
      <c r="M19"/>
      <c r="N19"/>
    </row>
    <row r="20" spans="1:14">
      <c r="A20" s="7">
        <v>16</v>
      </c>
      <c r="B20" s="29" t="s">
        <v>668</v>
      </c>
      <c r="C20" s="29" t="s">
        <v>748</v>
      </c>
      <c r="D20" s="37" t="s">
        <v>788</v>
      </c>
      <c r="E20" s="161" t="s">
        <v>852</v>
      </c>
      <c r="F20" s="7"/>
      <c r="G20" s="251">
        <v>1107.1600000000001</v>
      </c>
      <c r="H20" s="51">
        <v>0</v>
      </c>
      <c r="I20" s="51">
        <v>1107.1600000000001</v>
      </c>
      <c r="J20" s="149">
        <v>1107.1600000000001</v>
      </c>
      <c r="K20" s="161"/>
      <c r="L20"/>
    </row>
    <row r="21" spans="1:14">
      <c r="A21" s="7">
        <v>17</v>
      </c>
      <c r="B21" s="29" t="s">
        <v>669</v>
      </c>
      <c r="C21" s="29" t="s">
        <v>749</v>
      </c>
      <c r="D21" s="37" t="s">
        <v>789</v>
      </c>
      <c r="E21" s="161" t="s">
        <v>852</v>
      </c>
      <c r="F21" s="7"/>
      <c r="G21" s="251">
        <v>539.67999999999995</v>
      </c>
      <c r="H21" s="51">
        <v>0</v>
      </c>
      <c r="I21" s="51">
        <v>539.67999999999995</v>
      </c>
      <c r="J21" s="149">
        <v>539.67999999999995</v>
      </c>
      <c r="K21" s="161"/>
      <c r="L21"/>
    </row>
    <row r="22" spans="1:14">
      <c r="A22" s="7">
        <v>18</v>
      </c>
      <c r="B22" s="29" t="s">
        <v>729</v>
      </c>
      <c r="C22" s="29" t="s">
        <v>750</v>
      </c>
      <c r="D22" s="37" t="s">
        <v>790</v>
      </c>
      <c r="E22" s="161" t="s">
        <v>852</v>
      </c>
      <c r="F22" s="7"/>
      <c r="G22" s="251">
        <v>618.62</v>
      </c>
      <c r="H22" s="51">
        <v>0</v>
      </c>
      <c r="I22" s="51">
        <v>618.62</v>
      </c>
      <c r="J22" s="149">
        <v>618.62</v>
      </c>
      <c r="K22" s="161"/>
      <c r="L22"/>
    </row>
    <row r="23" spans="1:14">
      <c r="A23" s="7">
        <v>19</v>
      </c>
      <c r="B23" s="29" t="s">
        <v>671</v>
      </c>
      <c r="C23" s="29" t="s">
        <v>751</v>
      </c>
      <c r="D23" s="29" t="s">
        <v>791</v>
      </c>
      <c r="E23" s="161" t="s">
        <v>852</v>
      </c>
      <c r="F23" s="7"/>
      <c r="G23" s="251">
        <v>1489.48</v>
      </c>
      <c r="H23" s="51">
        <v>0</v>
      </c>
      <c r="I23" s="51">
        <v>1489.48</v>
      </c>
      <c r="J23" s="149">
        <v>1489.47</v>
      </c>
      <c r="K23" s="161"/>
      <c r="L23"/>
    </row>
    <row r="24" spans="1:14">
      <c r="A24" s="7">
        <v>20</v>
      </c>
      <c r="B24" s="29" t="s">
        <v>672</v>
      </c>
      <c r="C24" s="29" t="s">
        <v>752</v>
      </c>
      <c r="D24" s="29" t="s">
        <v>792</v>
      </c>
      <c r="E24" s="161" t="s">
        <v>853</v>
      </c>
      <c r="F24" s="7">
        <v>2</v>
      </c>
      <c r="G24" s="251">
        <v>1414.18</v>
      </c>
      <c r="H24" s="51">
        <v>0</v>
      </c>
      <c r="I24" s="51">
        <v>1414.18</v>
      </c>
      <c r="J24" s="149">
        <v>1414.17</v>
      </c>
      <c r="K24" s="161"/>
      <c r="L24"/>
    </row>
    <row r="25" spans="1:14" s="12" customFormat="1">
      <c r="A25" s="283" t="s">
        <v>871</v>
      </c>
      <c r="B25" s="34" t="s">
        <v>673</v>
      </c>
      <c r="C25" s="34" t="s">
        <v>752</v>
      </c>
      <c r="D25" s="34" t="s">
        <v>793</v>
      </c>
      <c r="E25" s="284" t="s">
        <v>853</v>
      </c>
      <c r="F25" s="283"/>
      <c r="G25" s="265">
        <v>0</v>
      </c>
      <c r="H25" s="121">
        <v>0</v>
      </c>
      <c r="I25" s="121">
        <v>0</v>
      </c>
      <c r="J25" s="285">
        <v>1382.39</v>
      </c>
      <c r="K25" s="284" t="s">
        <v>879</v>
      </c>
    </row>
    <row r="26" spans="1:14">
      <c r="A26" s="7">
        <v>21</v>
      </c>
      <c r="B26" s="29" t="s">
        <v>674</v>
      </c>
      <c r="C26" s="29" t="s">
        <v>753</v>
      </c>
      <c r="D26" s="29" t="s">
        <v>794</v>
      </c>
      <c r="E26" s="161" t="s">
        <v>852</v>
      </c>
      <c r="F26" s="7"/>
      <c r="G26" s="251">
        <v>602.74</v>
      </c>
      <c r="H26" s="51">
        <v>0</v>
      </c>
      <c r="I26" s="51">
        <v>602.74</v>
      </c>
      <c r="J26" s="149">
        <v>602.73</v>
      </c>
      <c r="K26" s="161"/>
      <c r="L26"/>
    </row>
    <row r="27" spans="1:14">
      <c r="A27" s="7">
        <v>22</v>
      </c>
      <c r="B27" s="29" t="s">
        <v>715</v>
      </c>
      <c r="C27" s="29" t="s">
        <v>754</v>
      </c>
      <c r="D27" s="61" t="s">
        <v>795</v>
      </c>
      <c r="E27" s="161" t="s">
        <v>852</v>
      </c>
      <c r="F27" s="7"/>
      <c r="G27" s="251">
        <v>1209.94</v>
      </c>
      <c r="H27" s="51">
        <v>0</v>
      </c>
      <c r="I27" s="51">
        <v>1209.94</v>
      </c>
      <c r="J27" s="149">
        <v>1209.94</v>
      </c>
      <c r="K27" s="161"/>
      <c r="L27"/>
    </row>
    <row r="28" spans="1:14">
      <c r="A28" s="7">
        <v>23</v>
      </c>
      <c r="B28" s="29" t="s">
        <v>716</v>
      </c>
      <c r="C28" s="29" t="s">
        <v>439</v>
      </c>
      <c r="D28" s="29" t="s">
        <v>505</v>
      </c>
      <c r="E28" s="161" t="s">
        <v>852</v>
      </c>
      <c r="F28" s="7"/>
      <c r="G28" s="251">
        <v>1489.48</v>
      </c>
      <c r="H28" s="51">
        <v>0</v>
      </c>
      <c r="I28" s="51">
        <v>1489.48</v>
      </c>
      <c r="J28" s="149">
        <v>1489.47</v>
      </c>
      <c r="K28" s="161"/>
      <c r="L28"/>
    </row>
    <row r="29" spans="1:14" s="12" customFormat="1" ht="14" customHeight="1">
      <c r="A29" s="283" t="s">
        <v>871</v>
      </c>
      <c r="B29" s="34" t="s">
        <v>675</v>
      </c>
      <c r="C29" s="34" t="s">
        <v>755</v>
      </c>
      <c r="D29" s="34" t="s">
        <v>796</v>
      </c>
      <c r="E29" s="284" t="s">
        <v>852</v>
      </c>
      <c r="F29" s="283"/>
      <c r="G29" s="265">
        <v>0</v>
      </c>
      <c r="H29" s="121">
        <v>0</v>
      </c>
      <c r="I29" s="121">
        <v>0</v>
      </c>
      <c r="J29" s="285">
        <v>646.42999999999995</v>
      </c>
      <c r="K29" s="284" t="s">
        <v>880</v>
      </c>
    </row>
    <row r="30" spans="1:14">
      <c r="A30" s="7">
        <v>24</v>
      </c>
      <c r="B30" s="29" t="s">
        <v>676</v>
      </c>
      <c r="C30" s="29" t="s">
        <v>755</v>
      </c>
      <c r="D30" s="29" t="s">
        <v>797</v>
      </c>
      <c r="E30" s="161" t="s">
        <v>852</v>
      </c>
      <c r="F30" s="7"/>
      <c r="G30" s="251">
        <v>1012.84</v>
      </c>
      <c r="H30" s="51">
        <v>0</v>
      </c>
      <c r="I30" s="51">
        <v>1012.84</v>
      </c>
      <c r="J30" s="149">
        <v>1012.83</v>
      </c>
      <c r="K30" s="161"/>
      <c r="L30"/>
    </row>
    <row r="31" spans="1:14">
      <c r="A31" s="7">
        <v>25</v>
      </c>
      <c r="B31" s="29" t="s">
        <v>677</v>
      </c>
      <c r="C31" s="29" t="s">
        <v>755</v>
      </c>
      <c r="D31" s="37" t="s">
        <v>798</v>
      </c>
      <c r="E31" s="161" t="s">
        <v>853</v>
      </c>
      <c r="F31" s="7">
        <v>2</v>
      </c>
      <c r="G31" s="251">
        <v>1741.86</v>
      </c>
      <c r="H31" s="51">
        <v>0</v>
      </c>
      <c r="I31" s="51">
        <v>1741.86</v>
      </c>
      <c r="J31" s="149">
        <v>1741.85</v>
      </c>
      <c r="K31" s="161"/>
      <c r="L31"/>
    </row>
    <row r="32" spans="1:14">
      <c r="A32" s="7">
        <v>26</v>
      </c>
      <c r="B32" s="29" t="s">
        <v>678</v>
      </c>
      <c r="C32" s="29" t="s">
        <v>756</v>
      </c>
      <c r="D32" s="37" t="s">
        <v>799</v>
      </c>
      <c r="E32" s="161" t="s">
        <v>852</v>
      </c>
      <c r="F32" s="7"/>
      <c r="G32" s="251">
        <v>1489.48</v>
      </c>
      <c r="H32" s="51">
        <v>0</v>
      </c>
      <c r="I32" s="51">
        <v>1489.48</v>
      </c>
      <c r="J32" s="149">
        <v>1489.47</v>
      </c>
      <c r="K32" s="161"/>
      <c r="L32"/>
    </row>
    <row r="33" spans="1:12">
      <c r="A33" s="7">
        <v>27</v>
      </c>
      <c r="B33" s="29" t="s">
        <v>679</v>
      </c>
      <c r="C33" s="29" t="s">
        <v>756</v>
      </c>
      <c r="D33" s="37" t="s">
        <v>800</v>
      </c>
      <c r="E33" s="161" t="s">
        <v>852</v>
      </c>
      <c r="F33" s="7"/>
      <c r="G33" s="251">
        <v>1426.42</v>
      </c>
      <c r="H33" s="51">
        <v>0</v>
      </c>
      <c r="I33" s="51">
        <v>1426.42</v>
      </c>
      <c r="J33" s="149">
        <v>1426.41</v>
      </c>
      <c r="K33" s="161"/>
      <c r="L33"/>
    </row>
    <row r="34" spans="1:12">
      <c r="A34" s="7">
        <v>28</v>
      </c>
      <c r="B34" s="29" t="s">
        <v>680</v>
      </c>
      <c r="C34" s="29" t="s">
        <v>444</v>
      </c>
      <c r="D34" s="29" t="s">
        <v>506</v>
      </c>
      <c r="E34" s="161" t="s">
        <v>852</v>
      </c>
      <c r="F34" s="7"/>
      <c r="G34" s="251">
        <v>847.02</v>
      </c>
      <c r="H34" s="51">
        <v>0</v>
      </c>
      <c r="I34" s="51">
        <v>847.02</v>
      </c>
      <c r="J34" s="149">
        <v>847.01</v>
      </c>
      <c r="K34" s="161"/>
      <c r="L34"/>
    </row>
    <row r="35" spans="1:12">
      <c r="A35" s="7">
        <v>30</v>
      </c>
      <c r="B35" s="29" t="s">
        <v>682</v>
      </c>
      <c r="C35" s="29" t="s">
        <v>757</v>
      </c>
      <c r="D35" s="29" t="s">
        <v>802</v>
      </c>
      <c r="E35" s="161" t="s">
        <v>854</v>
      </c>
      <c r="F35" s="7">
        <v>1</v>
      </c>
      <c r="G35" s="251">
        <v>1000.52</v>
      </c>
      <c r="H35" s="51">
        <v>0</v>
      </c>
      <c r="I35" s="51">
        <v>1000.52</v>
      </c>
      <c r="J35" s="149">
        <v>1000.51</v>
      </c>
      <c r="K35" s="161"/>
      <c r="L35"/>
    </row>
    <row r="36" spans="1:12">
      <c r="A36" s="7">
        <v>31</v>
      </c>
      <c r="B36" s="29" t="s">
        <v>683</v>
      </c>
      <c r="C36" s="29" t="s">
        <v>757</v>
      </c>
      <c r="D36" s="29" t="s">
        <v>803</v>
      </c>
      <c r="E36" s="161" t="s">
        <v>852</v>
      </c>
      <c r="F36" s="7"/>
      <c r="G36" s="251">
        <v>594.79999999999995</v>
      </c>
      <c r="H36" s="51">
        <v>0</v>
      </c>
      <c r="I36" s="51">
        <v>594.79999999999995</v>
      </c>
      <c r="J36" s="149">
        <v>594.79</v>
      </c>
      <c r="K36" s="161"/>
      <c r="L36"/>
    </row>
    <row r="37" spans="1:12">
      <c r="A37" s="7">
        <v>29</v>
      </c>
      <c r="B37" s="29" t="s">
        <v>681</v>
      </c>
      <c r="C37" s="29" t="s">
        <v>757</v>
      </c>
      <c r="D37" s="29" t="s">
        <v>801</v>
      </c>
      <c r="E37" s="161" t="s">
        <v>856</v>
      </c>
      <c r="F37" s="7">
        <v>2</v>
      </c>
      <c r="G37" s="251">
        <v>1390.32</v>
      </c>
      <c r="H37" s="51">
        <v>614.66</v>
      </c>
      <c r="I37" s="51">
        <v>2004.98</v>
      </c>
      <c r="J37" s="149">
        <v>2004.98</v>
      </c>
      <c r="K37" s="161"/>
      <c r="L37"/>
    </row>
    <row r="38" spans="1:12">
      <c r="A38" s="7">
        <v>32</v>
      </c>
      <c r="B38" s="29" t="s">
        <v>684</v>
      </c>
      <c r="C38" s="29" t="s">
        <v>476</v>
      </c>
      <c r="D38" s="37" t="s">
        <v>804</v>
      </c>
      <c r="E38" s="161" t="s">
        <v>852</v>
      </c>
      <c r="F38" s="7"/>
      <c r="G38" s="251">
        <v>610.67999999999995</v>
      </c>
      <c r="H38" s="51">
        <v>0</v>
      </c>
      <c r="I38" s="51">
        <v>610.67999999999995</v>
      </c>
      <c r="J38" s="149">
        <v>610.67999999999995</v>
      </c>
      <c r="K38" s="161"/>
      <c r="L38"/>
    </row>
    <row r="39" spans="1:12">
      <c r="A39" s="7">
        <v>33</v>
      </c>
      <c r="B39" s="29" t="s">
        <v>686</v>
      </c>
      <c r="C39" s="29" t="s">
        <v>758</v>
      </c>
      <c r="D39" s="29" t="s">
        <v>805</v>
      </c>
      <c r="E39" s="161" t="s">
        <v>852</v>
      </c>
      <c r="F39" s="7"/>
      <c r="G39" s="251">
        <v>539.67999999999995</v>
      </c>
      <c r="H39" s="51">
        <v>0</v>
      </c>
      <c r="I39" s="51">
        <v>539.67999999999995</v>
      </c>
      <c r="J39" s="149">
        <v>539.67999999999995</v>
      </c>
      <c r="K39" s="161"/>
      <c r="L39"/>
    </row>
    <row r="40" spans="1:12">
      <c r="A40" s="7">
        <v>34</v>
      </c>
      <c r="B40" s="29" t="s">
        <v>687</v>
      </c>
      <c r="C40" s="29" t="s">
        <v>478</v>
      </c>
      <c r="D40" s="29" t="s">
        <v>448</v>
      </c>
      <c r="E40" s="161" t="s">
        <v>852</v>
      </c>
      <c r="F40" s="7"/>
      <c r="G40" s="251">
        <v>1489.48</v>
      </c>
      <c r="H40" s="51">
        <v>0</v>
      </c>
      <c r="I40" s="51">
        <v>1489.48</v>
      </c>
      <c r="J40" s="149">
        <v>1489.47</v>
      </c>
      <c r="K40" s="161"/>
      <c r="L40"/>
    </row>
    <row r="41" spans="1:12">
      <c r="A41" s="7">
        <v>35</v>
      </c>
      <c r="B41" s="29" t="s">
        <v>688</v>
      </c>
      <c r="C41" s="29" t="s">
        <v>759</v>
      </c>
      <c r="D41" s="37" t="s">
        <v>806</v>
      </c>
      <c r="E41" s="161" t="s">
        <v>852</v>
      </c>
      <c r="F41" s="7"/>
      <c r="G41" s="251">
        <v>602.74</v>
      </c>
      <c r="H41" s="51">
        <v>0</v>
      </c>
      <c r="I41" s="51">
        <v>602.74</v>
      </c>
      <c r="J41" s="149">
        <v>602.73</v>
      </c>
      <c r="K41" s="161"/>
      <c r="L41"/>
    </row>
    <row r="42" spans="1:12">
      <c r="A42" s="7">
        <v>36</v>
      </c>
      <c r="B42" s="29" t="s">
        <v>689</v>
      </c>
      <c r="C42" s="29" t="s">
        <v>760</v>
      </c>
      <c r="D42" s="29" t="s">
        <v>807</v>
      </c>
      <c r="E42" s="161" t="s">
        <v>852</v>
      </c>
      <c r="F42" s="7"/>
      <c r="G42" s="251">
        <v>508.4</v>
      </c>
      <c r="H42" s="51">
        <v>0</v>
      </c>
      <c r="I42" s="51">
        <v>508.4</v>
      </c>
      <c r="J42" s="149">
        <v>508.4</v>
      </c>
      <c r="K42" s="161"/>
      <c r="L42"/>
    </row>
    <row r="43" spans="1:12">
      <c r="A43" s="7">
        <v>37</v>
      </c>
      <c r="B43" s="29" t="s">
        <v>690</v>
      </c>
      <c r="C43" s="29" t="s">
        <v>761</v>
      </c>
      <c r="D43" s="29" t="s">
        <v>808</v>
      </c>
      <c r="E43" s="161" t="s">
        <v>852</v>
      </c>
      <c r="F43" s="7"/>
      <c r="G43" s="251">
        <v>539.67999999999995</v>
      </c>
      <c r="H43" s="51">
        <v>0</v>
      </c>
      <c r="I43" s="51">
        <v>539.67999999999995</v>
      </c>
      <c r="J43" s="149">
        <v>539.67999999999995</v>
      </c>
      <c r="K43" s="161"/>
      <c r="L43"/>
    </row>
    <row r="44" spans="1:12">
      <c r="A44" s="7">
        <v>38</v>
      </c>
      <c r="B44" s="29" t="s">
        <v>691</v>
      </c>
      <c r="C44" s="29" t="s">
        <v>480</v>
      </c>
      <c r="D44" s="37" t="s">
        <v>809</v>
      </c>
      <c r="E44" s="161" t="s">
        <v>853</v>
      </c>
      <c r="F44" s="7">
        <v>2</v>
      </c>
      <c r="G44" s="251">
        <v>2023.68</v>
      </c>
      <c r="H44" s="51">
        <v>0</v>
      </c>
      <c r="I44" s="51">
        <v>2023.68</v>
      </c>
      <c r="J44" s="149">
        <v>2023.68</v>
      </c>
      <c r="K44" s="161"/>
      <c r="L44"/>
    </row>
    <row r="45" spans="1:12">
      <c r="A45" s="7">
        <v>39</v>
      </c>
      <c r="B45" s="29" t="s">
        <v>692</v>
      </c>
      <c r="C45" s="29" t="s">
        <v>762</v>
      </c>
      <c r="D45" s="29" t="s">
        <v>810</v>
      </c>
      <c r="E45" s="161" t="s">
        <v>854</v>
      </c>
      <c r="F45" s="7">
        <v>1</v>
      </c>
      <c r="G45" s="251">
        <v>1008.46</v>
      </c>
      <c r="H45" s="51">
        <v>0</v>
      </c>
      <c r="I45" s="51">
        <v>1008.46</v>
      </c>
      <c r="J45" s="149">
        <v>1008.45</v>
      </c>
      <c r="K45" s="161"/>
      <c r="L45"/>
    </row>
    <row r="46" spans="1:12">
      <c r="A46" s="7">
        <v>40</v>
      </c>
      <c r="B46" s="29" t="s">
        <v>693</v>
      </c>
      <c r="C46" s="29" t="s">
        <v>763</v>
      </c>
      <c r="D46" s="29" t="s">
        <v>811</v>
      </c>
      <c r="E46" s="161" t="s">
        <v>852</v>
      </c>
      <c r="F46" s="7"/>
      <c r="G46" s="251">
        <v>606.72</v>
      </c>
      <c r="H46" s="51">
        <v>0</v>
      </c>
      <c r="I46" s="51">
        <v>606.72</v>
      </c>
      <c r="J46" s="149">
        <v>606.71</v>
      </c>
      <c r="K46" s="161"/>
      <c r="L46"/>
    </row>
    <row r="47" spans="1:12">
      <c r="A47" s="7">
        <v>41</v>
      </c>
      <c r="B47" s="29" t="s">
        <v>694</v>
      </c>
      <c r="C47" s="29" t="s">
        <v>764</v>
      </c>
      <c r="D47" s="29" t="s">
        <v>812</v>
      </c>
      <c r="E47" s="161" t="s">
        <v>854</v>
      </c>
      <c r="F47" s="7">
        <v>1</v>
      </c>
      <c r="G47" s="251">
        <v>1169.82</v>
      </c>
      <c r="H47" s="51">
        <v>0</v>
      </c>
      <c r="I47" s="51">
        <v>1169.82</v>
      </c>
      <c r="J47" s="149">
        <v>1169.81</v>
      </c>
      <c r="K47" s="161"/>
      <c r="L47"/>
    </row>
    <row r="48" spans="1:12">
      <c r="A48" s="7">
        <v>42</v>
      </c>
      <c r="B48" s="29" t="s">
        <v>695</v>
      </c>
      <c r="C48" s="29" t="s">
        <v>765</v>
      </c>
      <c r="D48" s="29" t="s">
        <v>813</v>
      </c>
      <c r="E48" s="161" t="s">
        <v>854</v>
      </c>
      <c r="F48" s="7">
        <v>1</v>
      </c>
      <c r="G48" s="251">
        <v>1406.64</v>
      </c>
      <c r="H48" s="51">
        <v>0</v>
      </c>
      <c r="I48" s="51">
        <v>1406.64</v>
      </c>
      <c r="J48" s="149">
        <v>1406.63</v>
      </c>
      <c r="K48" s="161"/>
      <c r="L48"/>
    </row>
    <row r="49" spans="1:12">
      <c r="A49" s="7">
        <v>43</v>
      </c>
      <c r="B49" s="29" t="s">
        <v>696</v>
      </c>
      <c r="C49" s="29" t="s">
        <v>766</v>
      </c>
      <c r="D49" s="37" t="s">
        <v>814</v>
      </c>
      <c r="E49" s="161" t="s">
        <v>852</v>
      </c>
      <c r="F49" s="7"/>
      <c r="G49" s="251">
        <v>1158.3</v>
      </c>
      <c r="H49" s="51">
        <v>0</v>
      </c>
      <c r="I49" s="51">
        <v>1158.3</v>
      </c>
      <c r="J49" s="149">
        <v>1158.3</v>
      </c>
      <c r="K49" s="161"/>
      <c r="L49"/>
    </row>
    <row r="50" spans="1:12">
      <c r="A50" s="7">
        <v>44</v>
      </c>
      <c r="B50" s="29" t="s">
        <v>697</v>
      </c>
      <c r="C50" s="29" t="s">
        <v>767</v>
      </c>
      <c r="D50" s="37" t="s">
        <v>815</v>
      </c>
      <c r="E50" s="161" t="s">
        <v>854</v>
      </c>
      <c r="F50" s="7">
        <v>1</v>
      </c>
      <c r="G50" s="251">
        <v>1706.44</v>
      </c>
      <c r="H50" s="51">
        <v>0</v>
      </c>
      <c r="I50" s="51">
        <v>1706.44</v>
      </c>
      <c r="J50" s="149">
        <v>1706.43</v>
      </c>
      <c r="K50" s="161"/>
      <c r="L50"/>
    </row>
    <row r="51" spans="1:12">
      <c r="A51" s="7">
        <v>45</v>
      </c>
      <c r="B51" s="29" t="s">
        <v>732</v>
      </c>
      <c r="C51" s="29" t="s">
        <v>768</v>
      </c>
      <c r="D51" s="37" t="s">
        <v>816</v>
      </c>
      <c r="E51" s="161" t="s">
        <v>852</v>
      </c>
      <c r="F51" s="7"/>
      <c r="G51" s="251">
        <v>1465.64</v>
      </c>
      <c r="H51" s="51">
        <v>0</v>
      </c>
      <c r="I51" s="51">
        <v>1465.64</v>
      </c>
      <c r="J51" s="149">
        <v>1465.63</v>
      </c>
      <c r="K51" s="161"/>
      <c r="L51"/>
    </row>
    <row r="52" spans="1:12">
      <c r="A52" s="7">
        <v>46</v>
      </c>
      <c r="B52" s="29" t="s">
        <v>842</v>
      </c>
      <c r="C52" s="29" t="s">
        <v>769</v>
      </c>
      <c r="D52" s="29" t="s">
        <v>843</v>
      </c>
      <c r="E52" s="161" t="s">
        <v>852</v>
      </c>
      <c r="F52" s="7"/>
      <c r="G52" s="251">
        <v>498.48</v>
      </c>
      <c r="H52" s="51">
        <v>0</v>
      </c>
      <c r="I52" s="51">
        <v>498.48</v>
      </c>
      <c r="J52" s="149">
        <v>498.47</v>
      </c>
      <c r="K52" s="161"/>
      <c r="L52" t="b">
        <f>I52=J52</f>
        <v>0</v>
      </c>
    </row>
    <row r="53" spans="1:12">
      <c r="A53" s="7">
        <v>47</v>
      </c>
      <c r="B53" s="29" t="s">
        <v>698</v>
      </c>
      <c r="C53" s="29" t="s">
        <v>769</v>
      </c>
      <c r="D53" s="37" t="s">
        <v>817</v>
      </c>
      <c r="E53" s="161" t="s">
        <v>852</v>
      </c>
      <c r="F53" s="7"/>
      <c r="G53" s="251">
        <v>587.34</v>
      </c>
      <c r="H53" s="51">
        <v>0</v>
      </c>
      <c r="I53" s="51">
        <v>587.34</v>
      </c>
      <c r="J53" s="149">
        <v>587.34</v>
      </c>
      <c r="L53"/>
    </row>
    <row r="54" spans="1:12">
      <c r="A54" s="7">
        <v>48</v>
      </c>
      <c r="B54" s="29" t="s">
        <v>699</v>
      </c>
      <c r="C54" s="29" t="s">
        <v>770</v>
      </c>
      <c r="D54" s="29" t="s">
        <v>818</v>
      </c>
      <c r="E54" s="161" t="s">
        <v>852</v>
      </c>
      <c r="F54" s="7"/>
      <c r="G54" s="251">
        <v>1465.64</v>
      </c>
      <c r="H54" s="51">
        <v>0</v>
      </c>
      <c r="I54" s="51">
        <v>1465.64</v>
      </c>
      <c r="J54" s="149">
        <v>1465.63</v>
      </c>
      <c r="K54" s="161"/>
      <c r="L54"/>
    </row>
    <row r="55" spans="1:12">
      <c r="A55" s="7">
        <v>49</v>
      </c>
      <c r="B55" s="29" t="s">
        <v>700</v>
      </c>
      <c r="C55" s="29" t="s">
        <v>771</v>
      </c>
      <c r="D55" s="37" t="s">
        <v>819</v>
      </c>
      <c r="E55" s="161" t="s">
        <v>854</v>
      </c>
      <c r="F55" s="7">
        <v>1</v>
      </c>
      <c r="G55" s="251">
        <v>1706.44</v>
      </c>
      <c r="H55" s="51">
        <v>0</v>
      </c>
      <c r="I55" s="51">
        <v>1706.44</v>
      </c>
      <c r="J55" s="149">
        <v>1706.43</v>
      </c>
      <c r="K55" s="161"/>
      <c r="L55"/>
    </row>
    <row r="56" spans="1:12">
      <c r="A56" s="7">
        <v>50</v>
      </c>
      <c r="B56" s="29" t="s">
        <v>736</v>
      </c>
      <c r="C56" s="29" t="s">
        <v>772</v>
      </c>
      <c r="D56" s="37" t="s">
        <v>820</v>
      </c>
      <c r="E56" s="161" t="s">
        <v>852</v>
      </c>
      <c r="F56" s="7"/>
      <c r="G56" s="251">
        <v>520.32000000000005</v>
      </c>
      <c r="H56" s="51">
        <v>0</v>
      </c>
      <c r="I56" s="51">
        <v>520.32000000000005</v>
      </c>
      <c r="J56" s="149">
        <v>520.32000000000005</v>
      </c>
      <c r="K56" s="161"/>
      <c r="L56"/>
    </row>
    <row r="57" spans="1:12">
      <c r="A57" s="7">
        <v>51</v>
      </c>
      <c r="B57" s="29" t="s">
        <v>702</v>
      </c>
      <c r="C57" s="29" t="s">
        <v>487</v>
      </c>
      <c r="D57" s="29" t="s">
        <v>516</v>
      </c>
      <c r="E57" s="161" t="s">
        <v>852</v>
      </c>
      <c r="F57" s="7"/>
      <c r="G57" s="251">
        <v>925.96</v>
      </c>
      <c r="H57" s="51">
        <v>0</v>
      </c>
      <c r="I57" s="51">
        <v>925.96</v>
      </c>
      <c r="J57" s="149">
        <v>925.95</v>
      </c>
      <c r="K57" s="161"/>
      <c r="L57"/>
    </row>
    <row r="58" spans="1:12">
      <c r="A58" s="7">
        <v>52</v>
      </c>
      <c r="B58" s="29" t="s">
        <v>703</v>
      </c>
      <c r="C58" s="29" t="s">
        <v>488</v>
      </c>
      <c r="D58" s="29" t="s">
        <v>517</v>
      </c>
      <c r="E58" s="161" t="s">
        <v>852</v>
      </c>
      <c r="F58" s="7"/>
      <c r="G58" s="251">
        <v>1489.48</v>
      </c>
      <c r="H58" s="51">
        <v>0</v>
      </c>
      <c r="I58" s="51">
        <v>1489.48</v>
      </c>
      <c r="J58" s="149">
        <v>1489.47</v>
      </c>
      <c r="K58" s="161"/>
      <c r="L58"/>
    </row>
    <row r="59" spans="1:12">
      <c r="A59" s="7">
        <v>53</v>
      </c>
      <c r="B59" s="29" t="s">
        <v>704</v>
      </c>
      <c r="C59" s="29" t="s">
        <v>773</v>
      </c>
      <c r="D59" s="29" t="s">
        <v>821</v>
      </c>
      <c r="E59" s="161" t="s">
        <v>852</v>
      </c>
      <c r="F59" s="7"/>
      <c r="G59" s="251">
        <v>1489.48</v>
      </c>
      <c r="H59" s="51">
        <v>0</v>
      </c>
      <c r="I59" s="51">
        <v>1489.48</v>
      </c>
      <c r="J59" s="149">
        <v>1489.47</v>
      </c>
      <c r="K59" s="161"/>
      <c r="L59"/>
    </row>
    <row r="60" spans="1:12">
      <c r="A60" s="7">
        <v>54</v>
      </c>
      <c r="B60" s="29" t="s">
        <v>705</v>
      </c>
      <c r="C60" s="29" t="s">
        <v>491</v>
      </c>
      <c r="D60" s="29" t="s">
        <v>456</v>
      </c>
      <c r="E60" s="161" t="s">
        <v>852</v>
      </c>
      <c r="F60" s="7"/>
      <c r="G60" s="251">
        <v>744.74</v>
      </c>
      <c r="H60" s="51">
        <v>0</v>
      </c>
      <c r="I60" s="51">
        <v>744.74</v>
      </c>
      <c r="J60" s="149">
        <v>744.73</v>
      </c>
      <c r="K60" s="161"/>
      <c r="L60"/>
    </row>
    <row r="61" spans="1:12">
      <c r="A61" s="7">
        <v>56</v>
      </c>
      <c r="B61" s="29" t="s">
        <v>707</v>
      </c>
      <c r="C61" s="29" t="s">
        <v>774</v>
      </c>
      <c r="D61" s="29" t="s">
        <v>823</v>
      </c>
      <c r="E61" s="161" t="s">
        <v>854</v>
      </c>
      <c r="F61" s="7">
        <v>1</v>
      </c>
      <c r="G61" s="251">
        <v>1272.5</v>
      </c>
      <c r="H61" s="51">
        <v>0</v>
      </c>
      <c r="I61" s="51">
        <v>1272.5</v>
      </c>
      <c r="J61" s="149">
        <v>1272.5</v>
      </c>
      <c r="K61" s="161"/>
      <c r="L61"/>
    </row>
    <row r="62" spans="1:12">
      <c r="A62" s="7">
        <v>55</v>
      </c>
      <c r="B62" s="29" t="s">
        <v>706</v>
      </c>
      <c r="C62" s="29" t="s">
        <v>774</v>
      </c>
      <c r="D62" s="37" t="s">
        <v>822</v>
      </c>
      <c r="E62" s="161" t="s">
        <v>852</v>
      </c>
      <c r="F62" s="7"/>
      <c r="G62" s="251">
        <v>618.62</v>
      </c>
      <c r="H62" s="51">
        <v>0</v>
      </c>
      <c r="I62" s="51">
        <v>618.62</v>
      </c>
      <c r="J62" s="149">
        <v>618.62</v>
      </c>
      <c r="K62" s="161"/>
      <c r="L62"/>
    </row>
    <row r="63" spans="1:12">
      <c r="A63" s="7">
        <v>57</v>
      </c>
      <c r="B63" s="29" t="s">
        <v>708</v>
      </c>
      <c r="C63" s="29" t="s">
        <v>775</v>
      </c>
      <c r="D63" s="37" t="s">
        <v>824</v>
      </c>
      <c r="E63" s="161" t="s">
        <v>854</v>
      </c>
      <c r="F63" s="7">
        <v>1</v>
      </c>
      <c r="G63" s="251">
        <v>1558.48</v>
      </c>
      <c r="H63" s="51">
        <v>0</v>
      </c>
      <c r="I63" s="51">
        <v>1558.48</v>
      </c>
      <c r="J63" s="149">
        <v>1558.47</v>
      </c>
      <c r="K63" s="161"/>
      <c r="L63"/>
    </row>
    <row r="64" spans="1:12">
      <c r="A64" s="7">
        <v>58</v>
      </c>
      <c r="B64" s="29" t="s">
        <v>709</v>
      </c>
      <c r="C64" s="29" t="s">
        <v>776</v>
      </c>
      <c r="D64" s="37" t="s">
        <v>825</v>
      </c>
      <c r="E64" s="161" t="s">
        <v>852</v>
      </c>
      <c r="F64" s="7"/>
      <c r="G64" s="251">
        <v>594.79999999999995</v>
      </c>
      <c r="H64" s="51">
        <v>0</v>
      </c>
      <c r="I64" s="51">
        <v>594.79999999999995</v>
      </c>
      <c r="J64" s="149">
        <v>594.79</v>
      </c>
      <c r="K64" s="161"/>
      <c r="L64"/>
    </row>
    <row r="65" spans="1:15">
      <c r="A65" s="7">
        <v>60</v>
      </c>
      <c r="B65" s="29" t="s">
        <v>711</v>
      </c>
      <c r="C65" s="29" t="s">
        <v>777</v>
      </c>
      <c r="D65" s="29" t="s">
        <v>827</v>
      </c>
      <c r="E65" s="161" t="s">
        <v>853</v>
      </c>
      <c r="F65" s="7">
        <v>2</v>
      </c>
      <c r="G65" s="251">
        <v>1681.28</v>
      </c>
      <c r="H65" s="51">
        <v>0</v>
      </c>
      <c r="I65" s="51">
        <v>1681.28</v>
      </c>
      <c r="J65" s="149">
        <v>1681.28</v>
      </c>
      <c r="K65" s="161"/>
      <c r="L65"/>
    </row>
    <row r="66" spans="1:15">
      <c r="A66" s="7">
        <v>59</v>
      </c>
      <c r="B66" s="29" t="s">
        <v>710</v>
      </c>
      <c r="C66" s="29" t="s">
        <v>777</v>
      </c>
      <c r="D66" s="29" t="s">
        <v>826</v>
      </c>
      <c r="E66" s="161" t="s">
        <v>852</v>
      </c>
      <c r="F66" s="7"/>
      <c r="G66" s="251">
        <v>886.72</v>
      </c>
      <c r="H66" s="51">
        <v>0</v>
      </c>
      <c r="I66" s="51">
        <v>886.72</v>
      </c>
      <c r="J66" s="51">
        <v>886.72</v>
      </c>
      <c r="K66" s="161"/>
      <c r="L66" t="b">
        <f>I66=J66</f>
        <v>1</v>
      </c>
    </row>
    <row r="67" spans="1:15">
      <c r="A67" s="7">
        <v>61</v>
      </c>
      <c r="B67" s="29" t="s">
        <v>712</v>
      </c>
      <c r="C67" s="29" t="s">
        <v>778</v>
      </c>
      <c r="D67" s="37" t="s">
        <v>828</v>
      </c>
      <c r="E67" s="161" t="s">
        <v>852</v>
      </c>
      <c r="F67" s="7"/>
      <c r="G67" s="251">
        <v>587.34</v>
      </c>
      <c r="H67" s="51">
        <v>0</v>
      </c>
      <c r="I67" s="51">
        <v>587.34</v>
      </c>
      <c r="J67" s="149">
        <v>587.34</v>
      </c>
      <c r="K67" s="161"/>
      <c r="L67"/>
    </row>
    <row r="68" spans="1:15">
      <c r="A68" s="7">
        <v>62</v>
      </c>
      <c r="B68" s="29" t="s">
        <v>713</v>
      </c>
      <c r="C68" s="29" t="s">
        <v>778</v>
      </c>
      <c r="D68" s="37" t="s">
        <v>829</v>
      </c>
      <c r="E68" s="161" t="s">
        <v>856</v>
      </c>
      <c r="F68" s="7">
        <v>2</v>
      </c>
      <c r="G68" s="251">
        <v>1402.26</v>
      </c>
      <c r="H68" s="51">
        <v>657.84</v>
      </c>
      <c r="I68" s="51">
        <v>2060.1</v>
      </c>
      <c r="J68" s="189">
        <v>2060.09</v>
      </c>
      <c r="K68" s="161"/>
      <c r="L68"/>
    </row>
    <row r="69" spans="1:15">
      <c r="A69" s="7">
        <v>63</v>
      </c>
      <c r="B69" s="29" t="s">
        <v>868</v>
      </c>
      <c r="C69" s="29" t="s">
        <v>870</v>
      </c>
      <c r="D69" s="37" t="s">
        <v>869</v>
      </c>
      <c r="E69" s="29" t="s">
        <v>854</v>
      </c>
      <c r="F69" s="7">
        <v>1</v>
      </c>
      <c r="G69" s="251">
        <v>0</v>
      </c>
      <c r="H69" s="51">
        <v>0</v>
      </c>
      <c r="I69" s="265">
        <v>1383.21</v>
      </c>
      <c r="J69" s="189">
        <v>0</v>
      </c>
      <c r="K69" s="161" t="s">
        <v>872</v>
      </c>
      <c r="L69"/>
    </row>
    <row r="70" spans="1:15">
      <c r="A70" s="113"/>
      <c r="E70" s="261"/>
      <c r="F70" s="282"/>
      <c r="G70" s="262"/>
      <c r="H70" s="262"/>
      <c r="I70" s="262"/>
      <c r="J70" s="263"/>
      <c r="K70" s="117"/>
      <c r="N70" s="15"/>
      <c r="O70" s="15"/>
    </row>
    <row r="71" spans="1:15">
      <c r="A71" s="428" t="s">
        <v>652</v>
      </c>
      <c r="B71" s="429"/>
      <c r="C71" s="429"/>
      <c r="D71" s="429"/>
      <c r="E71" s="429"/>
      <c r="F71" s="429"/>
      <c r="G71" s="430"/>
      <c r="H71" s="246"/>
      <c r="I71" s="264">
        <f>SUM(I5:I69)</f>
        <v>72206.590000000026</v>
      </c>
      <c r="J71" s="111">
        <f>SUM(J5:J69)</f>
        <v>72851.819999999992</v>
      </c>
      <c r="K71" s="255"/>
      <c r="L71"/>
    </row>
    <row r="72" spans="1:15">
      <c r="A72" s="431"/>
      <c r="B72" s="453"/>
      <c r="C72" s="432"/>
      <c r="D72" s="141"/>
      <c r="E72" s="271" t="s">
        <v>258</v>
      </c>
      <c r="F72" s="7">
        <v>63</v>
      </c>
      <c r="G72" s="161"/>
      <c r="H72" s="161"/>
      <c r="I72" s="161"/>
      <c r="J72" s="52"/>
      <c r="K72" s="241"/>
      <c r="L72"/>
    </row>
    <row r="73" spans="1:15">
      <c r="A73" s="271"/>
      <c r="B73" s="272"/>
      <c r="C73" s="141"/>
      <c r="D73" s="141"/>
      <c r="E73" s="141" t="s">
        <v>930</v>
      </c>
      <c r="F73" s="7">
        <v>4</v>
      </c>
      <c r="G73" s="161"/>
      <c r="H73" s="161"/>
      <c r="I73" s="161"/>
      <c r="J73" s="52"/>
      <c r="K73" s="241"/>
      <c r="L73"/>
    </row>
    <row r="74" spans="1:15">
      <c r="A74" s="431"/>
      <c r="B74" s="453"/>
      <c r="C74" s="432"/>
      <c r="D74" s="141"/>
      <c r="E74" s="271" t="s">
        <v>931</v>
      </c>
      <c r="F74" s="58">
        <f>SUM(F5:F69)</f>
        <v>31</v>
      </c>
      <c r="G74" s="161"/>
      <c r="H74" s="196"/>
      <c r="I74" s="196"/>
      <c r="J74" s="52"/>
      <c r="K74" s="241"/>
      <c r="L74"/>
    </row>
    <row r="75" spans="1:15">
      <c r="A75" s="433"/>
      <c r="B75" s="454"/>
      <c r="C75" s="434"/>
      <c r="D75" s="92"/>
      <c r="E75" s="91" t="s">
        <v>246</v>
      </c>
      <c r="F75" s="86">
        <f>F72+F74+F73</f>
        <v>98</v>
      </c>
      <c r="G75" s="161"/>
      <c r="H75" s="187"/>
      <c r="I75" s="187"/>
      <c r="J75" s="52"/>
      <c r="K75" s="241"/>
      <c r="L75"/>
    </row>
    <row r="76" spans="1:15">
      <c r="A76" s="455" t="s">
        <v>830</v>
      </c>
      <c r="B76" s="456"/>
      <c r="C76" s="456"/>
      <c r="D76" s="456"/>
      <c r="E76" s="456"/>
      <c r="F76" s="456"/>
      <c r="G76" s="457"/>
      <c r="H76" s="247"/>
      <c r="I76" s="247"/>
      <c r="J76" s="184"/>
      <c r="K76" s="256"/>
      <c r="L76"/>
      <c r="M76" s="15"/>
    </row>
    <row r="77" spans="1:15" s="1" customFormat="1">
      <c r="A77" s="187"/>
      <c r="B77" s="29" t="s">
        <v>741</v>
      </c>
      <c r="C77" s="29" t="s">
        <v>742</v>
      </c>
      <c r="D77" s="29" t="s">
        <v>779</v>
      </c>
      <c r="E77" s="161" t="s">
        <v>851</v>
      </c>
      <c r="F77" s="7"/>
      <c r="G77" s="161"/>
      <c r="H77" s="266">
        <v>1158.3</v>
      </c>
      <c r="I77" s="161"/>
      <c r="J77" s="149">
        <v>1158.3</v>
      </c>
      <c r="K77" s="257" t="s">
        <v>875</v>
      </c>
      <c r="M77" s="116"/>
    </row>
    <row r="78" spans="1:15" s="1" customFormat="1">
      <c r="A78" s="187"/>
      <c r="B78" s="29" t="s">
        <v>741</v>
      </c>
      <c r="C78" s="29" t="s">
        <v>742</v>
      </c>
      <c r="D78" s="29" t="s">
        <v>779</v>
      </c>
      <c r="E78" s="161" t="s">
        <v>851</v>
      </c>
      <c r="F78" s="7"/>
      <c r="G78" s="161"/>
      <c r="H78" s="266">
        <v>1158.3</v>
      </c>
      <c r="I78" s="161"/>
      <c r="J78" s="149">
        <v>1158.3</v>
      </c>
      <c r="K78" s="257" t="s">
        <v>876</v>
      </c>
      <c r="M78" s="116"/>
    </row>
    <row r="79" spans="1:15" s="1" customFormat="1">
      <c r="A79" s="187"/>
      <c r="B79" s="29" t="s">
        <v>660</v>
      </c>
      <c r="C79" s="29" t="s">
        <v>462</v>
      </c>
      <c r="D79" s="29" t="s">
        <v>425</v>
      </c>
      <c r="E79" s="161" t="s">
        <v>853</v>
      </c>
      <c r="F79" s="7"/>
      <c r="G79" s="161"/>
      <c r="H79" s="161"/>
      <c r="I79" s="161"/>
      <c r="J79" s="149">
        <v>496.49</v>
      </c>
      <c r="K79" s="257" t="s">
        <v>873</v>
      </c>
      <c r="M79" s="116"/>
    </row>
    <row r="80" spans="1:15" s="1" customFormat="1">
      <c r="A80" s="187"/>
      <c r="B80" s="29" t="s">
        <v>660</v>
      </c>
      <c r="C80" s="29" t="s">
        <v>462</v>
      </c>
      <c r="D80" s="29" t="s">
        <v>425</v>
      </c>
      <c r="E80" s="161" t="s">
        <v>853</v>
      </c>
      <c r="F80" s="7"/>
      <c r="G80" s="161"/>
      <c r="H80" s="161"/>
      <c r="I80" s="161"/>
      <c r="J80" s="149">
        <v>496.49</v>
      </c>
      <c r="K80" s="257" t="s">
        <v>874</v>
      </c>
      <c r="M80" s="116"/>
    </row>
    <row r="81" spans="1:13" s="1" customFormat="1">
      <c r="A81" s="187"/>
      <c r="B81" s="29" t="s">
        <v>833</v>
      </c>
      <c r="C81" s="29" t="s">
        <v>834</v>
      </c>
      <c r="D81" s="29" t="s">
        <v>835</v>
      </c>
      <c r="E81" s="161" t="s">
        <v>852</v>
      </c>
      <c r="F81" s="7"/>
      <c r="G81" s="161"/>
      <c r="H81" s="161"/>
      <c r="I81" s="161"/>
      <c r="J81" s="149">
        <v>614.65</v>
      </c>
      <c r="K81" s="257" t="s">
        <v>877</v>
      </c>
      <c r="M81" s="116"/>
    </row>
    <row r="82" spans="1:13" s="1" customFormat="1">
      <c r="A82" s="187"/>
      <c r="B82" s="29" t="s">
        <v>833</v>
      </c>
      <c r="C82" s="29" t="s">
        <v>834</v>
      </c>
      <c r="D82" s="29" t="s">
        <v>835</v>
      </c>
      <c r="E82" s="161" t="s">
        <v>852</v>
      </c>
      <c r="F82" s="7"/>
      <c r="G82" s="161"/>
      <c r="H82" s="161"/>
      <c r="I82" s="161"/>
      <c r="J82" s="149">
        <v>614.65</v>
      </c>
      <c r="K82" s="257" t="s">
        <v>878</v>
      </c>
      <c r="M82" s="116"/>
    </row>
    <row r="83" spans="1:13" s="1" customFormat="1">
      <c r="A83" s="187"/>
      <c r="B83" s="29" t="s">
        <v>837</v>
      </c>
      <c r="C83" s="29" t="s">
        <v>745</v>
      </c>
      <c r="D83" s="61" t="s">
        <v>838</v>
      </c>
      <c r="E83" s="161" t="s">
        <v>852</v>
      </c>
      <c r="F83" s="7"/>
      <c r="G83" s="161"/>
      <c r="H83" s="161"/>
      <c r="I83" s="161"/>
      <c r="J83" s="149">
        <v>776.01</v>
      </c>
      <c r="K83" s="257" t="s">
        <v>877</v>
      </c>
      <c r="M83" s="116"/>
    </row>
    <row r="84" spans="1:13" s="1" customFormat="1">
      <c r="A84" s="187"/>
      <c r="B84" s="29" t="s">
        <v>837</v>
      </c>
      <c r="C84" s="29" t="s">
        <v>745</v>
      </c>
      <c r="D84" s="61" t="s">
        <v>838</v>
      </c>
      <c r="E84" s="161" t="s">
        <v>852</v>
      </c>
      <c r="F84" s="7"/>
      <c r="G84" s="161"/>
      <c r="H84" s="161"/>
      <c r="I84" s="161"/>
      <c r="J84" s="149">
        <v>776.01</v>
      </c>
      <c r="K84" s="257" t="s">
        <v>878</v>
      </c>
      <c r="M84" s="116"/>
    </row>
    <row r="85" spans="1:13" s="1" customFormat="1">
      <c r="A85" s="187"/>
      <c r="B85" s="29" t="s">
        <v>839</v>
      </c>
      <c r="C85" s="29" t="s">
        <v>840</v>
      </c>
      <c r="D85" s="29" t="s">
        <v>841</v>
      </c>
      <c r="E85" s="161" t="s">
        <v>855</v>
      </c>
      <c r="F85" s="7"/>
      <c r="G85" s="161"/>
      <c r="H85" s="251">
        <v>626.58000000000004</v>
      </c>
      <c r="I85" s="161"/>
      <c r="J85" s="149">
        <v>1638.99</v>
      </c>
      <c r="K85" s="257" t="s">
        <v>877</v>
      </c>
      <c r="M85" s="116"/>
    </row>
    <row r="86" spans="1:13" s="1" customFormat="1">
      <c r="A86" s="187"/>
      <c r="B86" s="29" t="s">
        <v>839</v>
      </c>
      <c r="C86" s="29" t="s">
        <v>840</v>
      </c>
      <c r="D86" s="29" t="s">
        <v>841</v>
      </c>
      <c r="E86" s="161" t="s">
        <v>855</v>
      </c>
      <c r="F86" s="7"/>
      <c r="G86" s="161"/>
      <c r="H86" s="266">
        <v>626.58000000000004</v>
      </c>
      <c r="I86" s="161"/>
      <c r="J86" s="149">
        <v>1638.99</v>
      </c>
      <c r="K86" s="257" t="s">
        <v>878</v>
      </c>
      <c r="M86" s="116"/>
    </row>
    <row r="87" spans="1:13" s="1" customFormat="1">
      <c r="A87" s="187"/>
      <c r="B87" s="29" t="s">
        <v>842</v>
      </c>
      <c r="C87" s="29" t="s">
        <v>769</v>
      </c>
      <c r="D87" s="29" t="s">
        <v>843</v>
      </c>
      <c r="E87" s="161" t="s">
        <v>852</v>
      </c>
      <c r="F87" s="7"/>
      <c r="G87" s="161"/>
      <c r="H87" s="161"/>
      <c r="I87" s="161"/>
      <c r="J87" s="149">
        <v>498.47</v>
      </c>
      <c r="K87" s="257" t="s">
        <v>877</v>
      </c>
      <c r="M87" s="116"/>
    </row>
    <row r="88" spans="1:13" s="1" customFormat="1">
      <c r="A88" s="187"/>
      <c r="B88" s="29" t="s">
        <v>842</v>
      </c>
      <c r="C88" s="29" t="s">
        <v>769</v>
      </c>
      <c r="D88" s="29" t="s">
        <v>843</v>
      </c>
      <c r="E88" s="161" t="s">
        <v>852</v>
      </c>
      <c r="F88" s="7"/>
      <c r="G88" s="161"/>
      <c r="H88" s="161"/>
      <c r="I88" s="161"/>
      <c r="J88" s="149">
        <v>498.47</v>
      </c>
      <c r="K88" s="257" t="s">
        <v>878</v>
      </c>
      <c r="M88" s="116"/>
    </row>
    <row r="89" spans="1:13" s="1" customFormat="1">
      <c r="A89" s="187"/>
      <c r="B89" s="29" t="s">
        <v>710</v>
      </c>
      <c r="C89" s="29" t="s">
        <v>777</v>
      </c>
      <c r="D89" s="29" t="s">
        <v>826</v>
      </c>
      <c r="E89" s="161" t="s">
        <v>852</v>
      </c>
      <c r="F89" s="7"/>
      <c r="G89" s="161"/>
      <c r="H89" s="161"/>
      <c r="I89" s="161"/>
      <c r="J89" s="149">
        <v>-498.47</v>
      </c>
      <c r="K89" s="257" t="s">
        <v>882</v>
      </c>
      <c r="M89" s="116"/>
    </row>
    <row r="90" spans="1:13" s="1" customFormat="1">
      <c r="A90" s="187"/>
      <c r="B90" s="29" t="s">
        <v>710</v>
      </c>
      <c r="C90" s="29" t="s">
        <v>777</v>
      </c>
      <c r="D90" s="29" t="s">
        <v>826</v>
      </c>
      <c r="E90" s="161" t="s">
        <v>852</v>
      </c>
      <c r="F90" s="7"/>
      <c r="G90" s="161"/>
      <c r="H90" s="161"/>
      <c r="I90" s="161"/>
      <c r="J90" s="149">
        <v>-498.47</v>
      </c>
      <c r="K90" s="257" t="s">
        <v>883</v>
      </c>
      <c r="M90" s="116"/>
    </row>
    <row r="91" spans="1:13">
      <c r="A91" s="187"/>
      <c r="B91" s="187"/>
      <c r="C91" s="29"/>
      <c r="D91" s="29"/>
      <c r="E91" s="29"/>
      <c r="F91" s="7"/>
      <c r="G91" s="187"/>
      <c r="H91" s="187"/>
      <c r="I91" s="187"/>
      <c r="J91" s="52"/>
      <c r="K91" s="241"/>
      <c r="L91"/>
      <c r="M91" s="15"/>
    </row>
    <row r="92" spans="1:13" ht="12" customHeight="1">
      <c r="A92" s="428" t="s">
        <v>846</v>
      </c>
      <c r="B92" s="429"/>
      <c r="C92" s="429"/>
      <c r="D92" s="429"/>
      <c r="E92" s="429"/>
      <c r="F92" s="429"/>
      <c r="G92" s="430"/>
      <c r="H92" s="246"/>
      <c r="I92" s="246"/>
      <c r="J92" s="111">
        <f>SUM(J77:J91)</f>
        <v>9368.880000000001</v>
      </c>
      <c r="K92" s="258"/>
      <c r="L92"/>
    </row>
    <row r="93" spans="1:13" ht="12" customHeight="1">
      <c r="A93" s="172"/>
      <c r="B93" s="173"/>
      <c r="C93" s="173"/>
      <c r="D93" s="173"/>
      <c r="E93" s="173"/>
      <c r="F93" s="281"/>
      <c r="G93" s="167"/>
      <c r="H93" s="167"/>
      <c r="I93" s="167"/>
      <c r="J93" s="83"/>
      <c r="K93" s="259"/>
      <c r="L93"/>
    </row>
    <row r="94" spans="1:13" ht="16">
      <c r="A94" s="450" t="s">
        <v>881</v>
      </c>
      <c r="B94" s="451"/>
      <c r="C94" s="451"/>
      <c r="D94" s="451"/>
      <c r="E94" s="451"/>
      <c r="F94" s="451"/>
      <c r="G94" s="452"/>
      <c r="H94" s="267"/>
      <c r="I94" s="267"/>
      <c r="J94" s="268">
        <f>J71+J92</f>
        <v>82220.7</v>
      </c>
      <c r="K94" s="260"/>
      <c r="L94"/>
    </row>
    <row r="95" spans="1:13" ht="18">
      <c r="G95" s="218" t="s">
        <v>250</v>
      </c>
      <c r="H95" s="238">
        <v>44974</v>
      </c>
      <c r="I95"/>
      <c r="J95"/>
      <c r="K95"/>
      <c r="L95"/>
    </row>
    <row r="96" spans="1:13" ht="18">
      <c r="G96" s="218" t="s">
        <v>251</v>
      </c>
      <c r="H96" s="239" t="s">
        <v>653</v>
      </c>
      <c r="I96"/>
      <c r="J96"/>
      <c r="K96"/>
      <c r="L96"/>
    </row>
    <row r="99" spans="1:15">
      <c r="H99" s="269">
        <f>H5+H15+H37+H68+H77+H78+H85+H86</f>
        <v>6627.14</v>
      </c>
      <c r="J99" s="270">
        <f>J94-H99</f>
        <v>75593.56</v>
      </c>
    </row>
    <row r="101" spans="1:15" s="3" customFormat="1">
      <c r="A101"/>
      <c r="B101"/>
      <c r="C101"/>
      <c r="D101"/>
      <c r="E101"/>
      <c r="G101" s="216"/>
      <c r="H101" s="216"/>
      <c r="I101" s="216"/>
      <c r="K101" s="152"/>
      <c r="L101" s="216"/>
      <c r="M101"/>
      <c r="N101"/>
      <c r="O101"/>
    </row>
  </sheetData>
  <autoFilter ref="A4:L69" xr:uid="{EC283F26-1258-B84E-AE05-5C35489C3CC6}">
    <sortState xmlns:xlrd2="http://schemas.microsoft.com/office/spreadsheetml/2017/richdata2" ref="A5:L69">
      <sortCondition ref="C4:C69"/>
    </sortState>
  </autoFilter>
  <mergeCells count="7">
    <mergeCell ref="A94:G94"/>
    <mergeCell ref="A71:G71"/>
    <mergeCell ref="A72:C72"/>
    <mergeCell ref="A74:C74"/>
    <mergeCell ref="A75:C75"/>
    <mergeCell ref="A76:G76"/>
    <mergeCell ref="A92:G92"/>
  </mergeCells>
  <conditionalFormatting sqref="B4 B6:B7">
    <cfRule type="duplicateValues" dxfId="1218" priority="48"/>
  </conditionalFormatting>
  <conditionalFormatting sqref="B10:B68 B6:B8">
    <cfRule type="duplicateValues" dxfId="1217" priority="38"/>
  </conditionalFormatting>
  <conditionalFormatting sqref="B10:B68 B8">
    <cfRule type="duplicateValues" dxfId="1216" priority="37"/>
  </conditionalFormatting>
  <conditionalFormatting sqref="B83">
    <cfRule type="duplicateValues" dxfId="1215" priority="25"/>
    <cfRule type="duplicateValues" dxfId="1214" priority="26"/>
  </conditionalFormatting>
  <conditionalFormatting sqref="B84">
    <cfRule type="duplicateValues" dxfId="1213" priority="22"/>
    <cfRule type="duplicateValues" dxfId="1212" priority="23"/>
  </conditionalFormatting>
  <conditionalFormatting sqref="B85">
    <cfRule type="duplicateValues" dxfId="1211" priority="19"/>
    <cfRule type="duplicateValues" dxfId="1210" priority="20"/>
  </conditionalFormatting>
  <conditionalFormatting sqref="B86">
    <cfRule type="duplicateValues" dxfId="1209" priority="16"/>
    <cfRule type="duplicateValues" dxfId="1208" priority="17"/>
  </conditionalFormatting>
  <conditionalFormatting sqref="C98">
    <cfRule type="duplicateValues" dxfId="1207" priority="45"/>
    <cfRule type="duplicateValues" dxfId="1206" priority="46"/>
  </conditionalFormatting>
  <conditionalFormatting sqref="C99">
    <cfRule type="duplicateValues" dxfId="1205" priority="43"/>
    <cfRule type="duplicateValues" dxfId="1204" priority="44"/>
  </conditionalFormatting>
  <conditionalFormatting sqref="C101">
    <cfRule type="duplicateValues" dxfId="1203" priority="41"/>
    <cfRule type="duplicateValues" dxfId="1202" priority="42"/>
  </conditionalFormatting>
  <conditionalFormatting sqref="C103">
    <cfRule type="duplicateValues" dxfId="1201" priority="39"/>
    <cfRule type="duplicateValues" dxfId="1200" priority="40"/>
  </conditionalFormatting>
  <conditionalFormatting sqref="C91:F91">
    <cfRule type="duplicateValues" dxfId="1199" priority="53"/>
  </conditionalFormatting>
  <conditionalFormatting sqref="C92:F96 C71:F71 C76:F76 C72:D75 E70:F70 C69:D69 C1:F3 C4:D4">
    <cfRule type="duplicateValues" dxfId="1198" priority="50"/>
  </conditionalFormatting>
  <conditionalFormatting sqref="C92:F97 C1:F3 C4:D4 C71:F71 C76:F76 C72:D75 E70:F70 C69:D69 D99:F99 D101:F101 C100:F100 C104:F1048576 D103:F103 C102:F102">
    <cfRule type="duplicateValues" dxfId="1197" priority="49"/>
  </conditionalFormatting>
  <conditionalFormatting sqref="C97:F97 D99:F99 D101:F101 C100:F100 C104:F1048576 D103:F103 C102:F102">
    <cfRule type="duplicateValues" dxfId="1196" priority="52"/>
  </conditionalFormatting>
  <conditionalFormatting sqref="E73">
    <cfRule type="duplicateValues" dxfId="1195" priority="1"/>
    <cfRule type="duplicateValues" dxfId="1194" priority="2"/>
  </conditionalFormatting>
  <conditionalFormatting sqref="E70:F70 C69:D69">
    <cfRule type="duplicateValues" dxfId="1193" priority="51"/>
  </conditionalFormatting>
  <conditionalFormatting sqref="E77:F90">
    <cfRule type="containsText" dxfId="1192" priority="5" operator="containsText" text="Spouse">
      <formula>NOT(ISERROR(SEARCH("Spouse",E77)))</formula>
    </cfRule>
  </conditionalFormatting>
  <conditionalFormatting sqref="G1:H3 E4:G68 E69:F69 I69 G70:I71 F72:F75 H72:I75 G76:I76 G77:G78 I77:I78 G79:I85 G86 I86 G87:I1048576">
    <cfRule type="containsText" dxfId="1191" priority="33" operator="containsText" text="Spouse">
      <formula>NOT(ISERROR(SEARCH("Spouse",E1)))</formula>
    </cfRule>
  </conditionalFormatting>
  <conditionalFormatting sqref="K5">
    <cfRule type="notContainsBlanks" dxfId="1190" priority="36">
      <formula>LEN(TRIM(K5))&gt;0</formula>
    </cfRule>
  </conditionalFormatting>
  <conditionalFormatting sqref="K8:K13 K15:K33 K35:K52 K54:K65 L70 K71:K76 K92:K94">
    <cfRule type="notContainsBlanks" dxfId="1189" priority="47">
      <formula>LEN(TRIM(K8))&gt;0</formula>
    </cfRule>
  </conditionalFormatting>
  <conditionalFormatting sqref="K69">
    <cfRule type="notContainsBlanks" dxfId="1188" priority="8">
      <formula>LEN(TRIM(K69))&gt;0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3B2C-0F15-CE40-B4D2-9A8CAAA2D6C7}">
  <sheetPr>
    <tabColor theme="7" tint="0.59999389629810485"/>
    <pageSetUpPr fitToPage="1"/>
  </sheetPr>
  <dimension ref="A1:O87"/>
  <sheetViews>
    <sheetView zoomScale="120" zoomScaleNormal="120" zoomScalePageLayoutView="140" workbookViewId="0">
      <pane xSplit="4" ySplit="4" topLeftCell="E51" activePane="bottomRight" state="frozen"/>
      <selection activeCell="D65" sqref="D65"/>
      <selection pane="topRight" activeCell="D65" sqref="D65"/>
      <selection pane="bottomLeft" activeCell="D65" sqref="D65"/>
      <selection pane="bottomRight" activeCell="J3" sqref="J3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9.1640625" customWidth="1"/>
    <col min="4" max="4" width="23.83203125" bestFit="1" customWidth="1"/>
    <col min="5" max="5" width="23.83203125" customWidth="1"/>
    <col min="6" max="6" width="8.83203125" style="3" customWidth="1"/>
    <col min="7" max="7" width="13.6640625" style="216" customWidth="1"/>
    <col min="8" max="8" width="12.83203125" style="216" customWidth="1"/>
    <col min="9" max="9" width="14.33203125" style="216" bestFit="1" customWidth="1"/>
    <col min="10" max="10" width="16.1640625" style="3" customWidth="1"/>
    <col min="11" max="11" width="41.83203125" style="152" bestFit="1" customWidth="1"/>
    <col min="12" max="12" width="13.6640625" style="216" bestFit="1" customWidth="1"/>
    <col min="13" max="13" width="8.5" customWidth="1"/>
    <col min="14" max="14" width="18.1640625" bestFit="1" customWidth="1"/>
  </cols>
  <sheetData>
    <row r="1" spans="1:14">
      <c r="A1" s="1" t="s">
        <v>0</v>
      </c>
      <c r="B1" s="1"/>
      <c r="G1" s="215"/>
      <c r="H1" s="215"/>
      <c r="J1" s="146" t="s">
        <v>866</v>
      </c>
      <c r="K1" s="229" t="s">
        <v>223</v>
      </c>
    </row>
    <row r="2" spans="1:14" ht="13.5" customHeight="1">
      <c r="A2" s="1" t="s">
        <v>249</v>
      </c>
      <c r="B2" s="1"/>
      <c r="J2" s="248">
        <v>44958</v>
      </c>
      <c r="K2" s="230"/>
    </row>
    <row r="3" spans="1:14" ht="14" customHeight="1">
      <c r="J3" s="201"/>
      <c r="K3" s="231" t="s">
        <v>832</v>
      </c>
    </row>
    <row r="4" spans="1:14" ht="28">
      <c r="A4" s="50" t="s">
        <v>226</v>
      </c>
      <c r="B4" s="219" t="s">
        <v>500</v>
      </c>
      <c r="C4" s="50" t="s">
        <v>498</v>
      </c>
      <c r="D4" s="50" t="s">
        <v>499</v>
      </c>
      <c r="E4" s="253" t="s">
        <v>864</v>
      </c>
      <c r="F4" s="279" t="s">
        <v>929</v>
      </c>
      <c r="G4" s="250" t="s">
        <v>858</v>
      </c>
      <c r="H4" s="249" t="s">
        <v>857</v>
      </c>
      <c r="I4" s="252" t="s">
        <v>860</v>
      </c>
      <c r="J4" s="168" t="s">
        <v>865</v>
      </c>
      <c r="K4" s="217" t="s">
        <v>227</v>
      </c>
      <c r="L4" s="254" t="s">
        <v>861</v>
      </c>
    </row>
    <row r="5" spans="1:14">
      <c r="A5" s="7">
        <v>1</v>
      </c>
      <c r="B5" s="29" t="s">
        <v>741</v>
      </c>
      <c r="C5" s="29" t="s">
        <v>742</v>
      </c>
      <c r="D5" s="29" t="s">
        <v>779</v>
      </c>
      <c r="E5" s="161" t="s">
        <v>851</v>
      </c>
      <c r="F5" s="7"/>
      <c r="G5" s="251">
        <v>1158.3</v>
      </c>
      <c r="H5" s="51">
        <v>1158.3</v>
      </c>
      <c r="I5" s="51">
        <v>2316.6</v>
      </c>
      <c r="J5" s="149">
        <v>1158.3</v>
      </c>
      <c r="K5" s="161" t="s">
        <v>867</v>
      </c>
      <c r="L5" t="b">
        <f>I5=J5</f>
        <v>0</v>
      </c>
    </row>
    <row r="6" spans="1:14">
      <c r="A6" s="7">
        <v>2</v>
      </c>
      <c r="B6" s="29" t="s">
        <v>658</v>
      </c>
      <c r="C6" s="29" t="s">
        <v>743</v>
      </c>
      <c r="D6" s="161" t="s">
        <v>780</v>
      </c>
      <c r="E6" s="161" t="s">
        <v>852</v>
      </c>
      <c r="F6" s="7"/>
      <c r="G6" s="251">
        <v>498.48</v>
      </c>
      <c r="H6" s="51">
        <v>0</v>
      </c>
      <c r="I6" s="51">
        <v>498.48</v>
      </c>
      <c r="J6" s="149">
        <v>498.47</v>
      </c>
      <c r="K6" s="161"/>
      <c r="L6"/>
      <c r="M6" s="206"/>
    </row>
    <row r="7" spans="1:14">
      <c r="A7" s="7">
        <v>3</v>
      </c>
      <c r="B7" s="29" t="s">
        <v>659</v>
      </c>
      <c r="C7" s="29" t="s">
        <v>744</v>
      </c>
      <c r="D7" s="161" t="s">
        <v>781</v>
      </c>
      <c r="E7" s="161" t="s">
        <v>853</v>
      </c>
      <c r="F7" s="7">
        <v>2</v>
      </c>
      <c r="G7" s="251">
        <v>1637.1</v>
      </c>
      <c r="H7" s="51">
        <v>0</v>
      </c>
      <c r="I7" s="51">
        <v>1637.1</v>
      </c>
      <c r="J7" s="160">
        <v>1637.09</v>
      </c>
      <c r="K7" s="161"/>
      <c r="L7"/>
      <c r="M7" s="206"/>
    </row>
    <row r="8" spans="1:14">
      <c r="A8" s="7">
        <v>4</v>
      </c>
      <c r="B8" s="29" t="s">
        <v>660</v>
      </c>
      <c r="C8" s="29" t="s">
        <v>462</v>
      </c>
      <c r="D8" s="29" t="s">
        <v>425</v>
      </c>
      <c r="E8" s="161" t="s">
        <v>853</v>
      </c>
      <c r="F8" s="7">
        <v>2</v>
      </c>
      <c r="G8" s="251">
        <v>1607.22</v>
      </c>
      <c r="H8" s="51">
        <v>0</v>
      </c>
      <c r="I8" s="51">
        <v>1607.22</v>
      </c>
      <c r="J8" s="149">
        <v>1110.73</v>
      </c>
      <c r="K8" s="161" t="s">
        <v>863</v>
      </c>
      <c r="L8" t="b">
        <f>I8=J8</f>
        <v>0</v>
      </c>
      <c r="M8" s="206"/>
    </row>
    <row r="9" spans="1:14">
      <c r="A9" s="7">
        <v>5</v>
      </c>
      <c r="B9" s="29" t="s">
        <v>833</v>
      </c>
      <c r="C9" s="29" t="s">
        <v>834</v>
      </c>
      <c r="D9" s="29" t="s">
        <v>835</v>
      </c>
      <c r="E9" s="161" t="s">
        <v>852</v>
      </c>
      <c r="F9" s="7"/>
      <c r="G9" s="251">
        <v>614.66</v>
      </c>
      <c r="H9" s="51">
        <v>0</v>
      </c>
      <c r="I9" s="51">
        <v>614.66</v>
      </c>
      <c r="J9" s="149">
        <v>0</v>
      </c>
      <c r="K9" s="161" t="s">
        <v>859</v>
      </c>
      <c r="L9" t="b">
        <f>I9=J9</f>
        <v>0</v>
      </c>
      <c r="M9" s="206"/>
    </row>
    <row r="10" spans="1:14">
      <c r="A10" s="7">
        <v>6</v>
      </c>
      <c r="B10" s="29" t="s">
        <v>661</v>
      </c>
      <c r="C10" s="29" t="s">
        <v>460</v>
      </c>
      <c r="D10" s="29" t="s">
        <v>426</v>
      </c>
      <c r="E10" s="161" t="s">
        <v>852</v>
      </c>
      <c r="F10" s="7"/>
      <c r="G10" s="251">
        <v>1292.3599999999999</v>
      </c>
      <c r="H10" s="51">
        <v>0</v>
      </c>
      <c r="I10" s="51">
        <v>1292.3599999999999</v>
      </c>
      <c r="J10" s="149">
        <v>1292.3499999999999</v>
      </c>
      <c r="K10" s="161"/>
      <c r="L10"/>
    </row>
    <row r="11" spans="1:14">
      <c r="A11" s="7">
        <v>7</v>
      </c>
      <c r="B11" s="29" t="s">
        <v>717</v>
      </c>
      <c r="C11" s="29" t="s">
        <v>460</v>
      </c>
      <c r="D11" s="29" t="s">
        <v>782</v>
      </c>
      <c r="E11" s="161" t="s">
        <v>854</v>
      </c>
      <c r="F11" s="7">
        <v>1</v>
      </c>
      <c r="G11" s="251">
        <v>1773.94</v>
      </c>
      <c r="H11" s="51">
        <v>0</v>
      </c>
      <c r="I11" s="51">
        <v>1773.94</v>
      </c>
      <c r="J11" s="149">
        <v>1773.94</v>
      </c>
      <c r="K11" s="161"/>
      <c r="L11"/>
      <c r="M11" s="206"/>
    </row>
    <row r="12" spans="1:14">
      <c r="A12" s="7">
        <v>8</v>
      </c>
      <c r="B12" s="29" t="s">
        <v>663</v>
      </c>
      <c r="C12" s="29" t="s">
        <v>745</v>
      </c>
      <c r="D12" s="37" t="s">
        <v>784</v>
      </c>
      <c r="E12" s="161" t="s">
        <v>852</v>
      </c>
      <c r="F12" s="7"/>
      <c r="G12" s="251">
        <v>587.34</v>
      </c>
      <c r="H12" s="51">
        <v>0</v>
      </c>
      <c r="I12" s="51">
        <v>587.34</v>
      </c>
      <c r="J12" s="149">
        <v>587.34</v>
      </c>
      <c r="K12" s="161"/>
      <c r="L12"/>
      <c r="M12" s="206"/>
    </row>
    <row r="13" spans="1:14" s="1" customFormat="1">
      <c r="A13" s="7">
        <v>9</v>
      </c>
      <c r="B13" s="29" t="s">
        <v>837</v>
      </c>
      <c r="C13" s="29" t="s">
        <v>745</v>
      </c>
      <c r="D13" s="61" t="s">
        <v>838</v>
      </c>
      <c r="E13" s="161" t="s">
        <v>852</v>
      </c>
      <c r="F13" s="7"/>
      <c r="G13" s="251">
        <v>776.02</v>
      </c>
      <c r="H13" s="51">
        <v>0</v>
      </c>
      <c r="I13" s="51">
        <v>776.02</v>
      </c>
      <c r="J13" s="149">
        <v>0</v>
      </c>
      <c r="K13" s="161" t="s">
        <v>859</v>
      </c>
      <c r="L13" t="b">
        <f>I13=J13</f>
        <v>0</v>
      </c>
      <c r="M13" s="206"/>
      <c r="N13"/>
    </row>
    <row r="14" spans="1:14" s="1" customFormat="1">
      <c r="A14" s="7">
        <v>10</v>
      </c>
      <c r="B14" s="29" t="s">
        <v>662</v>
      </c>
      <c r="C14" s="29" t="s">
        <v>745</v>
      </c>
      <c r="D14" s="61" t="s">
        <v>783</v>
      </c>
      <c r="E14" s="161" t="s">
        <v>852</v>
      </c>
      <c r="F14" s="7"/>
      <c r="G14" s="251">
        <v>618.62</v>
      </c>
      <c r="H14" s="51">
        <v>0</v>
      </c>
      <c r="I14" s="51">
        <v>618.62</v>
      </c>
      <c r="J14" s="149">
        <v>618.62</v>
      </c>
      <c r="L14"/>
      <c r="M14" s="206"/>
      <c r="N14"/>
    </row>
    <row r="15" spans="1:14">
      <c r="A15" s="7">
        <v>11</v>
      </c>
      <c r="B15" s="29" t="s">
        <v>839</v>
      </c>
      <c r="C15" s="29" t="s">
        <v>840</v>
      </c>
      <c r="D15" s="29" t="s">
        <v>841</v>
      </c>
      <c r="E15" s="161" t="s">
        <v>855</v>
      </c>
      <c r="F15" s="7">
        <v>1</v>
      </c>
      <c r="G15" s="251">
        <v>1012.42</v>
      </c>
      <c r="H15" s="51">
        <v>626.58000000000004</v>
      </c>
      <c r="I15" s="51">
        <v>1639</v>
      </c>
      <c r="J15" s="149">
        <v>0</v>
      </c>
      <c r="K15" s="161" t="s">
        <v>859</v>
      </c>
      <c r="L15" t="b">
        <f>I15=J15</f>
        <v>0</v>
      </c>
      <c r="M15" s="206"/>
    </row>
    <row r="16" spans="1:14">
      <c r="A16" s="7">
        <v>12</v>
      </c>
      <c r="B16" s="29" t="s">
        <v>664</v>
      </c>
      <c r="C16" s="29" t="s">
        <v>746</v>
      </c>
      <c r="D16" s="29" t="s">
        <v>785</v>
      </c>
      <c r="E16" s="161" t="s">
        <v>854</v>
      </c>
      <c r="F16" s="7">
        <v>1</v>
      </c>
      <c r="G16" s="251">
        <v>1843.96</v>
      </c>
      <c r="H16" s="51">
        <v>0</v>
      </c>
      <c r="I16" s="51">
        <v>1843.96</v>
      </c>
      <c r="J16" s="149">
        <v>1843.95</v>
      </c>
      <c r="K16" s="161"/>
      <c r="L16"/>
      <c r="M16" s="206"/>
    </row>
    <row r="17" spans="1:14">
      <c r="A17" s="7">
        <v>13</v>
      </c>
      <c r="B17" s="29" t="s">
        <v>665</v>
      </c>
      <c r="C17" s="29" t="s">
        <v>746</v>
      </c>
      <c r="D17" s="29" t="s">
        <v>786</v>
      </c>
      <c r="E17" s="161" t="s">
        <v>852</v>
      </c>
      <c r="F17" s="7"/>
      <c r="G17" s="251">
        <v>626.58000000000004</v>
      </c>
      <c r="H17" s="51">
        <v>0</v>
      </c>
      <c r="I17" s="51">
        <v>626.58000000000004</v>
      </c>
      <c r="J17" s="149">
        <v>626.57000000000005</v>
      </c>
      <c r="K17" s="161"/>
      <c r="L17"/>
      <c r="M17" s="206"/>
    </row>
    <row r="18" spans="1:14">
      <c r="A18" s="7">
        <v>14</v>
      </c>
      <c r="B18" s="29" t="s">
        <v>666</v>
      </c>
      <c r="C18" s="29" t="s">
        <v>747</v>
      </c>
      <c r="D18" s="37" t="s">
        <v>787</v>
      </c>
      <c r="E18" s="161" t="s">
        <v>854</v>
      </c>
      <c r="F18" s="7">
        <v>1</v>
      </c>
      <c r="G18" s="251">
        <v>996.54</v>
      </c>
      <c r="H18" s="51">
        <v>0</v>
      </c>
      <c r="I18" s="51">
        <v>996.54</v>
      </c>
      <c r="J18" s="149">
        <v>996.53</v>
      </c>
      <c r="K18" s="161"/>
      <c r="L18"/>
      <c r="M18" s="206"/>
    </row>
    <row r="19" spans="1:14" s="1" customFormat="1">
      <c r="A19" s="7">
        <v>15</v>
      </c>
      <c r="B19" s="29" t="s">
        <v>667</v>
      </c>
      <c r="C19" s="29" t="s">
        <v>466</v>
      </c>
      <c r="D19" s="29" t="s">
        <v>431</v>
      </c>
      <c r="E19" s="161" t="s">
        <v>853</v>
      </c>
      <c r="F19" s="7">
        <v>2</v>
      </c>
      <c r="G19" s="251">
        <v>1881.68</v>
      </c>
      <c r="H19" s="51">
        <v>0</v>
      </c>
      <c r="I19" s="51">
        <v>1881.68</v>
      </c>
      <c r="J19" s="189">
        <v>1881.68</v>
      </c>
      <c r="K19" s="161"/>
      <c r="L19"/>
      <c r="M19" s="206"/>
      <c r="N19"/>
    </row>
    <row r="20" spans="1:14">
      <c r="A20" s="7">
        <v>16</v>
      </c>
      <c r="B20" s="29" t="s">
        <v>668</v>
      </c>
      <c r="C20" s="29" t="s">
        <v>748</v>
      </c>
      <c r="D20" s="37" t="s">
        <v>788</v>
      </c>
      <c r="E20" s="161" t="s">
        <v>852</v>
      </c>
      <c r="F20" s="7"/>
      <c r="G20" s="251">
        <v>1107.1600000000001</v>
      </c>
      <c r="H20" s="51">
        <v>0</v>
      </c>
      <c r="I20" s="51">
        <v>1107.1600000000001</v>
      </c>
      <c r="J20" s="149">
        <v>1107.1600000000001</v>
      </c>
      <c r="K20" s="161"/>
      <c r="L20"/>
      <c r="M20" s="206"/>
    </row>
    <row r="21" spans="1:14">
      <c r="A21" s="7">
        <v>17</v>
      </c>
      <c r="B21" s="29" t="s">
        <v>669</v>
      </c>
      <c r="C21" s="29" t="s">
        <v>749</v>
      </c>
      <c r="D21" s="37" t="s">
        <v>789</v>
      </c>
      <c r="E21" s="161" t="s">
        <v>852</v>
      </c>
      <c r="F21" s="7"/>
      <c r="G21" s="251">
        <v>539.67999999999995</v>
      </c>
      <c r="H21" s="51">
        <v>0</v>
      </c>
      <c r="I21" s="51">
        <v>539.67999999999995</v>
      </c>
      <c r="J21" s="149">
        <v>539.67999999999995</v>
      </c>
      <c r="K21" s="161"/>
      <c r="L21"/>
      <c r="M21" s="206"/>
    </row>
    <row r="22" spans="1:14">
      <c r="A22" s="7">
        <v>18</v>
      </c>
      <c r="B22" s="29" t="s">
        <v>729</v>
      </c>
      <c r="C22" s="29" t="s">
        <v>750</v>
      </c>
      <c r="D22" s="37" t="s">
        <v>790</v>
      </c>
      <c r="E22" s="161" t="s">
        <v>852</v>
      </c>
      <c r="F22" s="7"/>
      <c r="G22" s="251">
        <v>618.62</v>
      </c>
      <c r="H22" s="51">
        <v>0</v>
      </c>
      <c r="I22" s="51">
        <v>618.62</v>
      </c>
      <c r="J22" s="149">
        <v>618.62</v>
      </c>
      <c r="K22" s="161"/>
      <c r="L22"/>
      <c r="M22" s="206"/>
    </row>
    <row r="23" spans="1:14">
      <c r="A23" s="7">
        <v>19</v>
      </c>
      <c r="B23" s="29" t="s">
        <v>671</v>
      </c>
      <c r="C23" s="29" t="s">
        <v>751</v>
      </c>
      <c r="D23" s="29" t="s">
        <v>791</v>
      </c>
      <c r="E23" s="161" t="s">
        <v>852</v>
      </c>
      <c r="F23" s="7"/>
      <c r="G23" s="251">
        <v>1489.48</v>
      </c>
      <c r="H23" s="51">
        <v>0</v>
      </c>
      <c r="I23" s="51">
        <v>1489.48</v>
      </c>
      <c r="J23" s="149">
        <v>1489.47</v>
      </c>
      <c r="K23" s="161"/>
      <c r="L23"/>
      <c r="M23" s="206"/>
    </row>
    <row r="24" spans="1:14">
      <c r="A24" s="7">
        <v>20</v>
      </c>
      <c r="B24" s="29" t="s">
        <v>672</v>
      </c>
      <c r="C24" s="29" t="s">
        <v>752</v>
      </c>
      <c r="D24" s="29" t="s">
        <v>792</v>
      </c>
      <c r="E24" s="161" t="s">
        <v>853</v>
      </c>
      <c r="F24" s="7">
        <v>2</v>
      </c>
      <c r="G24" s="251">
        <v>1414.18</v>
      </c>
      <c r="H24" s="51">
        <v>0</v>
      </c>
      <c r="I24" s="51">
        <v>1414.18</v>
      </c>
      <c r="J24" s="149">
        <v>1414.17</v>
      </c>
      <c r="K24" s="161"/>
      <c r="L24"/>
      <c r="M24" s="206"/>
    </row>
    <row r="25" spans="1:14">
      <c r="A25" s="7">
        <v>21</v>
      </c>
      <c r="B25" s="29" t="s">
        <v>673</v>
      </c>
      <c r="C25" s="29" t="s">
        <v>752</v>
      </c>
      <c r="D25" s="29" t="s">
        <v>793</v>
      </c>
      <c r="E25" s="161" t="s">
        <v>853</v>
      </c>
      <c r="F25" s="7">
        <v>2</v>
      </c>
      <c r="G25" s="251">
        <v>1382.4</v>
      </c>
      <c r="H25" s="51">
        <v>0</v>
      </c>
      <c r="I25" s="51">
        <v>1382.4</v>
      </c>
      <c r="J25" s="149">
        <v>1382.39</v>
      </c>
      <c r="K25" s="161"/>
      <c r="L25"/>
      <c r="M25" s="206"/>
    </row>
    <row r="26" spans="1:14">
      <c r="A26" s="7">
        <v>22</v>
      </c>
      <c r="B26" s="29" t="s">
        <v>674</v>
      </c>
      <c r="C26" s="29" t="s">
        <v>753</v>
      </c>
      <c r="D26" s="29" t="s">
        <v>794</v>
      </c>
      <c r="E26" s="161" t="s">
        <v>852</v>
      </c>
      <c r="F26" s="7"/>
      <c r="G26" s="251">
        <v>602.74</v>
      </c>
      <c r="H26" s="51">
        <v>0</v>
      </c>
      <c r="I26" s="51">
        <v>602.74</v>
      </c>
      <c r="J26" s="149">
        <v>602.73</v>
      </c>
      <c r="K26" s="161"/>
      <c r="L26"/>
      <c r="M26" s="206"/>
    </row>
    <row r="27" spans="1:14">
      <c r="A27" s="7">
        <v>23</v>
      </c>
      <c r="B27" s="29" t="s">
        <v>715</v>
      </c>
      <c r="C27" s="29" t="s">
        <v>754</v>
      </c>
      <c r="D27" s="61" t="s">
        <v>795</v>
      </c>
      <c r="E27" s="161" t="s">
        <v>852</v>
      </c>
      <c r="F27" s="7"/>
      <c r="G27" s="251">
        <v>1209.94</v>
      </c>
      <c r="H27" s="51">
        <v>0</v>
      </c>
      <c r="I27" s="51">
        <v>1209.94</v>
      </c>
      <c r="J27" s="149">
        <v>1209.94</v>
      </c>
      <c r="K27" s="161"/>
      <c r="L27"/>
      <c r="M27" s="206"/>
    </row>
    <row r="28" spans="1:14">
      <c r="A28" s="7">
        <v>24</v>
      </c>
      <c r="B28" s="29" t="s">
        <v>716</v>
      </c>
      <c r="C28" s="29" t="s">
        <v>439</v>
      </c>
      <c r="D28" s="29" t="s">
        <v>505</v>
      </c>
      <c r="E28" s="161" t="s">
        <v>852</v>
      </c>
      <c r="F28" s="7"/>
      <c r="G28" s="251">
        <v>1489.48</v>
      </c>
      <c r="H28" s="51">
        <v>0</v>
      </c>
      <c r="I28" s="51">
        <v>1489.48</v>
      </c>
      <c r="J28" s="149">
        <v>1489.47</v>
      </c>
      <c r="K28" s="161"/>
      <c r="L28"/>
      <c r="M28" s="206"/>
    </row>
    <row r="29" spans="1:14">
      <c r="A29" s="7">
        <v>25</v>
      </c>
      <c r="B29" s="29" t="s">
        <v>675</v>
      </c>
      <c r="C29" s="29" t="s">
        <v>755</v>
      </c>
      <c r="D29" s="29" t="s">
        <v>796</v>
      </c>
      <c r="E29" s="161" t="s">
        <v>852</v>
      </c>
      <c r="F29" s="7"/>
      <c r="G29" s="251">
        <v>646.44000000000005</v>
      </c>
      <c r="H29" s="51">
        <v>0</v>
      </c>
      <c r="I29" s="51">
        <v>646.44000000000005</v>
      </c>
      <c r="J29" s="149">
        <v>646.42999999999995</v>
      </c>
      <c r="K29" s="161"/>
      <c r="L29"/>
      <c r="M29" s="206"/>
    </row>
    <row r="30" spans="1:14">
      <c r="A30" s="7">
        <v>26</v>
      </c>
      <c r="B30" s="29" t="s">
        <v>676</v>
      </c>
      <c r="C30" s="29" t="s">
        <v>755</v>
      </c>
      <c r="D30" s="29" t="s">
        <v>797</v>
      </c>
      <c r="E30" s="161" t="s">
        <v>852</v>
      </c>
      <c r="F30" s="7"/>
      <c r="G30" s="251">
        <v>1012.84</v>
      </c>
      <c r="H30" s="51">
        <v>0</v>
      </c>
      <c r="I30" s="51">
        <v>1012.84</v>
      </c>
      <c r="J30" s="149">
        <v>1012.83</v>
      </c>
      <c r="K30" s="161"/>
      <c r="L30"/>
      <c r="M30" s="206"/>
    </row>
    <row r="31" spans="1:14">
      <c r="A31" s="7">
        <v>27</v>
      </c>
      <c r="B31" s="29" t="s">
        <v>677</v>
      </c>
      <c r="C31" s="29" t="s">
        <v>755</v>
      </c>
      <c r="D31" s="37" t="s">
        <v>798</v>
      </c>
      <c r="E31" s="161" t="s">
        <v>853</v>
      </c>
      <c r="F31" s="7">
        <v>2</v>
      </c>
      <c r="G31" s="251">
        <v>1741.86</v>
      </c>
      <c r="H31" s="51">
        <v>0</v>
      </c>
      <c r="I31" s="51">
        <v>1741.86</v>
      </c>
      <c r="J31" s="149">
        <v>1741.85</v>
      </c>
      <c r="K31" s="161"/>
      <c r="L31"/>
      <c r="M31" s="206"/>
    </row>
    <row r="32" spans="1:14">
      <c r="A32" s="7">
        <v>28</v>
      </c>
      <c r="B32" s="29" t="s">
        <v>678</v>
      </c>
      <c r="C32" s="29" t="s">
        <v>756</v>
      </c>
      <c r="D32" s="37" t="s">
        <v>799</v>
      </c>
      <c r="E32" s="161" t="s">
        <v>852</v>
      </c>
      <c r="F32" s="7"/>
      <c r="G32" s="251">
        <v>1489.48</v>
      </c>
      <c r="H32" s="51">
        <v>0</v>
      </c>
      <c r="I32" s="51">
        <v>1489.48</v>
      </c>
      <c r="J32" s="149">
        <v>1489.47</v>
      </c>
      <c r="K32" s="161"/>
      <c r="L32"/>
      <c r="M32" s="206"/>
    </row>
    <row r="33" spans="1:13">
      <c r="A33" s="7">
        <v>29</v>
      </c>
      <c r="B33" s="29" t="s">
        <v>679</v>
      </c>
      <c r="C33" s="29" t="s">
        <v>756</v>
      </c>
      <c r="D33" s="37" t="s">
        <v>800</v>
      </c>
      <c r="E33" s="161" t="s">
        <v>852</v>
      </c>
      <c r="F33" s="7"/>
      <c r="G33" s="251">
        <v>1426.42</v>
      </c>
      <c r="H33" s="51">
        <v>0</v>
      </c>
      <c r="I33" s="51">
        <v>1426.42</v>
      </c>
      <c r="J33" s="149">
        <v>1426.41</v>
      </c>
      <c r="K33" s="161"/>
      <c r="L33"/>
      <c r="M33" s="206"/>
    </row>
    <row r="34" spans="1:13">
      <c r="A34" s="7">
        <v>30</v>
      </c>
      <c r="B34" s="29" t="s">
        <v>680</v>
      </c>
      <c r="C34" s="29" t="s">
        <v>444</v>
      </c>
      <c r="D34" s="29" t="s">
        <v>506</v>
      </c>
      <c r="E34" s="161" t="s">
        <v>852</v>
      </c>
      <c r="F34" s="7"/>
      <c r="G34" s="251">
        <v>847.02</v>
      </c>
      <c r="H34" s="51">
        <v>0</v>
      </c>
      <c r="I34" s="51">
        <v>847.02</v>
      </c>
      <c r="J34" s="149">
        <v>847.01</v>
      </c>
      <c r="K34" s="161"/>
      <c r="L34"/>
      <c r="M34" s="206"/>
    </row>
    <row r="35" spans="1:13">
      <c r="A35" s="7">
        <v>31</v>
      </c>
      <c r="B35" s="29" t="s">
        <v>681</v>
      </c>
      <c r="C35" s="29" t="s">
        <v>757</v>
      </c>
      <c r="D35" s="29" t="s">
        <v>801</v>
      </c>
      <c r="E35" s="161" t="s">
        <v>856</v>
      </c>
      <c r="F35" s="7">
        <v>2</v>
      </c>
      <c r="G35" s="251">
        <v>1390.32</v>
      </c>
      <c r="H35" s="51">
        <v>614.66</v>
      </c>
      <c r="I35" s="51">
        <v>2004.98</v>
      </c>
      <c r="J35" s="149">
        <v>2004.98</v>
      </c>
      <c r="K35" s="161"/>
      <c r="L35"/>
      <c r="M35" s="206"/>
    </row>
    <row r="36" spans="1:13">
      <c r="A36" s="7">
        <v>32</v>
      </c>
      <c r="B36" s="29" t="s">
        <v>682</v>
      </c>
      <c r="C36" s="29" t="s">
        <v>757</v>
      </c>
      <c r="D36" s="29" t="s">
        <v>802</v>
      </c>
      <c r="E36" s="161" t="s">
        <v>854</v>
      </c>
      <c r="F36" s="7">
        <v>1</v>
      </c>
      <c r="G36" s="251">
        <v>1000.52</v>
      </c>
      <c r="H36" s="51">
        <v>0</v>
      </c>
      <c r="I36" s="51">
        <v>1000.52</v>
      </c>
      <c r="J36" s="149">
        <v>1000.51</v>
      </c>
      <c r="K36" s="161"/>
      <c r="L36"/>
      <c r="M36" s="206"/>
    </row>
    <row r="37" spans="1:13">
      <c r="A37" s="7">
        <v>33</v>
      </c>
      <c r="B37" s="29" t="s">
        <v>683</v>
      </c>
      <c r="C37" s="29" t="s">
        <v>757</v>
      </c>
      <c r="D37" s="29" t="s">
        <v>803</v>
      </c>
      <c r="E37" s="161" t="s">
        <v>852</v>
      </c>
      <c r="F37" s="7"/>
      <c r="G37" s="251">
        <v>594.79999999999995</v>
      </c>
      <c r="H37" s="51">
        <v>0</v>
      </c>
      <c r="I37" s="51">
        <v>594.79999999999995</v>
      </c>
      <c r="J37" s="149">
        <v>594.79</v>
      </c>
      <c r="K37" s="161"/>
      <c r="L37"/>
      <c r="M37" s="206"/>
    </row>
    <row r="38" spans="1:13">
      <c r="A38" s="7">
        <v>34</v>
      </c>
      <c r="B38" s="29" t="s">
        <v>684</v>
      </c>
      <c r="C38" s="29" t="s">
        <v>476</v>
      </c>
      <c r="D38" s="37" t="s">
        <v>804</v>
      </c>
      <c r="E38" s="161" t="s">
        <v>852</v>
      </c>
      <c r="F38" s="7"/>
      <c r="G38" s="251">
        <v>610.67999999999995</v>
      </c>
      <c r="H38" s="51">
        <v>0</v>
      </c>
      <c r="I38" s="51">
        <v>610.67999999999995</v>
      </c>
      <c r="J38" s="149">
        <v>610.67999999999995</v>
      </c>
      <c r="K38" s="161"/>
      <c r="L38"/>
      <c r="M38" s="206"/>
    </row>
    <row r="39" spans="1:13">
      <c r="A39" s="7">
        <v>35</v>
      </c>
      <c r="B39" s="29" t="s">
        <v>686</v>
      </c>
      <c r="C39" s="29" t="s">
        <v>758</v>
      </c>
      <c r="D39" s="29" t="s">
        <v>805</v>
      </c>
      <c r="E39" s="161" t="s">
        <v>852</v>
      </c>
      <c r="F39" s="7"/>
      <c r="G39" s="251">
        <v>539.67999999999995</v>
      </c>
      <c r="H39" s="51">
        <v>0</v>
      </c>
      <c r="I39" s="51">
        <v>539.67999999999995</v>
      </c>
      <c r="J39" s="149">
        <v>539.67999999999995</v>
      </c>
      <c r="K39" s="161"/>
      <c r="L39"/>
      <c r="M39" s="206"/>
    </row>
    <row r="40" spans="1:13">
      <c r="A40" s="7">
        <v>36</v>
      </c>
      <c r="B40" s="29" t="s">
        <v>687</v>
      </c>
      <c r="C40" s="29" t="s">
        <v>478</v>
      </c>
      <c r="D40" s="29" t="s">
        <v>448</v>
      </c>
      <c r="E40" s="161" t="s">
        <v>852</v>
      </c>
      <c r="F40" s="7"/>
      <c r="G40" s="251">
        <v>1489.48</v>
      </c>
      <c r="H40" s="51">
        <v>0</v>
      </c>
      <c r="I40" s="51">
        <v>1489.48</v>
      </c>
      <c r="J40" s="149">
        <v>1489.47</v>
      </c>
      <c r="K40" s="161"/>
      <c r="L40"/>
      <c r="M40" s="206"/>
    </row>
    <row r="41" spans="1:13">
      <c r="A41" s="7">
        <v>37</v>
      </c>
      <c r="B41" s="29" t="s">
        <v>688</v>
      </c>
      <c r="C41" s="29" t="s">
        <v>759</v>
      </c>
      <c r="D41" s="37" t="s">
        <v>806</v>
      </c>
      <c r="E41" s="161" t="s">
        <v>852</v>
      </c>
      <c r="F41" s="7"/>
      <c r="G41" s="251">
        <v>602.74</v>
      </c>
      <c r="H41" s="51">
        <v>0</v>
      </c>
      <c r="I41" s="51">
        <v>602.74</v>
      </c>
      <c r="J41" s="149">
        <v>602.73</v>
      </c>
      <c r="K41" s="161"/>
      <c r="L41"/>
      <c r="M41" s="206"/>
    </row>
    <row r="42" spans="1:13">
      <c r="A42" s="7">
        <v>38</v>
      </c>
      <c r="B42" s="29" t="s">
        <v>689</v>
      </c>
      <c r="C42" s="29" t="s">
        <v>760</v>
      </c>
      <c r="D42" s="29" t="s">
        <v>807</v>
      </c>
      <c r="E42" s="161" t="s">
        <v>852</v>
      </c>
      <c r="F42" s="7"/>
      <c r="G42" s="251">
        <v>508.4</v>
      </c>
      <c r="H42" s="51">
        <v>0</v>
      </c>
      <c r="I42" s="51">
        <v>508.4</v>
      </c>
      <c r="J42" s="149">
        <v>508.4</v>
      </c>
      <c r="K42" s="161"/>
      <c r="L42"/>
      <c r="M42" s="206"/>
    </row>
    <row r="43" spans="1:13">
      <c r="A43" s="7">
        <v>39</v>
      </c>
      <c r="B43" s="29" t="s">
        <v>690</v>
      </c>
      <c r="C43" s="29" t="s">
        <v>761</v>
      </c>
      <c r="D43" s="29" t="s">
        <v>808</v>
      </c>
      <c r="E43" s="161" t="s">
        <v>852</v>
      </c>
      <c r="F43" s="7"/>
      <c r="G43" s="251">
        <v>539.67999999999995</v>
      </c>
      <c r="H43" s="51">
        <v>0</v>
      </c>
      <c r="I43" s="51">
        <v>539.67999999999995</v>
      </c>
      <c r="J43" s="149">
        <v>539.67999999999995</v>
      </c>
      <c r="K43" s="161"/>
      <c r="L43"/>
      <c r="M43" s="206"/>
    </row>
    <row r="44" spans="1:13">
      <c r="A44" s="7">
        <v>40</v>
      </c>
      <c r="B44" s="29" t="s">
        <v>691</v>
      </c>
      <c r="C44" s="29" t="s">
        <v>480</v>
      </c>
      <c r="D44" s="37" t="s">
        <v>809</v>
      </c>
      <c r="E44" s="161" t="s">
        <v>853</v>
      </c>
      <c r="F44" s="7">
        <v>2</v>
      </c>
      <c r="G44" s="251">
        <v>2023.68</v>
      </c>
      <c r="H44" s="51">
        <v>0</v>
      </c>
      <c r="I44" s="51">
        <v>2023.68</v>
      </c>
      <c r="J44" s="149">
        <v>2023.68</v>
      </c>
      <c r="K44" s="161"/>
      <c r="L44"/>
      <c r="M44" s="206"/>
    </row>
    <row r="45" spans="1:13">
      <c r="A45" s="7">
        <v>41</v>
      </c>
      <c r="B45" s="29" t="s">
        <v>692</v>
      </c>
      <c r="C45" s="29" t="s">
        <v>762</v>
      </c>
      <c r="D45" s="29" t="s">
        <v>810</v>
      </c>
      <c r="E45" s="161" t="s">
        <v>854</v>
      </c>
      <c r="F45" s="7">
        <v>1</v>
      </c>
      <c r="G45" s="251">
        <v>1008.46</v>
      </c>
      <c r="H45" s="51">
        <v>0</v>
      </c>
      <c r="I45" s="51">
        <v>1008.46</v>
      </c>
      <c r="J45" s="149">
        <v>1008.45</v>
      </c>
      <c r="K45" s="161"/>
      <c r="L45"/>
      <c r="M45" s="206"/>
    </row>
    <row r="46" spans="1:13">
      <c r="A46" s="7">
        <v>42</v>
      </c>
      <c r="B46" s="29" t="s">
        <v>693</v>
      </c>
      <c r="C46" s="29" t="s">
        <v>763</v>
      </c>
      <c r="D46" s="29" t="s">
        <v>811</v>
      </c>
      <c r="E46" s="161" t="s">
        <v>852</v>
      </c>
      <c r="F46" s="7"/>
      <c r="G46" s="251">
        <v>606.72</v>
      </c>
      <c r="H46" s="51">
        <v>0</v>
      </c>
      <c r="I46" s="51">
        <v>606.72</v>
      </c>
      <c r="J46" s="149">
        <v>606.71</v>
      </c>
      <c r="K46" s="161"/>
      <c r="L46"/>
      <c r="M46" s="206"/>
    </row>
    <row r="47" spans="1:13">
      <c r="A47" s="7">
        <v>43</v>
      </c>
      <c r="B47" s="29" t="s">
        <v>694</v>
      </c>
      <c r="C47" s="29" t="s">
        <v>764</v>
      </c>
      <c r="D47" s="29" t="s">
        <v>812</v>
      </c>
      <c r="E47" s="161" t="s">
        <v>854</v>
      </c>
      <c r="F47" s="7">
        <v>1</v>
      </c>
      <c r="G47" s="251">
        <v>1169.82</v>
      </c>
      <c r="H47" s="51">
        <v>0</v>
      </c>
      <c r="I47" s="51">
        <v>1169.82</v>
      </c>
      <c r="J47" s="149">
        <v>1169.81</v>
      </c>
      <c r="K47" s="161"/>
      <c r="L47"/>
      <c r="M47" s="206"/>
    </row>
    <row r="48" spans="1:13">
      <c r="A48" s="7">
        <v>44</v>
      </c>
      <c r="B48" s="29" t="s">
        <v>695</v>
      </c>
      <c r="C48" s="29" t="s">
        <v>765</v>
      </c>
      <c r="D48" s="29" t="s">
        <v>813</v>
      </c>
      <c r="E48" s="161" t="s">
        <v>854</v>
      </c>
      <c r="F48" s="7">
        <v>1</v>
      </c>
      <c r="G48" s="251">
        <v>1406.64</v>
      </c>
      <c r="H48" s="51">
        <v>0</v>
      </c>
      <c r="I48" s="51">
        <v>1406.64</v>
      </c>
      <c r="J48" s="149">
        <v>1406.63</v>
      </c>
      <c r="K48" s="161"/>
      <c r="L48"/>
      <c r="M48" s="206"/>
    </row>
    <row r="49" spans="1:13">
      <c r="A49" s="7">
        <v>45</v>
      </c>
      <c r="B49" s="29" t="s">
        <v>696</v>
      </c>
      <c r="C49" s="29" t="s">
        <v>766</v>
      </c>
      <c r="D49" s="37" t="s">
        <v>814</v>
      </c>
      <c r="E49" s="161" t="s">
        <v>852</v>
      </c>
      <c r="F49" s="7"/>
      <c r="G49" s="251">
        <v>1158.3</v>
      </c>
      <c r="H49" s="51">
        <v>0</v>
      </c>
      <c r="I49" s="51">
        <v>1158.3</v>
      </c>
      <c r="J49" s="149">
        <v>1158.3</v>
      </c>
      <c r="K49" s="161"/>
      <c r="L49"/>
      <c r="M49" s="206"/>
    </row>
    <row r="50" spans="1:13">
      <c r="A50" s="7">
        <v>46</v>
      </c>
      <c r="B50" s="29" t="s">
        <v>697</v>
      </c>
      <c r="C50" s="29" t="s">
        <v>767</v>
      </c>
      <c r="D50" s="37" t="s">
        <v>815</v>
      </c>
      <c r="E50" s="161" t="s">
        <v>854</v>
      </c>
      <c r="F50" s="7">
        <v>1</v>
      </c>
      <c r="G50" s="251">
        <v>1706.44</v>
      </c>
      <c r="H50" s="51">
        <v>0</v>
      </c>
      <c r="I50" s="51">
        <v>1706.44</v>
      </c>
      <c r="J50" s="149">
        <v>1706.43</v>
      </c>
      <c r="K50" s="161"/>
      <c r="L50"/>
      <c r="M50" s="206"/>
    </row>
    <row r="51" spans="1:13">
      <c r="A51" s="7">
        <v>47</v>
      </c>
      <c r="B51" s="29" t="s">
        <v>732</v>
      </c>
      <c r="C51" s="29" t="s">
        <v>768</v>
      </c>
      <c r="D51" s="37" t="s">
        <v>816</v>
      </c>
      <c r="E51" s="161" t="s">
        <v>852</v>
      </c>
      <c r="F51" s="7"/>
      <c r="G51" s="251">
        <v>1465.64</v>
      </c>
      <c r="H51" s="51">
        <v>0</v>
      </c>
      <c r="I51" s="51">
        <v>1465.64</v>
      </c>
      <c r="J51" s="149">
        <v>1465.63</v>
      </c>
      <c r="K51" s="161"/>
      <c r="L51"/>
      <c r="M51" s="206"/>
    </row>
    <row r="52" spans="1:13">
      <c r="A52" s="7">
        <v>48</v>
      </c>
      <c r="B52" s="29" t="s">
        <v>842</v>
      </c>
      <c r="C52" s="29" t="s">
        <v>769</v>
      </c>
      <c r="D52" s="29" t="s">
        <v>843</v>
      </c>
      <c r="E52" s="161" t="s">
        <v>852</v>
      </c>
      <c r="F52" s="7"/>
      <c r="G52" s="251">
        <v>498.48</v>
      </c>
      <c r="H52" s="51">
        <v>0</v>
      </c>
      <c r="I52" s="51">
        <v>498.48</v>
      </c>
      <c r="J52" s="149">
        <v>0</v>
      </c>
      <c r="K52" s="161" t="s">
        <v>859</v>
      </c>
      <c r="L52" t="b">
        <f>I52=J52</f>
        <v>0</v>
      </c>
      <c r="M52" s="206"/>
    </row>
    <row r="53" spans="1:13">
      <c r="A53" s="7">
        <v>49</v>
      </c>
      <c r="B53" s="29" t="s">
        <v>698</v>
      </c>
      <c r="C53" s="29" t="s">
        <v>769</v>
      </c>
      <c r="D53" s="37" t="s">
        <v>817</v>
      </c>
      <c r="E53" s="161" t="s">
        <v>852</v>
      </c>
      <c r="F53" s="7"/>
      <c r="G53" s="251">
        <v>587.34</v>
      </c>
      <c r="H53" s="51">
        <v>0</v>
      </c>
      <c r="I53" s="51">
        <v>587.34</v>
      </c>
      <c r="J53" s="149">
        <v>587.34</v>
      </c>
      <c r="L53"/>
      <c r="M53" s="206"/>
    </row>
    <row r="54" spans="1:13">
      <c r="A54" s="7">
        <v>50</v>
      </c>
      <c r="B54" s="29" t="s">
        <v>699</v>
      </c>
      <c r="C54" s="29" t="s">
        <v>770</v>
      </c>
      <c r="D54" s="29" t="s">
        <v>818</v>
      </c>
      <c r="E54" s="161" t="s">
        <v>852</v>
      </c>
      <c r="F54" s="7"/>
      <c r="G54" s="251">
        <v>1465.64</v>
      </c>
      <c r="H54" s="51">
        <v>0</v>
      </c>
      <c r="I54" s="51">
        <v>1465.64</v>
      </c>
      <c r="J54" s="149">
        <v>1465.63</v>
      </c>
      <c r="K54" s="161"/>
      <c r="L54"/>
      <c r="M54" s="206"/>
    </row>
    <row r="55" spans="1:13">
      <c r="A55" s="7">
        <v>51</v>
      </c>
      <c r="B55" s="29" t="s">
        <v>700</v>
      </c>
      <c r="C55" s="29" t="s">
        <v>771</v>
      </c>
      <c r="D55" s="37" t="s">
        <v>819</v>
      </c>
      <c r="E55" s="161" t="s">
        <v>854</v>
      </c>
      <c r="F55" s="7">
        <v>1</v>
      </c>
      <c r="G55" s="251">
        <v>1706.44</v>
      </c>
      <c r="H55" s="51">
        <v>0</v>
      </c>
      <c r="I55" s="51">
        <v>1706.44</v>
      </c>
      <c r="J55" s="149">
        <v>1706.43</v>
      </c>
      <c r="K55" s="161"/>
      <c r="L55"/>
      <c r="M55" s="206"/>
    </row>
    <row r="56" spans="1:13">
      <c r="A56" s="7">
        <v>52</v>
      </c>
      <c r="B56" s="29" t="s">
        <v>736</v>
      </c>
      <c r="C56" s="29" t="s">
        <v>772</v>
      </c>
      <c r="D56" s="37" t="s">
        <v>820</v>
      </c>
      <c r="E56" s="161" t="s">
        <v>852</v>
      </c>
      <c r="F56" s="7"/>
      <c r="G56" s="251">
        <v>520.32000000000005</v>
      </c>
      <c r="H56" s="51">
        <v>0</v>
      </c>
      <c r="I56" s="51">
        <v>520.32000000000005</v>
      </c>
      <c r="J56" s="149">
        <v>520.32000000000005</v>
      </c>
      <c r="K56" s="161"/>
      <c r="L56"/>
      <c r="M56" s="206"/>
    </row>
    <row r="57" spans="1:13">
      <c r="A57" s="7">
        <v>53</v>
      </c>
      <c r="B57" s="29" t="s">
        <v>702</v>
      </c>
      <c r="C57" s="29" t="s">
        <v>487</v>
      </c>
      <c r="D57" s="29" t="s">
        <v>516</v>
      </c>
      <c r="E57" s="161" t="s">
        <v>852</v>
      </c>
      <c r="F57" s="7"/>
      <c r="G57" s="251">
        <v>925.96</v>
      </c>
      <c r="H57" s="51">
        <v>0</v>
      </c>
      <c r="I57" s="51">
        <v>925.96</v>
      </c>
      <c r="J57" s="149">
        <v>925.95</v>
      </c>
      <c r="K57" s="161"/>
      <c r="L57"/>
      <c r="M57" s="206"/>
    </row>
    <row r="58" spans="1:13">
      <c r="A58" s="7">
        <v>54</v>
      </c>
      <c r="B58" s="29" t="s">
        <v>703</v>
      </c>
      <c r="C58" s="29" t="s">
        <v>488</v>
      </c>
      <c r="D58" s="29" t="s">
        <v>517</v>
      </c>
      <c r="E58" s="161" t="s">
        <v>852</v>
      </c>
      <c r="F58" s="7"/>
      <c r="G58" s="251">
        <v>1489.48</v>
      </c>
      <c r="H58" s="51">
        <v>0</v>
      </c>
      <c r="I58" s="51">
        <v>1489.48</v>
      </c>
      <c r="J58" s="149">
        <v>1489.47</v>
      </c>
      <c r="K58" s="161"/>
      <c r="L58"/>
      <c r="M58" s="206"/>
    </row>
    <row r="59" spans="1:13">
      <c r="A59" s="7">
        <v>55</v>
      </c>
      <c r="B59" s="29" t="s">
        <v>704</v>
      </c>
      <c r="C59" s="29" t="s">
        <v>773</v>
      </c>
      <c r="D59" s="29" t="s">
        <v>821</v>
      </c>
      <c r="E59" s="161" t="s">
        <v>852</v>
      </c>
      <c r="F59" s="7"/>
      <c r="G59" s="251">
        <v>1489.48</v>
      </c>
      <c r="H59" s="51">
        <v>0</v>
      </c>
      <c r="I59" s="51">
        <v>1489.48</v>
      </c>
      <c r="J59" s="149">
        <v>1489.47</v>
      </c>
      <c r="K59" s="161"/>
      <c r="L59"/>
      <c r="M59" s="206"/>
    </row>
    <row r="60" spans="1:13">
      <c r="A60" s="7">
        <v>56</v>
      </c>
      <c r="B60" s="29" t="s">
        <v>705</v>
      </c>
      <c r="C60" s="29" t="s">
        <v>491</v>
      </c>
      <c r="D60" s="29" t="s">
        <v>456</v>
      </c>
      <c r="E60" s="161" t="s">
        <v>852</v>
      </c>
      <c r="F60" s="7"/>
      <c r="G60" s="251">
        <v>744.74</v>
      </c>
      <c r="H60" s="51">
        <v>0</v>
      </c>
      <c r="I60" s="51">
        <v>744.74</v>
      </c>
      <c r="J60" s="149">
        <v>744.73</v>
      </c>
      <c r="K60" s="161"/>
      <c r="L60"/>
      <c r="M60" s="206"/>
    </row>
    <row r="61" spans="1:13">
      <c r="A61" s="7">
        <v>57</v>
      </c>
      <c r="B61" s="29" t="s">
        <v>706</v>
      </c>
      <c r="C61" s="29" t="s">
        <v>774</v>
      </c>
      <c r="D61" s="37" t="s">
        <v>822</v>
      </c>
      <c r="E61" s="161" t="s">
        <v>852</v>
      </c>
      <c r="F61" s="7"/>
      <c r="G61" s="251">
        <v>618.62</v>
      </c>
      <c r="H61" s="51">
        <v>0</v>
      </c>
      <c r="I61" s="51">
        <v>618.62</v>
      </c>
      <c r="J61" s="149">
        <v>618.62</v>
      </c>
      <c r="K61" s="161"/>
      <c r="L61"/>
      <c r="M61" s="206"/>
    </row>
    <row r="62" spans="1:13">
      <c r="A62" s="7">
        <v>58</v>
      </c>
      <c r="B62" s="29" t="s">
        <v>707</v>
      </c>
      <c r="C62" s="29" t="s">
        <v>774</v>
      </c>
      <c r="D62" s="29" t="s">
        <v>823</v>
      </c>
      <c r="E62" s="161" t="s">
        <v>854</v>
      </c>
      <c r="F62" s="7">
        <v>1</v>
      </c>
      <c r="G62" s="251">
        <v>1272.5</v>
      </c>
      <c r="H62" s="51">
        <v>0</v>
      </c>
      <c r="I62" s="51">
        <v>1272.5</v>
      </c>
      <c r="J62" s="149">
        <v>1272.5</v>
      </c>
      <c r="K62" s="161"/>
      <c r="L62"/>
      <c r="M62" s="206"/>
    </row>
    <row r="63" spans="1:13">
      <c r="A63" s="7">
        <v>59</v>
      </c>
      <c r="B63" s="29" t="s">
        <v>708</v>
      </c>
      <c r="C63" s="29" t="s">
        <v>775</v>
      </c>
      <c r="D63" s="37" t="s">
        <v>824</v>
      </c>
      <c r="E63" s="161" t="s">
        <v>854</v>
      </c>
      <c r="F63" s="7">
        <v>1</v>
      </c>
      <c r="G63" s="251">
        <v>1558.48</v>
      </c>
      <c r="H63" s="51">
        <v>0</v>
      </c>
      <c r="I63" s="51">
        <v>1558.48</v>
      </c>
      <c r="J63" s="149">
        <v>1558.47</v>
      </c>
      <c r="K63" s="161"/>
      <c r="L63"/>
      <c r="M63" s="206"/>
    </row>
    <row r="64" spans="1:13">
      <c r="A64" s="7">
        <v>60</v>
      </c>
      <c r="B64" s="29" t="s">
        <v>709</v>
      </c>
      <c r="C64" s="29" t="s">
        <v>776</v>
      </c>
      <c r="D64" s="37" t="s">
        <v>825</v>
      </c>
      <c r="E64" s="161" t="s">
        <v>852</v>
      </c>
      <c r="F64" s="7"/>
      <c r="G64" s="251">
        <v>594.79999999999995</v>
      </c>
      <c r="H64" s="51">
        <v>0</v>
      </c>
      <c r="I64" s="51">
        <v>594.79999999999995</v>
      </c>
      <c r="J64" s="149">
        <v>594.79</v>
      </c>
      <c r="K64" s="161"/>
      <c r="L64"/>
      <c r="M64" s="206"/>
    </row>
    <row r="65" spans="1:15">
      <c r="A65" s="7">
        <v>61</v>
      </c>
      <c r="B65" s="29" t="s">
        <v>710</v>
      </c>
      <c r="C65" s="29" t="s">
        <v>777</v>
      </c>
      <c r="D65" s="29" t="s">
        <v>826</v>
      </c>
      <c r="E65" s="161" t="s">
        <v>852</v>
      </c>
      <c r="F65" s="7"/>
      <c r="G65" s="251">
        <v>886.72</v>
      </c>
      <c r="H65" s="51">
        <v>0</v>
      </c>
      <c r="I65" s="51">
        <v>886.72</v>
      </c>
      <c r="J65" s="149">
        <v>1385.19</v>
      </c>
      <c r="K65" s="161" t="s">
        <v>862</v>
      </c>
      <c r="L65" t="b">
        <f>I65=J65</f>
        <v>0</v>
      </c>
      <c r="M65" s="206"/>
    </row>
    <row r="66" spans="1:15">
      <c r="A66" s="7">
        <v>62</v>
      </c>
      <c r="B66" s="29" t="s">
        <v>711</v>
      </c>
      <c r="C66" s="29" t="s">
        <v>777</v>
      </c>
      <c r="D66" s="29" t="s">
        <v>827</v>
      </c>
      <c r="E66" s="161" t="s">
        <v>853</v>
      </c>
      <c r="F66" s="7">
        <v>2</v>
      </c>
      <c r="G66" s="251">
        <v>1681.28</v>
      </c>
      <c r="H66" s="51">
        <v>0</v>
      </c>
      <c r="I66" s="51">
        <v>1681.28</v>
      </c>
      <c r="J66" s="149">
        <v>1681.28</v>
      </c>
      <c r="K66" s="161"/>
      <c r="L66"/>
      <c r="M66" s="206"/>
    </row>
    <row r="67" spans="1:15">
      <c r="A67" s="7">
        <v>63</v>
      </c>
      <c r="B67" s="29" t="s">
        <v>712</v>
      </c>
      <c r="C67" s="29" t="s">
        <v>778</v>
      </c>
      <c r="D67" s="37" t="s">
        <v>828</v>
      </c>
      <c r="E67" s="161" t="s">
        <v>852</v>
      </c>
      <c r="F67" s="7"/>
      <c r="G67" s="251">
        <v>587.34</v>
      </c>
      <c r="H67" s="51">
        <v>0</v>
      </c>
      <c r="I67" s="51">
        <v>587.34</v>
      </c>
      <c r="J67" s="149">
        <v>587.34</v>
      </c>
      <c r="K67" s="161"/>
      <c r="L67"/>
      <c r="M67" s="206"/>
    </row>
    <row r="68" spans="1:15">
      <c r="A68" s="7">
        <v>64</v>
      </c>
      <c r="B68" s="29" t="s">
        <v>713</v>
      </c>
      <c r="C68" s="29" t="s">
        <v>778</v>
      </c>
      <c r="D68" s="37" t="s">
        <v>829</v>
      </c>
      <c r="E68" s="161" t="s">
        <v>856</v>
      </c>
      <c r="F68" s="7">
        <v>2</v>
      </c>
      <c r="G68" s="251">
        <v>1402.26</v>
      </c>
      <c r="H68" s="51">
        <v>657.84</v>
      </c>
      <c r="I68" s="51">
        <v>2060.1</v>
      </c>
      <c r="J68" s="189">
        <v>2060.09</v>
      </c>
      <c r="K68" s="161"/>
      <c r="L68"/>
      <c r="M68" s="206"/>
    </row>
    <row r="69" spans="1:15">
      <c r="A69" s="113"/>
      <c r="B69" s="113"/>
      <c r="C69" s="102"/>
      <c r="D69" s="102"/>
      <c r="E69" s="102"/>
      <c r="F69" s="280"/>
      <c r="G69" s="93"/>
      <c r="H69" s="93"/>
      <c r="I69" s="93"/>
      <c r="J69" s="115"/>
      <c r="K69" s="117"/>
      <c r="N69" s="15"/>
      <c r="O69" s="15"/>
    </row>
    <row r="70" spans="1:15">
      <c r="A70" s="428" t="s">
        <v>652</v>
      </c>
      <c r="B70" s="429"/>
      <c r="C70" s="429"/>
      <c r="D70" s="429"/>
      <c r="E70" s="429"/>
      <c r="F70" s="429"/>
      <c r="G70" s="430"/>
      <c r="H70" s="246"/>
      <c r="I70" s="246"/>
      <c r="J70" s="111">
        <f>SUM(J5:J68)</f>
        <v>68167.38</v>
      </c>
      <c r="K70" s="255"/>
      <c r="L70"/>
    </row>
    <row r="71" spans="1:15">
      <c r="A71" s="29"/>
      <c r="B71" s="65"/>
      <c r="C71" s="29"/>
      <c r="D71" s="141"/>
      <c r="E71" s="271" t="s">
        <v>258</v>
      </c>
      <c r="F71" s="161">
        <f>COUNTA(C5:C68)</f>
        <v>64</v>
      </c>
      <c r="G71" s="161"/>
      <c r="H71" s="161"/>
      <c r="I71" s="161"/>
      <c r="J71" s="52"/>
      <c r="K71" s="241"/>
      <c r="L71"/>
    </row>
    <row r="72" spans="1:15">
      <c r="A72" s="65"/>
      <c r="B72" s="65"/>
      <c r="C72" s="29"/>
      <c r="D72" s="141"/>
      <c r="E72" s="141" t="s">
        <v>930</v>
      </c>
      <c r="F72" s="161">
        <v>4</v>
      </c>
      <c r="G72" s="161"/>
      <c r="H72" s="161"/>
      <c r="I72" s="161"/>
      <c r="J72" s="52"/>
      <c r="K72" s="241"/>
      <c r="L72"/>
    </row>
    <row r="73" spans="1:15">
      <c r="A73" s="29"/>
      <c r="B73" s="65"/>
      <c r="C73" s="29"/>
      <c r="D73" s="141"/>
      <c r="E73" s="271" t="s">
        <v>931</v>
      </c>
      <c r="F73" s="196">
        <f>SUM(F5:F68)</f>
        <v>32</v>
      </c>
      <c r="G73" s="161"/>
      <c r="H73" s="196"/>
      <c r="I73" s="196"/>
      <c r="J73" s="52"/>
      <c r="K73" s="241"/>
      <c r="L73"/>
    </row>
    <row r="74" spans="1:15">
      <c r="A74" s="29"/>
      <c r="B74" s="174"/>
      <c r="C74" s="29"/>
      <c r="D74" s="92"/>
      <c r="E74" s="91" t="s">
        <v>246</v>
      </c>
      <c r="F74" s="187">
        <f>F71+F73+F72</f>
        <v>100</v>
      </c>
      <c r="G74" s="161"/>
      <c r="H74" s="187"/>
      <c r="I74" s="187"/>
      <c r="J74" s="52"/>
      <c r="K74" s="241"/>
      <c r="L74"/>
    </row>
    <row r="75" spans="1:15">
      <c r="A75" s="455" t="s">
        <v>830</v>
      </c>
      <c r="B75" s="456"/>
      <c r="C75" s="456"/>
      <c r="D75" s="456"/>
      <c r="E75" s="456"/>
      <c r="F75" s="456"/>
      <c r="G75" s="457"/>
      <c r="H75" s="247"/>
      <c r="I75" s="247"/>
      <c r="J75" s="184">
        <f>SUM(J76:J77)</f>
        <v>-695.25</v>
      </c>
      <c r="K75" s="256"/>
      <c r="L75"/>
      <c r="M75" s="15"/>
    </row>
    <row r="76" spans="1:15" s="1" customFormat="1">
      <c r="A76" s="187"/>
      <c r="B76" s="221" t="s">
        <v>694</v>
      </c>
      <c r="C76" s="29" t="s">
        <v>764</v>
      </c>
      <c r="D76" s="29" t="s">
        <v>812</v>
      </c>
      <c r="E76" s="29"/>
      <c r="F76" s="7"/>
      <c r="G76" s="161"/>
      <c r="H76" s="161"/>
      <c r="I76" s="161"/>
      <c r="J76" s="226">
        <v>-695.25</v>
      </c>
      <c r="K76" s="257">
        <v>44805</v>
      </c>
      <c r="M76" s="116"/>
    </row>
    <row r="77" spans="1:15">
      <c r="A77" s="187"/>
      <c r="B77" s="187"/>
      <c r="C77" s="29"/>
      <c r="D77" s="29"/>
      <c r="E77" s="29"/>
      <c r="F77" s="7"/>
      <c r="G77" s="187"/>
      <c r="H77" s="187"/>
      <c r="I77" s="187"/>
      <c r="J77" s="52"/>
      <c r="K77" s="241"/>
      <c r="L77"/>
      <c r="M77" s="15"/>
    </row>
    <row r="78" spans="1:15" ht="12" customHeight="1">
      <c r="A78" s="428" t="s">
        <v>846</v>
      </c>
      <c r="B78" s="429"/>
      <c r="C78" s="429"/>
      <c r="D78" s="429"/>
      <c r="E78" s="429"/>
      <c r="F78" s="429"/>
      <c r="G78" s="430"/>
      <c r="H78" s="246"/>
      <c r="I78" s="246"/>
      <c r="J78" s="111"/>
      <c r="K78" s="258"/>
      <c r="L78"/>
    </row>
    <row r="79" spans="1:15" ht="12" customHeight="1">
      <c r="A79" s="172"/>
      <c r="B79" s="173"/>
      <c r="C79" s="173"/>
      <c r="D79" s="173"/>
      <c r="E79" s="173"/>
      <c r="F79" s="281"/>
      <c r="G79" s="167"/>
      <c r="H79" s="167"/>
      <c r="I79" s="167"/>
      <c r="J79" s="83"/>
      <c r="K79" s="259"/>
      <c r="L79"/>
    </row>
    <row r="80" spans="1:15">
      <c r="A80" s="422" t="s">
        <v>37</v>
      </c>
      <c r="B80" s="423"/>
      <c r="C80" s="423"/>
      <c r="D80" s="423"/>
      <c r="E80" s="423"/>
      <c r="F80" s="423"/>
      <c r="G80" s="424"/>
      <c r="H80" s="245"/>
      <c r="I80" s="245"/>
      <c r="J80" s="80">
        <f>J70+J75</f>
        <v>67472.13</v>
      </c>
      <c r="K80" s="260"/>
      <c r="L80"/>
    </row>
    <row r="81" spans="1:15" ht="18">
      <c r="G81" s="218" t="s">
        <v>250</v>
      </c>
      <c r="H81" s="238">
        <v>44937</v>
      </c>
      <c r="I81"/>
      <c r="J81"/>
      <c r="K81"/>
      <c r="L81"/>
    </row>
    <row r="82" spans="1:15" ht="18">
      <c r="G82" s="218" t="s">
        <v>251</v>
      </c>
      <c r="H82" s="239" t="s">
        <v>653</v>
      </c>
      <c r="I82"/>
      <c r="J82"/>
      <c r="K82"/>
      <c r="L82"/>
    </row>
    <row r="87" spans="1:15" s="3" customFormat="1">
      <c r="A87"/>
      <c r="B87"/>
      <c r="C87"/>
      <c r="D87"/>
      <c r="E87"/>
      <c r="G87" s="216"/>
      <c r="H87" s="216"/>
      <c r="I87" s="216"/>
      <c r="K87" s="152"/>
      <c r="L87" s="216"/>
      <c r="M87"/>
      <c r="N87"/>
      <c r="O87"/>
    </row>
  </sheetData>
  <autoFilter ref="A4:L68" xr:uid="{EC283F26-1258-B84E-AE05-5C35489C3CC6}">
    <sortState xmlns:xlrd2="http://schemas.microsoft.com/office/spreadsheetml/2017/richdata2" ref="A5:L68">
      <sortCondition ref="C4:C68"/>
    </sortState>
  </autoFilter>
  <mergeCells count="4">
    <mergeCell ref="A80:G80"/>
    <mergeCell ref="A70:G70"/>
    <mergeCell ref="A75:G75"/>
    <mergeCell ref="A78:G78"/>
  </mergeCells>
  <conditionalFormatting sqref="B4 B6:B7">
    <cfRule type="duplicateValues" dxfId="1187" priority="474"/>
  </conditionalFormatting>
  <conditionalFormatting sqref="B10:B68 B6:B8">
    <cfRule type="duplicateValues" dxfId="1186" priority="21"/>
  </conditionalFormatting>
  <conditionalFormatting sqref="B10:B68 B8">
    <cfRule type="duplicateValues" dxfId="1185" priority="20"/>
  </conditionalFormatting>
  <conditionalFormatting sqref="B76">
    <cfRule type="duplicateValues" dxfId="1184" priority="9"/>
    <cfRule type="duplicateValues" dxfId="1183" priority="10"/>
  </conditionalFormatting>
  <conditionalFormatting sqref="C84">
    <cfRule type="duplicateValues" dxfId="1182" priority="37"/>
    <cfRule type="duplicateValues" dxfId="1181" priority="38"/>
  </conditionalFormatting>
  <conditionalFormatting sqref="C85">
    <cfRule type="duplicateValues" dxfId="1180" priority="35"/>
    <cfRule type="duplicateValues" dxfId="1179" priority="36"/>
  </conditionalFormatting>
  <conditionalFormatting sqref="C87">
    <cfRule type="duplicateValues" dxfId="1178" priority="33"/>
    <cfRule type="duplicateValues" dxfId="1177" priority="34"/>
  </conditionalFormatting>
  <conditionalFormatting sqref="C89">
    <cfRule type="duplicateValues" dxfId="1176" priority="31"/>
    <cfRule type="duplicateValues" dxfId="1175" priority="32"/>
  </conditionalFormatting>
  <conditionalFormatting sqref="C69:F69">
    <cfRule type="duplicateValues" dxfId="1174" priority="487"/>
  </conditionalFormatting>
  <conditionalFormatting sqref="C77:F77">
    <cfRule type="duplicateValues" dxfId="1173" priority="495"/>
  </conditionalFormatting>
  <conditionalFormatting sqref="C78:F82 C69:F70 C75:F75 E72 D71:D74 C1:F3 C4:D4">
    <cfRule type="duplicateValues" dxfId="1172" priority="511"/>
  </conditionalFormatting>
  <conditionalFormatting sqref="C78:F83 C1:F3 C4:D4 C69:F70 C75:F75 E72 D71:D74 D85:F85 D87:F87 C86:F86 C90:F1048576 D89:F89 C88:F88">
    <cfRule type="duplicateValues" dxfId="1171" priority="496"/>
  </conditionalFormatting>
  <conditionalFormatting sqref="C83:F83 D85:F85 D87:F87 C86:F86 C90:F1048576 D89:F89 C88:F88">
    <cfRule type="duplicateValues" dxfId="1170" priority="488"/>
  </conditionalFormatting>
  <conditionalFormatting sqref="G1:H3 E4:G68 G69:I70 F71:F74 H71:I74 G75:I1048576">
    <cfRule type="containsText" dxfId="1169" priority="2" operator="containsText" text="Spouse">
      <formula>NOT(ISERROR(SEARCH("Spouse",E1)))</formula>
    </cfRule>
  </conditionalFormatting>
  <conditionalFormatting sqref="K5">
    <cfRule type="notContainsBlanks" dxfId="1168" priority="19">
      <formula>LEN(TRIM(K5))&gt;0</formula>
    </cfRule>
  </conditionalFormatting>
  <conditionalFormatting sqref="K8:K13 K15:K33 K35:K52 K54:K65 L69 K70:K80">
    <cfRule type="notContainsBlanks" dxfId="1167" priority="39">
      <formula>LEN(TRIM(K8))&gt;0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03EB-313B-8346-89BF-113E0DBEF037}">
  <sheetPr>
    <tabColor theme="7" tint="0.59999389629810485"/>
    <pageSetUpPr fitToPage="1"/>
  </sheetPr>
  <dimension ref="A1:L96"/>
  <sheetViews>
    <sheetView zoomScale="140" zoomScaleNormal="140" zoomScalePageLayoutView="140" workbookViewId="0">
      <pane xSplit="4" ySplit="4" topLeftCell="E38" activePane="bottomRight" state="frozen"/>
      <selection activeCell="D65" sqref="D65"/>
      <selection pane="topRight" activeCell="D65" sqref="D65"/>
      <selection pane="bottomLeft" activeCell="D65" sqref="D65"/>
      <selection pane="bottomRight" activeCell="H3" sqref="H3"/>
    </sheetView>
  </sheetViews>
  <sheetFormatPr baseColWidth="10" defaultColWidth="8.83203125" defaultRowHeight="13"/>
  <cols>
    <col min="1" max="1" width="5.6640625" customWidth="1"/>
    <col min="2" max="2" width="8.6640625" bestFit="1" customWidth="1"/>
    <col min="3" max="3" width="14.6640625" customWidth="1"/>
    <col min="4" max="4" width="23.83203125" bestFit="1" customWidth="1"/>
    <col min="5" max="5" width="28.1640625" style="216" bestFit="1" customWidth="1"/>
    <col min="6" max="6" width="8.1640625" style="3" customWidth="1"/>
    <col min="7" max="7" width="14.83203125" style="3" customWidth="1"/>
    <col min="8" max="8" width="16" style="152" customWidth="1"/>
    <col min="9" max="9" width="39.1640625" style="216" customWidth="1"/>
    <col min="10" max="10" width="8.5" customWidth="1"/>
    <col min="11" max="11" width="18.1640625" bestFit="1" customWidth="1"/>
  </cols>
  <sheetData>
    <row r="1" spans="1:12">
      <c r="A1" s="1" t="s">
        <v>0</v>
      </c>
      <c r="B1" s="1"/>
      <c r="E1" s="215"/>
      <c r="F1" s="88"/>
      <c r="G1" s="88"/>
      <c r="H1" s="146" t="s">
        <v>866</v>
      </c>
      <c r="I1" s="229" t="s">
        <v>223</v>
      </c>
    </row>
    <row r="2" spans="1:12" ht="13.5" customHeight="1">
      <c r="A2" s="1" t="s">
        <v>249</v>
      </c>
      <c r="B2" s="1"/>
      <c r="H2" s="248">
        <v>44927</v>
      </c>
      <c r="I2" s="230"/>
    </row>
    <row r="3" spans="1:12" ht="14" customHeight="1">
      <c r="H3" s="201"/>
      <c r="I3" s="231" t="s">
        <v>832</v>
      </c>
    </row>
    <row r="4" spans="1:12" ht="28">
      <c r="A4" s="50" t="s">
        <v>226</v>
      </c>
      <c r="B4" s="219" t="s">
        <v>500</v>
      </c>
      <c r="C4" s="50" t="s">
        <v>498</v>
      </c>
      <c r="D4" s="50" t="s">
        <v>499</v>
      </c>
      <c r="E4" s="217" t="s">
        <v>643</v>
      </c>
      <c r="F4" s="50" t="s">
        <v>929</v>
      </c>
      <c r="G4" s="214" t="s">
        <v>725</v>
      </c>
      <c r="H4" s="168" t="s">
        <v>845</v>
      </c>
      <c r="I4" s="217" t="s">
        <v>227</v>
      </c>
      <c r="L4" t="s">
        <v>720</v>
      </c>
    </row>
    <row r="5" spans="1:12">
      <c r="A5" s="7">
        <v>1</v>
      </c>
      <c r="B5" s="222" t="s">
        <v>741</v>
      </c>
      <c r="C5" t="s">
        <v>742</v>
      </c>
      <c r="D5" t="s">
        <v>779</v>
      </c>
      <c r="E5" s="161" t="s">
        <v>851</v>
      </c>
      <c r="F5" s="7"/>
      <c r="G5" s="51"/>
      <c r="H5" s="225">
        <v>1158.3</v>
      </c>
      <c r="I5" s="161" t="s">
        <v>831</v>
      </c>
      <c r="L5" t="s">
        <v>847</v>
      </c>
    </row>
    <row r="6" spans="1:12">
      <c r="A6" s="7">
        <v>2</v>
      </c>
      <c r="B6" s="220" t="s">
        <v>658</v>
      </c>
      <c r="C6" s="161" t="s">
        <v>743</v>
      </c>
      <c r="D6" s="241" t="s">
        <v>780</v>
      </c>
      <c r="E6" s="161" t="s">
        <v>852</v>
      </c>
      <c r="F6" s="7"/>
      <c r="G6" s="51"/>
      <c r="H6" s="152">
        <v>498.47</v>
      </c>
      <c r="I6" s="161"/>
      <c r="K6" s="206"/>
    </row>
    <row r="7" spans="1:12">
      <c r="A7" s="7">
        <v>3</v>
      </c>
      <c r="B7" s="220" t="s">
        <v>659</v>
      </c>
      <c r="C7" s="161" t="s">
        <v>744</v>
      </c>
      <c r="D7" s="241" t="s">
        <v>781</v>
      </c>
      <c r="E7" s="161" t="s">
        <v>853</v>
      </c>
      <c r="F7" s="7">
        <v>2</v>
      </c>
      <c r="G7" s="51"/>
      <c r="H7" s="160">
        <v>1637.09</v>
      </c>
      <c r="I7" s="161"/>
      <c r="K7" s="206"/>
    </row>
    <row r="8" spans="1:12">
      <c r="A8" s="7">
        <v>4</v>
      </c>
      <c r="B8" s="221" t="s">
        <v>660</v>
      </c>
      <c r="C8" s="29" t="s">
        <v>462</v>
      </c>
      <c r="D8" s="242" t="s">
        <v>425</v>
      </c>
      <c r="E8" s="161" t="s">
        <v>853</v>
      </c>
      <c r="F8" s="7">
        <v>2</v>
      </c>
      <c r="G8" s="51"/>
      <c r="H8" s="149">
        <v>1110.73</v>
      </c>
      <c r="I8" s="161" t="s">
        <v>844</v>
      </c>
      <c r="K8" s="206"/>
    </row>
    <row r="9" spans="1:12">
      <c r="A9" s="7">
        <v>5</v>
      </c>
      <c r="B9" s="222" t="s">
        <v>833</v>
      </c>
      <c r="C9" t="s">
        <v>834</v>
      </c>
      <c r="D9" s="242" t="s">
        <v>835</v>
      </c>
      <c r="E9" s="161" t="s">
        <v>852</v>
      </c>
      <c r="F9" s="7"/>
      <c r="G9" s="51"/>
      <c r="H9" s="149">
        <v>0</v>
      </c>
      <c r="I9" s="161" t="s">
        <v>836</v>
      </c>
      <c r="K9" s="206"/>
    </row>
    <row r="10" spans="1:12">
      <c r="A10" s="7">
        <v>6</v>
      </c>
      <c r="B10" s="221" t="s">
        <v>661</v>
      </c>
      <c r="C10" s="29" t="s">
        <v>460</v>
      </c>
      <c r="D10" s="242" t="s">
        <v>426</v>
      </c>
      <c r="E10" s="161" t="s">
        <v>852</v>
      </c>
      <c r="F10" s="7"/>
      <c r="G10" s="51"/>
      <c r="H10" s="149">
        <v>1292.3499999999999</v>
      </c>
      <c r="I10" s="161"/>
    </row>
    <row r="11" spans="1:12">
      <c r="A11" s="7">
        <v>7</v>
      </c>
      <c r="B11" s="221" t="s">
        <v>717</v>
      </c>
      <c r="C11" s="29" t="s">
        <v>460</v>
      </c>
      <c r="D11" s="242" t="s">
        <v>782</v>
      </c>
      <c r="E11" s="161" t="s">
        <v>854</v>
      </c>
      <c r="F11" s="7">
        <v>1</v>
      </c>
      <c r="G11" s="51"/>
      <c r="H11" s="149">
        <v>1773.9399999999998</v>
      </c>
      <c r="I11" s="161"/>
      <c r="K11" s="206"/>
    </row>
    <row r="12" spans="1:12">
      <c r="A12" s="7">
        <v>8</v>
      </c>
      <c r="B12" s="221" t="s">
        <v>662</v>
      </c>
      <c r="C12" s="37" t="s">
        <v>745</v>
      </c>
      <c r="D12" s="243" t="s">
        <v>783</v>
      </c>
      <c r="E12" s="161" t="s">
        <v>852</v>
      </c>
      <c r="F12" s="7"/>
      <c r="G12" s="51"/>
      <c r="H12" s="149">
        <v>618.62</v>
      </c>
      <c r="I12" s="161"/>
      <c r="K12" s="206"/>
    </row>
    <row r="13" spans="1:12" s="1" customFormat="1">
      <c r="A13" s="7">
        <v>9</v>
      </c>
      <c r="B13" s="221" t="s">
        <v>663</v>
      </c>
      <c r="C13" s="61" t="s">
        <v>745</v>
      </c>
      <c r="D13" s="244" t="s">
        <v>784</v>
      </c>
      <c r="E13" s="161" t="s">
        <v>852</v>
      </c>
      <c r="F13" s="7"/>
      <c r="G13" s="51"/>
      <c r="H13" s="149">
        <v>587.34</v>
      </c>
      <c r="I13" s="161"/>
      <c r="K13" s="206"/>
      <c r="L13"/>
    </row>
    <row r="14" spans="1:12" s="1" customFormat="1">
      <c r="A14" s="7">
        <v>10</v>
      </c>
      <c r="B14" s="227" t="s">
        <v>837</v>
      </c>
      <c r="C14" s="228" t="s">
        <v>745</v>
      </c>
      <c r="D14" s="244" t="s">
        <v>838</v>
      </c>
      <c r="E14" s="161" t="s">
        <v>852</v>
      </c>
      <c r="F14" s="7"/>
      <c r="G14" s="51"/>
      <c r="H14" s="149">
        <v>0</v>
      </c>
      <c r="I14" s="161" t="s">
        <v>836</v>
      </c>
      <c r="K14" s="206"/>
      <c r="L14"/>
    </row>
    <row r="15" spans="1:12">
      <c r="A15" s="7">
        <v>12</v>
      </c>
      <c r="B15" s="224" t="s">
        <v>839</v>
      </c>
      <c r="C15" s="124" t="s">
        <v>840</v>
      </c>
      <c r="D15" s="242" t="s">
        <v>841</v>
      </c>
      <c r="E15" s="161" t="s">
        <v>855</v>
      </c>
      <c r="F15" s="7">
        <v>1</v>
      </c>
      <c r="G15" s="51"/>
      <c r="H15" s="149">
        <v>0</v>
      </c>
      <c r="I15" s="161" t="s">
        <v>836</v>
      </c>
      <c r="K15" s="206"/>
    </row>
    <row r="16" spans="1:12">
      <c r="A16" s="7">
        <v>13</v>
      </c>
      <c r="B16" s="223" t="s">
        <v>665</v>
      </c>
      <c r="C16" t="s">
        <v>746</v>
      </c>
      <c r="D16" s="242" t="s">
        <v>786</v>
      </c>
      <c r="E16" s="161" t="s">
        <v>852</v>
      </c>
      <c r="F16" s="7"/>
      <c r="G16" s="51"/>
      <c r="H16" s="149">
        <v>626.57000000000005</v>
      </c>
      <c r="I16" s="161"/>
      <c r="K16" s="206"/>
    </row>
    <row r="17" spans="1:12">
      <c r="A17" s="7">
        <v>11</v>
      </c>
      <c r="B17" s="221" t="s">
        <v>664</v>
      </c>
      <c r="C17" s="29" t="s">
        <v>746</v>
      </c>
      <c r="D17" s="242" t="s">
        <v>785</v>
      </c>
      <c r="E17" s="161" t="s">
        <v>854</v>
      </c>
      <c r="F17" s="7">
        <v>1</v>
      </c>
      <c r="G17" s="51"/>
      <c r="H17" s="149">
        <v>1843.95</v>
      </c>
      <c r="I17" s="161"/>
      <c r="K17" s="206"/>
    </row>
    <row r="18" spans="1:12">
      <c r="A18" s="7">
        <v>14</v>
      </c>
      <c r="B18" s="221" t="s">
        <v>666</v>
      </c>
      <c r="C18" s="37" t="s">
        <v>747</v>
      </c>
      <c r="D18" s="243" t="s">
        <v>787</v>
      </c>
      <c r="E18" s="161" t="s">
        <v>854</v>
      </c>
      <c r="F18" s="7">
        <v>1</v>
      </c>
      <c r="G18" s="51"/>
      <c r="H18" s="149">
        <v>996.53</v>
      </c>
      <c r="I18" s="161"/>
      <c r="K18" s="206"/>
    </row>
    <row r="19" spans="1:12" s="1" customFormat="1">
      <c r="A19" s="7">
        <v>15</v>
      </c>
      <c r="B19" s="221" t="s">
        <v>667</v>
      </c>
      <c r="C19" s="29" t="s">
        <v>466</v>
      </c>
      <c r="D19" s="242" t="s">
        <v>431</v>
      </c>
      <c r="E19" s="161" t="s">
        <v>853</v>
      </c>
      <c r="F19" s="7">
        <v>2</v>
      </c>
      <c r="G19" s="51"/>
      <c r="H19" s="189">
        <v>1881.68</v>
      </c>
      <c r="I19" s="161"/>
      <c r="K19" s="206"/>
      <c r="L19"/>
    </row>
    <row r="20" spans="1:12">
      <c r="A20" s="7">
        <v>16</v>
      </c>
      <c r="B20" s="221" t="s">
        <v>668</v>
      </c>
      <c r="C20" s="37" t="s">
        <v>748</v>
      </c>
      <c r="D20" s="243" t="s">
        <v>788</v>
      </c>
      <c r="E20" s="161" t="s">
        <v>852</v>
      </c>
      <c r="F20" s="7"/>
      <c r="G20" s="51"/>
      <c r="H20" s="149">
        <v>1107.1600000000001</v>
      </c>
      <c r="I20" s="161"/>
      <c r="K20" s="206"/>
    </row>
    <row r="21" spans="1:12">
      <c r="A21" s="7">
        <v>17</v>
      </c>
      <c r="B21" s="221" t="s">
        <v>669</v>
      </c>
      <c r="C21" s="37" t="s">
        <v>749</v>
      </c>
      <c r="D21" s="243" t="s">
        <v>789</v>
      </c>
      <c r="E21" s="161" t="s">
        <v>852</v>
      </c>
      <c r="F21" s="7"/>
      <c r="G21" s="51"/>
      <c r="H21" s="149">
        <v>539.67999999999995</v>
      </c>
      <c r="I21" s="161"/>
      <c r="K21" s="206"/>
    </row>
    <row r="22" spans="1:12">
      <c r="A22" s="7">
        <v>18</v>
      </c>
      <c r="B22" s="221" t="s">
        <v>729</v>
      </c>
      <c r="C22" s="37" t="s">
        <v>750</v>
      </c>
      <c r="D22" s="243" t="s">
        <v>790</v>
      </c>
      <c r="E22" s="161" t="s">
        <v>852</v>
      </c>
      <c r="F22" s="7"/>
      <c r="G22" s="51"/>
      <c r="H22" s="149">
        <v>618.62</v>
      </c>
      <c r="I22" s="161"/>
      <c r="K22" s="206"/>
    </row>
    <row r="23" spans="1:12">
      <c r="A23" s="7">
        <v>19</v>
      </c>
      <c r="B23" s="221" t="s">
        <v>671</v>
      </c>
      <c r="C23" s="29" t="s">
        <v>751</v>
      </c>
      <c r="D23" s="242" t="s">
        <v>791</v>
      </c>
      <c r="E23" s="161" t="s">
        <v>852</v>
      </c>
      <c r="F23" s="7"/>
      <c r="G23" s="51"/>
      <c r="H23" s="149">
        <v>1489.47</v>
      </c>
      <c r="I23" s="161"/>
      <c r="K23" s="206"/>
    </row>
    <row r="24" spans="1:12">
      <c r="A24" s="7">
        <v>20</v>
      </c>
      <c r="B24" s="221" t="s">
        <v>672</v>
      </c>
      <c r="C24" s="29" t="s">
        <v>752</v>
      </c>
      <c r="D24" s="242" t="s">
        <v>792</v>
      </c>
      <c r="E24" s="161" t="s">
        <v>853</v>
      </c>
      <c r="F24" s="7">
        <v>2</v>
      </c>
      <c r="G24" s="51"/>
      <c r="H24" s="149">
        <v>1414.17</v>
      </c>
      <c r="I24" s="161"/>
      <c r="K24" s="206"/>
    </row>
    <row r="25" spans="1:12">
      <c r="A25" s="7">
        <v>21</v>
      </c>
      <c r="B25" s="221" t="s">
        <v>673</v>
      </c>
      <c r="C25" s="29" t="s">
        <v>752</v>
      </c>
      <c r="D25" s="242" t="s">
        <v>793</v>
      </c>
      <c r="E25" s="161" t="s">
        <v>853</v>
      </c>
      <c r="F25" s="7">
        <v>2</v>
      </c>
      <c r="G25" s="51"/>
      <c r="H25" s="149">
        <v>1382.3899999999999</v>
      </c>
      <c r="I25" s="161"/>
      <c r="K25" s="206"/>
    </row>
    <row r="26" spans="1:12">
      <c r="A26" s="7">
        <v>22</v>
      </c>
      <c r="B26" s="221" t="s">
        <v>674</v>
      </c>
      <c r="C26" s="29" t="s">
        <v>753</v>
      </c>
      <c r="D26" s="242" t="s">
        <v>794</v>
      </c>
      <c r="E26" s="161" t="s">
        <v>852</v>
      </c>
      <c r="F26" s="7"/>
      <c r="G26" s="51"/>
      <c r="H26" s="149">
        <v>602.73</v>
      </c>
      <c r="I26" s="161"/>
      <c r="K26" s="206"/>
    </row>
    <row r="27" spans="1:12">
      <c r="A27" s="7">
        <v>23</v>
      </c>
      <c r="B27" s="221" t="s">
        <v>715</v>
      </c>
      <c r="C27" s="61" t="s">
        <v>754</v>
      </c>
      <c r="D27" s="244" t="s">
        <v>795</v>
      </c>
      <c r="E27" s="161" t="s">
        <v>852</v>
      </c>
      <c r="F27" s="7"/>
      <c r="G27" s="51"/>
      <c r="H27" s="149">
        <v>1209.94</v>
      </c>
      <c r="I27" s="161"/>
      <c r="K27" s="206"/>
    </row>
    <row r="28" spans="1:12">
      <c r="A28" s="7">
        <v>24</v>
      </c>
      <c r="B28" s="221" t="s">
        <v>716</v>
      </c>
      <c r="C28" s="29" t="s">
        <v>439</v>
      </c>
      <c r="D28" s="242" t="s">
        <v>505</v>
      </c>
      <c r="E28" s="161" t="s">
        <v>852</v>
      </c>
      <c r="F28" s="7"/>
      <c r="G28" s="51"/>
      <c r="H28" s="149">
        <v>1489.47</v>
      </c>
      <c r="I28" s="161"/>
      <c r="K28" s="206"/>
    </row>
    <row r="29" spans="1:12">
      <c r="A29" s="7">
        <v>25</v>
      </c>
      <c r="B29" s="221" t="s">
        <v>675</v>
      </c>
      <c r="C29" s="29" t="s">
        <v>755</v>
      </c>
      <c r="D29" s="242" t="s">
        <v>796</v>
      </c>
      <c r="E29" s="161" t="s">
        <v>852</v>
      </c>
      <c r="F29" s="7"/>
      <c r="G29" s="51"/>
      <c r="H29" s="149">
        <v>646.42999999999995</v>
      </c>
      <c r="I29" s="161"/>
      <c r="K29" s="206"/>
    </row>
    <row r="30" spans="1:12">
      <c r="A30" s="7">
        <v>26</v>
      </c>
      <c r="B30" s="221" t="s">
        <v>676</v>
      </c>
      <c r="C30" s="29" t="s">
        <v>755</v>
      </c>
      <c r="D30" s="242" t="s">
        <v>797</v>
      </c>
      <c r="E30" s="161" t="s">
        <v>852</v>
      </c>
      <c r="F30" s="7"/>
      <c r="G30" s="51"/>
      <c r="H30" s="149">
        <v>1012.83</v>
      </c>
      <c r="I30" s="161"/>
      <c r="K30" s="206"/>
    </row>
    <row r="31" spans="1:12">
      <c r="A31" s="7">
        <v>27</v>
      </c>
      <c r="B31" s="221" t="s">
        <v>677</v>
      </c>
      <c r="C31" s="37" t="s">
        <v>755</v>
      </c>
      <c r="D31" s="243" t="s">
        <v>798</v>
      </c>
      <c r="E31" s="161" t="s">
        <v>853</v>
      </c>
      <c r="F31" s="7">
        <v>2</v>
      </c>
      <c r="G31" s="51"/>
      <c r="H31" s="149">
        <v>1741.85</v>
      </c>
      <c r="I31" s="161"/>
      <c r="K31" s="206"/>
    </row>
    <row r="32" spans="1:12">
      <c r="A32" s="7">
        <v>28</v>
      </c>
      <c r="B32" s="221" t="s">
        <v>678</v>
      </c>
      <c r="C32" s="37" t="s">
        <v>756</v>
      </c>
      <c r="D32" s="243" t="s">
        <v>799</v>
      </c>
      <c r="E32" s="161" t="s">
        <v>852</v>
      </c>
      <c r="F32" s="7"/>
      <c r="G32" s="51"/>
      <c r="H32" s="149">
        <v>1489.47</v>
      </c>
      <c r="I32" s="161"/>
      <c r="K32" s="206"/>
    </row>
    <row r="33" spans="1:11">
      <c r="A33" s="7">
        <v>29</v>
      </c>
      <c r="B33" s="221" t="s">
        <v>679</v>
      </c>
      <c r="C33" s="37" t="s">
        <v>756</v>
      </c>
      <c r="D33" s="243" t="s">
        <v>800</v>
      </c>
      <c r="E33" s="161" t="s">
        <v>852</v>
      </c>
      <c r="F33" s="7"/>
      <c r="G33" s="51"/>
      <c r="H33" s="149">
        <v>1426.41</v>
      </c>
      <c r="I33" s="161"/>
      <c r="K33" s="206"/>
    </row>
    <row r="34" spans="1:11">
      <c r="A34" s="7">
        <v>30</v>
      </c>
      <c r="B34" s="221" t="s">
        <v>680</v>
      </c>
      <c r="C34" s="29" t="s">
        <v>444</v>
      </c>
      <c r="D34" s="242" t="s">
        <v>506</v>
      </c>
      <c r="E34" s="161" t="s">
        <v>852</v>
      </c>
      <c r="F34" s="7"/>
      <c r="G34" s="51"/>
      <c r="H34" s="149">
        <v>847.01</v>
      </c>
      <c r="I34" s="161"/>
      <c r="K34" s="206"/>
    </row>
    <row r="35" spans="1:11">
      <c r="A35" s="7">
        <v>33</v>
      </c>
      <c r="B35" s="221" t="s">
        <v>683</v>
      </c>
      <c r="C35" s="29" t="s">
        <v>757</v>
      </c>
      <c r="D35" s="242" t="s">
        <v>803</v>
      </c>
      <c r="E35" s="161" t="s">
        <v>852</v>
      </c>
      <c r="F35" s="7"/>
      <c r="G35" s="51"/>
      <c r="H35" s="149">
        <v>594.79</v>
      </c>
      <c r="I35" s="161"/>
      <c r="J35" s="206"/>
      <c r="K35" s="206"/>
    </row>
    <row r="36" spans="1:11">
      <c r="A36" s="7">
        <v>32</v>
      </c>
      <c r="B36" s="221" t="s">
        <v>682</v>
      </c>
      <c r="C36" s="29" t="s">
        <v>757</v>
      </c>
      <c r="D36" s="242" t="s">
        <v>802</v>
      </c>
      <c r="E36" s="161" t="s">
        <v>854</v>
      </c>
      <c r="F36" s="7">
        <v>1</v>
      </c>
      <c r="G36" s="51"/>
      <c r="H36" s="149">
        <v>1000.51</v>
      </c>
      <c r="I36" s="161"/>
      <c r="K36" s="206"/>
    </row>
    <row r="37" spans="1:11">
      <c r="A37" s="7">
        <v>31</v>
      </c>
      <c r="B37" s="221" t="s">
        <v>681</v>
      </c>
      <c r="C37" s="29" t="s">
        <v>757</v>
      </c>
      <c r="D37" s="242" t="s">
        <v>801</v>
      </c>
      <c r="E37" s="161" t="s">
        <v>856</v>
      </c>
      <c r="F37" s="7">
        <v>2</v>
      </c>
      <c r="G37" s="51"/>
      <c r="H37" s="149">
        <v>2004.98</v>
      </c>
      <c r="I37" s="161"/>
      <c r="K37" s="206"/>
    </row>
    <row r="38" spans="1:11">
      <c r="A38" s="7">
        <v>34</v>
      </c>
      <c r="B38" s="221" t="s">
        <v>684</v>
      </c>
      <c r="C38" s="37" t="s">
        <v>476</v>
      </c>
      <c r="D38" s="243" t="s">
        <v>804</v>
      </c>
      <c r="E38" s="161" t="s">
        <v>852</v>
      </c>
      <c r="F38" s="7"/>
      <c r="G38" s="51"/>
      <c r="H38" s="149">
        <v>610.67999999999995</v>
      </c>
      <c r="I38" s="161"/>
      <c r="K38" s="206"/>
    </row>
    <row r="39" spans="1:11">
      <c r="A39" s="7">
        <v>35</v>
      </c>
      <c r="B39" s="221" t="s">
        <v>686</v>
      </c>
      <c r="C39" s="29" t="s">
        <v>758</v>
      </c>
      <c r="D39" s="242" t="s">
        <v>805</v>
      </c>
      <c r="E39" s="161" t="s">
        <v>852</v>
      </c>
      <c r="F39" s="7"/>
      <c r="G39" s="51"/>
      <c r="H39" s="149">
        <v>539.67999999999995</v>
      </c>
      <c r="I39" s="161"/>
      <c r="K39" s="206"/>
    </row>
    <row r="40" spans="1:11">
      <c r="A40" s="7">
        <v>36</v>
      </c>
      <c r="B40" s="221" t="s">
        <v>687</v>
      </c>
      <c r="C40" s="29" t="s">
        <v>478</v>
      </c>
      <c r="D40" s="242" t="s">
        <v>448</v>
      </c>
      <c r="E40" s="161" t="s">
        <v>852</v>
      </c>
      <c r="F40" s="7"/>
      <c r="G40" s="51"/>
      <c r="H40" s="149">
        <v>1489.47</v>
      </c>
      <c r="I40" s="161"/>
      <c r="K40" s="206"/>
    </row>
    <row r="41" spans="1:11">
      <c r="A41" s="7">
        <v>37</v>
      </c>
      <c r="B41" s="221" t="s">
        <v>688</v>
      </c>
      <c r="C41" s="37" t="s">
        <v>759</v>
      </c>
      <c r="D41" s="243" t="s">
        <v>806</v>
      </c>
      <c r="E41" s="161" t="s">
        <v>852</v>
      </c>
      <c r="F41" s="7"/>
      <c r="G41" s="51"/>
      <c r="H41" s="149">
        <v>602.73</v>
      </c>
      <c r="I41" s="161"/>
      <c r="K41" s="206"/>
    </row>
    <row r="42" spans="1:11">
      <c r="A42" s="7">
        <v>38</v>
      </c>
      <c r="B42" s="221" t="s">
        <v>689</v>
      </c>
      <c r="C42" s="29" t="s">
        <v>760</v>
      </c>
      <c r="D42" s="242" t="s">
        <v>807</v>
      </c>
      <c r="E42" s="161" t="s">
        <v>852</v>
      </c>
      <c r="F42" s="7"/>
      <c r="G42" s="51"/>
      <c r="H42" s="149">
        <v>508.4</v>
      </c>
      <c r="I42" s="161"/>
      <c r="K42" s="206"/>
    </row>
    <row r="43" spans="1:11">
      <c r="A43" s="7">
        <v>39</v>
      </c>
      <c r="B43" s="221" t="s">
        <v>690</v>
      </c>
      <c r="C43" s="29" t="s">
        <v>761</v>
      </c>
      <c r="D43" s="242" t="s">
        <v>808</v>
      </c>
      <c r="E43" s="161" t="s">
        <v>852</v>
      </c>
      <c r="F43" s="7"/>
      <c r="G43" s="51"/>
      <c r="H43" s="149">
        <v>539.67999999999995</v>
      </c>
      <c r="I43" s="161"/>
      <c r="K43" s="206"/>
    </row>
    <row r="44" spans="1:11">
      <c r="A44" s="7">
        <v>40</v>
      </c>
      <c r="B44" s="221" t="s">
        <v>691</v>
      </c>
      <c r="C44" s="37" t="s">
        <v>480</v>
      </c>
      <c r="D44" s="243" t="s">
        <v>809</v>
      </c>
      <c r="E44" s="161" t="s">
        <v>853</v>
      </c>
      <c r="F44" s="7">
        <v>2</v>
      </c>
      <c r="G44" s="51"/>
      <c r="H44" s="150">
        <v>2023.68</v>
      </c>
      <c r="I44" s="162" t="s">
        <v>738</v>
      </c>
      <c r="K44" s="206"/>
    </row>
    <row r="45" spans="1:11">
      <c r="A45" s="7">
        <v>41</v>
      </c>
      <c r="B45" s="221" t="s">
        <v>692</v>
      </c>
      <c r="C45" s="29" t="s">
        <v>762</v>
      </c>
      <c r="D45" s="242" t="s">
        <v>810</v>
      </c>
      <c r="E45" s="161" t="s">
        <v>854</v>
      </c>
      <c r="F45" s="7">
        <v>1</v>
      </c>
      <c r="G45" s="51"/>
      <c r="H45" s="149">
        <v>1008.45</v>
      </c>
      <c r="I45" s="161"/>
      <c r="K45" s="206"/>
    </row>
    <row r="46" spans="1:11">
      <c r="A46" s="7">
        <v>42</v>
      </c>
      <c r="B46" s="221" t="s">
        <v>693</v>
      </c>
      <c r="C46" s="29" t="s">
        <v>763</v>
      </c>
      <c r="D46" s="242" t="s">
        <v>811</v>
      </c>
      <c r="E46" s="161" t="s">
        <v>852</v>
      </c>
      <c r="F46" s="7"/>
      <c r="G46" s="51"/>
      <c r="H46" s="149">
        <v>606.71</v>
      </c>
      <c r="I46" s="161"/>
      <c r="K46" s="206"/>
    </row>
    <row r="47" spans="1:11">
      <c r="A47" s="7">
        <v>43</v>
      </c>
      <c r="B47" s="221" t="s">
        <v>694</v>
      </c>
      <c r="C47" s="29" t="s">
        <v>764</v>
      </c>
      <c r="D47" s="242" t="s">
        <v>812</v>
      </c>
      <c r="E47" s="161" t="s">
        <v>854</v>
      </c>
      <c r="F47" s="7">
        <v>1</v>
      </c>
      <c r="G47" s="51"/>
      <c r="H47" s="150">
        <v>1169.81</v>
      </c>
      <c r="I47" s="162" t="s">
        <v>719</v>
      </c>
      <c r="J47" s="206"/>
      <c r="K47" s="206"/>
    </row>
    <row r="48" spans="1:11">
      <c r="A48" s="7">
        <v>44</v>
      </c>
      <c r="B48" s="221" t="s">
        <v>695</v>
      </c>
      <c r="C48" s="29" t="s">
        <v>765</v>
      </c>
      <c r="D48" s="242" t="s">
        <v>813</v>
      </c>
      <c r="E48" s="161" t="s">
        <v>854</v>
      </c>
      <c r="F48" s="7">
        <v>1</v>
      </c>
      <c r="G48" s="51"/>
      <c r="H48" s="149">
        <v>1406.63</v>
      </c>
      <c r="I48" s="161"/>
      <c r="K48" s="206"/>
    </row>
    <row r="49" spans="1:11">
      <c r="A49" s="7">
        <v>45</v>
      </c>
      <c r="B49" s="221" t="s">
        <v>696</v>
      </c>
      <c r="C49" s="37" t="s">
        <v>766</v>
      </c>
      <c r="D49" s="243" t="s">
        <v>814</v>
      </c>
      <c r="E49" s="161" t="s">
        <v>852</v>
      </c>
      <c r="F49" s="7"/>
      <c r="G49" s="51"/>
      <c r="H49" s="149">
        <v>1158.3</v>
      </c>
      <c r="I49" s="161"/>
      <c r="K49" s="206"/>
    </row>
    <row r="50" spans="1:11">
      <c r="A50" s="7">
        <v>46</v>
      </c>
      <c r="B50" s="221" t="s">
        <v>697</v>
      </c>
      <c r="C50" s="37" t="s">
        <v>767</v>
      </c>
      <c r="D50" s="243" t="s">
        <v>815</v>
      </c>
      <c r="E50" s="161" t="s">
        <v>854</v>
      </c>
      <c r="F50" s="7">
        <v>1</v>
      </c>
      <c r="G50" s="51"/>
      <c r="H50" s="149">
        <v>1706.43</v>
      </c>
      <c r="I50" s="161"/>
      <c r="K50" s="206"/>
    </row>
    <row r="51" spans="1:11">
      <c r="A51" s="7">
        <v>47</v>
      </c>
      <c r="B51" s="221" t="s">
        <v>732</v>
      </c>
      <c r="C51" s="37" t="s">
        <v>768</v>
      </c>
      <c r="D51" s="243" t="s">
        <v>816</v>
      </c>
      <c r="E51" s="161" t="s">
        <v>852</v>
      </c>
      <c r="F51" s="7"/>
      <c r="G51" s="51"/>
      <c r="H51" s="149">
        <v>1465.63</v>
      </c>
      <c r="I51" s="161" t="s">
        <v>733</v>
      </c>
      <c r="K51" s="206"/>
    </row>
    <row r="52" spans="1:11">
      <c r="A52" s="7">
        <v>49</v>
      </c>
      <c r="B52" s="223" t="s">
        <v>698</v>
      </c>
      <c r="C52" t="s">
        <v>769</v>
      </c>
      <c r="D52" s="242" t="s">
        <v>817</v>
      </c>
      <c r="E52" s="161" t="s">
        <v>852</v>
      </c>
      <c r="F52" s="7"/>
      <c r="G52" s="51"/>
      <c r="H52" s="149">
        <v>587.34</v>
      </c>
      <c r="I52" s="161"/>
      <c r="K52" s="206"/>
    </row>
    <row r="53" spans="1:11">
      <c r="A53" s="7">
        <v>48</v>
      </c>
      <c r="B53" s="224" t="s">
        <v>842</v>
      </c>
      <c r="C53" s="124" t="s">
        <v>769</v>
      </c>
      <c r="D53" s="243" t="s">
        <v>843</v>
      </c>
      <c r="E53" s="161" t="s">
        <v>852</v>
      </c>
      <c r="F53" s="7"/>
      <c r="G53" s="51"/>
      <c r="H53" s="149">
        <v>0</v>
      </c>
      <c r="I53" s="161" t="s">
        <v>836</v>
      </c>
      <c r="K53" s="206"/>
    </row>
    <row r="54" spans="1:11">
      <c r="A54" s="7">
        <v>50</v>
      </c>
      <c r="B54" s="221" t="s">
        <v>699</v>
      </c>
      <c r="C54" s="29" t="s">
        <v>770</v>
      </c>
      <c r="D54" s="242" t="s">
        <v>818</v>
      </c>
      <c r="E54" s="161" t="s">
        <v>852</v>
      </c>
      <c r="F54" s="7"/>
      <c r="G54" s="51"/>
      <c r="H54" s="149">
        <v>1465.63</v>
      </c>
      <c r="I54" s="161"/>
      <c r="K54" s="206"/>
    </row>
    <row r="55" spans="1:11">
      <c r="A55" s="7">
        <v>51</v>
      </c>
      <c r="B55" s="221" t="s">
        <v>700</v>
      </c>
      <c r="C55" s="37" t="s">
        <v>771</v>
      </c>
      <c r="D55" s="243" t="s">
        <v>819</v>
      </c>
      <c r="E55" s="161" t="s">
        <v>854</v>
      </c>
      <c r="F55" s="7">
        <v>1</v>
      </c>
      <c r="G55" s="51"/>
      <c r="H55" s="149">
        <v>1706.43</v>
      </c>
      <c r="I55" s="161"/>
      <c r="K55" s="206"/>
    </row>
    <row r="56" spans="1:11">
      <c r="A56" s="7">
        <v>52</v>
      </c>
      <c r="B56" s="221" t="s">
        <v>736</v>
      </c>
      <c r="C56" s="37" t="s">
        <v>772</v>
      </c>
      <c r="D56" s="243" t="s">
        <v>820</v>
      </c>
      <c r="E56" s="161" t="s">
        <v>852</v>
      </c>
      <c r="F56" s="7"/>
      <c r="G56" s="51"/>
      <c r="H56" s="149">
        <v>520.32000000000005</v>
      </c>
      <c r="I56" s="161" t="s">
        <v>726</v>
      </c>
      <c r="K56" s="206"/>
    </row>
    <row r="57" spans="1:11">
      <c r="A57" s="7">
        <v>53</v>
      </c>
      <c r="B57" s="221" t="s">
        <v>702</v>
      </c>
      <c r="C57" s="29" t="s">
        <v>487</v>
      </c>
      <c r="D57" s="242" t="s">
        <v>516</v>
      </c>
      <c r="E57" s="161" t="s">
        <v>852</v>
      </c>
      <c r="F57" s="7"/>
      <c r="G57" s="51"/>
      <c r="H57" s="149">
        <v>925.95</v>
      </c>
      <c r="I57" s="161"/>
      <c r="K57" s="206"/>
    </row>
    <row r="58" spans="1:11">
      <c r="A58" s="7">
        <v>54</v>
      </c>
      <c r="B58" s="221" t="s">
        <v>703</v>
      </c>
      <c r="C58" s="29" t="s">
        <v>488</v>
      </c>
      <c r="D58" s="242" t="s">
        <v>517</v>
      </c>
      <c r="E58" s="161" t="s">
        <v>852</v>
      </c>
      <c r="F58" s="7"/>
      <c r="G58" s="51"/>
      <c r="H58" s="149">
        <v>1489.47</v>
      </c>
      <c r="I58" s="161"/>
      <c r="K58" s="206"/>
    </row>
    <row r="59" spans="1:11">
      <c r="A59" s="7">
        <v>55</v>
      </c>
      <c r="B59" s="221" t="s">
        <v>704</v>
      </c>
      <c r="C59" s="29" t="s">
        <v>773</v>
      </c>
      <c r="D59" s="242" t="s">
        <v>821</v>
      </c>
      <c r="E59" s="161" t="s">
        <v>852</v>
      </c>
      <c r="F59" s="7"/>
      <c r="G59" s="51"/>
      <c r="H59" s="149">
        <v>1489.47</v>
      </c>
      <c r="I59" s="161"/>
      <c r="K59" s="206"/>
    </row>
    <row r="60" spans="1:11">
      <c r="A60" s="7">
        <v>56</v>
      </c>
      <c r="B60" s="221" t="s">
        <v>705</v>
      </c>
      <c r="C60" s="29" t="s">
        <v>491</v>
      </c>
      <c r="D60" s="242" t="s">
        <v>456</v>
      </c>
      <c r="E60" s="161" t="s">
        <v>852</v>
      </c>
      <c r="F60" s="7"/>
      <c r="G60" s="51"/>
      <c r="H60" s="149">
        <v>744.73</v>
      </c>
      <c r="I60" s="161"/>
      <c r="K60" s="206"/>
    </row>
    <row r="61" spans="1:11">
      <c r="A61" s="7">
        <v>57</v>
      </c>
      <c r="B61" s="221" t="s">
        <v>706</v>
      </c>
      <c r="C61" s="37" t="s">
        <v>774</v>
      </c>
      <c r="D61" s="243" t="s">
        <v>822</v>
      </c>
      <c r="E61" s="161" t="s">
        <v>852</v>
      </c>
      <c r="F61" s="7"/>
      <c r="G61" s="51"/>
      <c r="H61" s="149">
        <v>618.62</v>
      </c>
      <c r="I61" s="161"/>
      <c r="K61" s="206"/>
    </row>
    <row r="62" spans="1:11">
      <c r="A62" s="7">
        <v>58</v>
      </c>
      <c r="B62" s="221" t="s">
        <v>707</v>
      </c>
      <c r="C62" s="29" t="s">
        <v>774</v>
      </c>
      <c r="D62" s="242" t="s">
        <v>823</v>
      </c>
      <c r="E62" s="161" t="s">
        <v>854</v>
      </c>
      <c r="F62" s="7">
        <v>1</v>
      </c>
      <c r="G62" s="51"/>
      <c r="H62" s="149">
        <v>1272.5</v>
      </c>
      <c r="I62" s="161"/>
      <c r="K62" s="206"/>
    </row>
    <row r="63" spans="1:11">
      <c r="A63" s="7">
        <v>59</v>
      </c>
      <c r="B63" s="221" t="s">
        <v>708</v>
      </c>
      <c r="C63" s="37" t="s">
        <v>775</v>
      </c>
      <c r="D63" s="243" t="s">
        <v>824</v>
      </c>
      <c r="E63" s="161" t="s">
        <v>854</v>
      </c>
      <c r="F63" s="7">
        <v>1</v>
      </c>
      <c r="G63" s="51"/>
      <c r="H63" s="149">
        <v>1558.47</v>
      </c>
      <c r="I63" s="161"/>
      <c r="K63" s="206"/>
    </row>
    <row r="64" spans="1:11">
      <c r="A64" s="7">
        <v>60</v>
      </c>
      <c r="B64" s="221" t="s">
        <v>709</v>
      </c>
      <c r="C64" s="37" t="s">
        <v>776</v>
      </c>
      <c r="D64" s="243" t="s">
        <v>825</v>
      </c>
      <c r="E64" s="161" t="s">
        <v>852</v>
      </c>
      <c r="F64" s="7"/>
      <c r="G64" s="51"/>
      <c r="H64" s="149">
        <v>594.79</v>
      </c>
      <c r="I64" s="161"/>
      <c r="K64" s="206"/>
    </row>
    <row r="65" spans="1:12">
      <c r="A65" s="7">
        <v>61</v>
      </c>
      <c r="B65" s="221" t="s">
        <v>710</v>
      </c>
      <c r="C65" s="29" t="s">
        <v>777</v>
      </c>
      <c r="D65" s="242" t="s">
        <v>826</v>
      </c>
      <c r="E65" s="161" t="s">
        <v>852</v>
      </c>
      <c r="F65" s="7"/>
      <c r="G65" s="51"/>
      <c r="H65" s="149">
        <v>1385.19</v>
      </c>
      <c r="I65" s="161"/>
      <c r="K65" s="206"/>
    </row>
    <row r="66" spans="1:12">
      <c r="A66" s="7">
        <v>62</v>
      </c>
      <c r="B66" s="221" t="s">
        <v>711</v>
      </c>
      <c r="C66" s="29" t="s">
        <v>777</v>
      </c>
      <c r="D66" s="242" t="s">
        <v>827</v>
      </c>
      <c r="E66" s="161" t="s">
        <v>853</v>
      </c>
      <c r="F66" s="7">
        <v>2</v>
      </c>
      <c r="G66" s="51"/>
      <c r="H66" s="149">
        <v>1681.28</v>
      </c>
      <c r="I66" s="161"/>
      <c r="K66" s="206"/>
    </row>
    <row r="67" spans="1:12">
      <c r="A67" s="7">
        <v>63</v>
      </c>
      <c r="B67" s="221" t="s">
        <v>712</v>
      </c>
      <c r="C67" s="37" t="s">
        <v>778</v>
      </c>
      <c r="D67" s="243" t="s">
        <v>828</v>
      </c>
      <c r="E67" s="161" t="s">
        <v>852</v>
      </c>
      <c r="F67" s="7"/>
      <c r="G67" s="51"/>
      <c r="H67" s="225">
        <v>587.34</v>
      </c>
      <c r="I67" s="161"/>
      <c r="K67" s="206"/>
    </row>
    <row r="68" spans="1:12">
      <c r="A68" s="7">
        <v>64</v>
      </c>
      <c r="B68" s="221" t="s">
        <v>713</v>
      </c>
      <c r="C68" s="37" t="s">
        <v>778</v>
      </c>
      <c r="D68" s="243" t="s">
        <v>829</v>
      </c>
      <c r="E68" s="161" t="s">
        <v>856</v>
      </c>
      <c r="F68" s="7">
        <v>2</v>
      </c>
      <c r="G68" s="51"/>
      <c r="H68" s="189">
        <v>2060.09</v>
      </c>
      <c r="I68" s="161"/>
      <c r="J68" s="206"/>
      <c r="K68" s="206"/>
    </row>
    <row r="69" spans="1:12">
      <c r="A69" s="113"/>
      <c r="B69" s="113"/>
      <c r="C69" s="102"/>
      <c r="D69" s="102"/>
      <c r="E69" s="93"/>
      <c r="F69" s="273"/>
      <c r="G69" s="115"/>
      <c r="H69" s="117"/>
      <c r="I69" s="232"/>
      <c r="K69" s="15"/>
      <c r="L69" s="15"/>
    </row>
    <row r="70" spans="1:12">
      <c r="A70" s="458" t="s">
        <v>652</v>
      </c>
      <c r="B70" s="459"/>
      <c r="C70" s="459"/>
      <c r="D70" s="459"/>
      <c r="E70" s="460"/>
      <c r="F70" s="274"/>
      <c r="G70" s="208"/>
      <c r="H70" s="111">
        <f>SUM(H5:H68)</f>
        <v>68167.38</v>
      </c>
      <c r="I70" s="233"/>
    </row>
    <row r="71" spans="1:12">
      <c r="A71" s="431" t="s">
        <v>258</v>
      </c>
      <c r="B71" s="453"/>
      <c r="C71" s="432"/>
      <c r="D71" s="141"/>
      <c r="E71" s="161">
        <f>COUNTA(C5:C68)</f>
        <v>64</v>
      </c>
      <c r="F71" s="7"/>
      <c r="G71" s="7"/>
      <c r="H71" s="52"/>
      <c r="I71" s="161"/>
    </row>
    <row r="72" spans="1:12">
      <c r="A72" s="271"/>
      <c r="B72" s="272"/>
      <c r="C72" s="141" t="s">
        <v>930</v>
      </c>
      <c r="D72" s="141"/>
      <c r="E72" s="161">
        <v>4</v>
      </c>
      <c r="F72" s="7"/>
      <c r="G72" s="7"/>
      <c r="H72" s="52"/>
      <c r="I72" s="161"/>
    </row>
    <row r="73" spans="1:12">
      <c r="A73" s="431" t="s">
        <v>931</v>
      </c>
      <c r="B73" s="453"/>
      <c r="C73" s="432"/>
      <c r="D73" s="141"/>
      <c r="E73" s="196">
        <f>SUM(F5:F68)</f>
        <v>32</v>
      </c>
      <c r="F73" s="58"/>
      <c r="G73" s="58"/>
      <c r="H73" s="52"/>
      <c r="I73" s="161"/>
    </row>
    <row r="74" spans="1:12">
      <c r="A74" s="433" t="s">
        <v>246</v>
      </c>
      <c r="B74" s="454"/>
      <c r="C74" s="434"/>
      <c r="D74" s="92"/>
      <c r="E74" s="187">
        <f>E71+E73+E72</f>
        <v>100</v>
      </c>
      <c r="F74" s="86"/>
      <c r="G74" s="86"/>
      <c r="H74" s="52"/>
      <c r="I74" s="161"/>
    </row>
    <row r="75" spans="1:12">
      <c r="A75" s="455" t="s">
        <v>830</v>
      </c>
      <c r="B75" s="456"/>
      <c r="C75" s="456"/>
      <c r="D75" s="456"/>
      <c r="E75" s="457"/>
      <c r="F75" s="275"/>
      <c r="G75" s="209"/>
      <c r="H75" s="184">
        <f>SUM(H76:H86)</f>
        <v>3410</v>
      </c>
      <c r="I75" s="234"/>
      <c r="K75" s="15"/>
    </row>
    <row r="76" spans="1:12" s="6" customFormat="1">
      <c r="A76" s="187"/>
      <c r="B76" s="222" t="s">
        <v>741</v>
      </c>
      <c r="C76" t="s">
        <v>742</v>
      </c>
      <c r="D76" t="s">
        <v>779</v>
      </c>
      <c r="E76" s="161"/>
      <c r="F76" s="7"/>
      <c r="G76" s="7"/>
      <c r="H76" s="226">
        <v>1033.6199999999999</v>
      </c>
      <c r="I76" s="240">
        <v>44866</v>
      </c>
      <c r="K76" s="197"/>
    </row>
    <row r="77" spans="1:12" s="6" customFormat="1">
      <c r="A77" s="187"/>
      <c r="B77" s="222" t="s">
        <v>741</v>
      </c>
      <c r="C77" t="s">
        <v>742</v>
      </c>
      <c r="D77" t="s">
        <v>779</v>
      </c>
      <c r="E77" s="161"/>
      <c r="F77" s="7"/>
      <c r="G77" s="7"/>
      <c r="H77" s="226">
        <v>1033.6199999999999</v>
      </c>
      <c r="I77" s="240">
        <v>44896</v>
      </c>
      <c r="K77" s="197"/>
    </row>
    <row r="78" spans="1:12" s="6" customFormat="1">
      <c r="A78" s="187"/>
      <c r="B78" s="221" t="s">
        <v>729</v>
      </c>
      <c r="C78" s="37" t="s">
        <v>750</v>
      </c>
      <c r="D78" s="37" t="s">
        <v>790</v>
      </c>
      <c r="E78" s="161"/>
      <c r="F78" s="7"/>
      <c r="G78" s="7"/>
      <c r="H78" s="226">
        <v>573.82000000000005</v>
      </c>
      <c r="I78" s="240">
        <v>44866</v>
      </c>
      <c r="K78" s="197"/>
    </row>
    <row r="79" spans="1:12" s="6" customFormat="1">
      <c r="A79" s="187"/>
      <c r="B79" s="221" t="s">
        <v>729</v>
      </c>
      <c r="C79" s="37" t="s">
        <v>750</v>
      </c>
      <c r="D79" s="37" t="s">
        <v>790</v>
      </c>
      <c r="E79" s="161"/>
      <c r="F79" s="7"/>
      <c r="G79" s="7"/>
      <c r="H79" s="226">
        <v>573.82000000000005</v>
      </c>
      <c r="I79" s="240">
        <v>44896</v>
      </c>
      <c r="K79" s="197"/>
    </row>
    <row r="80" spans="1:12" s="6" customFormat="1">
      <c r="A80" s="187"/>
      <c r="B80" s="221" t="s">
        <v>694</v>
      </c>
      <c r="C80" s="29" t="s">
        <v>764</v>
      </c>
      <c r="D80" s="29" t="s">
        <v>812</v>
      </c>
      <c r="E80" s="161"/>
      <c r="F80" s="7"/>
      <c r="G80" s="7"/>
      <c r="H80" s="226">
        <v>-695.26</v>
      </c>
      <c r="I80" s="240">
        <v>44835</v>
      </c>
      <c r="K80" s="197"/>
    </row>
    <row r="81" spans="1:12" s="6" customFormat="1">
      <c r="A81" s="187"/>
      <c r="B81" s="221" t="s">
        <v>694</v>
      </c>
      <c r="C81" s="29" t="s">
        <v>764</v>
      </c>
      <c r="D81" s="29" t="s">
        <v>812</v>
      </c>
      <c r="E81" s="161"/>
      <c r="F81" s="7"/>
      <c r="G81" s="7"/>
      <c r="H81" s="226">
        <v>-695.26</v>
      </c>
      <c r="I81" s="240">
        <v>44866</v>
      </c>
      <c r="K81" s="197"/>
    </row>
    <row r="82" spans="1:12" s="6" customFormat="1">
      <c r="A82" s="187"/>
      <c r="B82" s="221" t="s">
        <v>694</v>
      </c>
      <c r="C82" s="29" t="s">
        <v>764</v>
      </c>
      <c r="D82" s="29" t="s">
        <v>812</v>
      </c>
      <c r="E82" s="161"/>
      <c r="F82" s="7"/>
      <c r="G82" s="7"/>
      <c r="H82" s="226">
        <v>-695.26</v>
      </c>
      <c r="I82" s="240">
        <v>44896</v>
      </c>
      <c r="K82" s="197"/>
    </row>
    <row r="83" spans="1:12" s="6" customFormat="1">
      <c r="A83" s="187"/>
      <c r="B83" s="221" t="s">
        <v>732</v>
      </c>
      <c r="C83" s="37" t="s">
        <v>768</v>
      </c>
      <c r="D83" s="37" t="s">
        <v>816</v>
      </c>
      <c r="E83" s="196"/>
      <c r="F83" s="58"/>
      <c r="G83" s="58"/>
      <c r="H83" s="226">
        <v>1331.64</v>
      </c>
      <c r="I83" s="240">
        <v>44896</v>
      </c>
      <c r="K83" s="197"/>
    </row>
    <row r="84" spans="1:12" s="6" customFormat="1">
      <c r="A84" s="187"/>
      <c r="B84" s="221" t="s">
        <v>736</v>
      </c>
      <c r="C84" s="37" t="s">
        <v>772</v>
      </c>
      <c r="D84" s="37" t="s">
        <v>820</v>
      </c>
      <c r="E84" s="161"/>
      <c r="F84" s="7"/>
      <c r="G84" s="7"/>
      <c r="H84" s="226">
        <v>474.63</v>
      </c>
      <c r="I84" s="240">
        <v>44866</v>
      </c>
      <c r="K84" s="197"/>
    </row>
    <row r="85" spans="1:12" s="6" customFormat="1">
      <c r="A85" s="187"/>
      <c r="B85" s="221" t="s">
        <v>736</v>
      </c>
      <c r="C85" s="37" t="s">
        <v>772</v>
      </c>
      <c r="D85" s="37" t="s">
        <v>820</v>
      </c>
      <c r="E85" s="161"/>
      <c r="F85" s="7"/>
      <c r="G85" s="7"/>
      <c r="H85" s="226">
        <v>474.63</v>
      </c>
      <c r="I85" s="240">
        <v>44896</v>
      </c>
      <c r="K85" s="197"/>
    </row>
    <row r="86" spans="1:12" s="29" customFormat="1">
      <c r="A86" s="187"/>
      <c r="B86" s="187"/>
      <c r="E86" s="187"/>
      <c r="F86" s="86"/>
      <c r="G86" s="187"/>
      <c r="H86" s="52"/>
      <c r="I86" s="161"/>
      <c r="K86" s="188"/>
    </row>
    <row r="87" spans="1:12" ht="12" customHeight="1">
      <c r="A87" s="458" t="s">
        <v>846</v>
      </c>
      <c r="B87" s="459"/>
      <c r="C87" s="459"/>
      <c r="D87" s="459"/>
      <c r="E87" s="460"/>
      <c r="F87" s="274"/>
      <c r="G87" s="208"/>
      <c r="H87" s="111"/>
      <c r="I87" s="235"/>
    </row>
    <row r="88" spans="1:12" ht="12" customHeight="1">
      <c r="A88" s="172"/>
      <c r="B88" s="173"/>
      <c r="C88" s="173"/>
      <c r="D88" s="173"/>
      <c r="E88" s="167"/>
      <c r="F88" s="276"/>
      <c r="G88" s="92"/>
      <c r="H88" s="83"/>
      <c r="I88" s="236"/>
    </row>
    <row r="89" spans="1:12">
      <c r="A89" s="422" t="s">
        <v>37</v>
      </c>
      <c r="B89" s="423"/>
      <c r="C89" s="423"/>
      <c r="D89" s="423"/>
      <c r="E89" s="424"/>
      <c r="F89" s="277"/>
      <c r="G89" s="210"/>
      <c r="H89" s="80">
        <f>H70+H75</f>
        <v>71577.38</v>
      </c>
      <c r="I89" s="237"/>
    </row>
    <row r="90" spans="1:12" ht="18">
      <c r="E90" s="218" t="s">
        <v>250</v>
      </c>
      <c r="F90" s="278"/>
      <c r="G90" s="151"/>
      <c r="H90" s="151"/>
      <c r="I90" s="238">
        <v>44917</v>
      </c>
    </row>
    <row r="91" spans="1:12" ht="18">
      <c r="E91" s="218" t="s">
        <v>251</v>
      </c>
      <c r="F91" s="278"/>
      <c r="G91" s="151"/>
      <c r="H91" s="151"/>
      <c r="I91" s="239" t="s">
        <v>653</v>
      </c>
    </row>
    <row r="93" spans="1:12">
      <c r="B93" t="s">
        <v>848</v>
      </c>
    </row>
    <row r="94" spans="1:12">
      <c r="B94" t="s">
        <v>849</v>
      </c>
    </row>
    <row r="95" spans="1:12">
      <c r="B95" t="s">
        <v>850</v>
      </c>
    </row>
    <row r="96" spans="1:12" s="3" customFormat="1">
      <c r="A96"/>
      <c r="B96"/>
      <c r="C96"/>
      <c r="D96"/>
      <c r="E96" s="216"/>
      <c r="H96" s="152"/>
      <c r="I96" s="216"/>
      <c r="J96"/>
      <c r="K96"/>
      <c r="L96"/>
    </row>
  </sheetData>
  <autoFilter ref="A4:I68" xr:uid="{EC283F26-1258-B84E-AE05-5C35489C3CC6}">
    <sortState xmlns:xlrd2="http://schemas.microsoft.com/office/spreadsheetml/2017/richdata2" ref="A5:I68">
      <sortCondition ref="C4:C68"/>
    </sortState>
  </autoFilter>
  <mergeCells count="7">
    <mergeCell ref="A89:E89"/>
    <mergeCell ref="A70:E70"/>
    <mergeCell ref="A71:C71"/>
    <mergeCell ref="A73:C73"/>
    <mergeCell ref="A74:C74"/>
    <mergeCell ref="A75:E75"/>
    <mergeCell ref="A87:E87"/>
  </mergeCells>
  <conditionalFormatting sqref="B4 B6:B7">
    <cfRule type="duplicateValues" dxfId="1166" priority="408"/>
  </conditionalFormatting>
  <conditionalFormatting sqref="B6:B8 B10:B68">
    <cfRule type="duplicateValues" dxfId="1165" priority="40"/>
  </conditionalFormatting>
  <conditionalFormatting sqref="B10:B68 B8">
    <cfRule type="duplicateValues" dxfId="1164" priority="37"/>
  </conditionalFormatting>
  <conditionalFormatting sqref="B78">
    <cfRule type="duplicateValues" dxfId="1163" priority="17"/>
    <cfRule type="duplicateValues" dxfId="1162" priority="18"/>
  </conditionalFormatting>
  <conditionalFormatting sqref="B79">
    <cfRule type="duplicateValues" dxfId="1161" priority="15"/>
    <cfRule type="duplicateValues" dxfId="1160" priority="16"/>
  </conditionalFormatting>
  <conditionalFormatting sqref="B80">
    <cfRule type="duplicateValues" dxfId="1159" priority="13"/>
    <cfRule type="duplicateValues" dxfId="1158" priority="14"/>
  </conditionalFormatting>
  <conditionalFormatting sqref="B81">
    <cfRule type="duplicateValues" dxfId="1157" priority="11"/>
    <cfRule type="duplicateValues" dxfId="1156" priority="12"/>
  </conditionalFormatting>
  <conditionalFormatting sqref="B82">
    <cfRule type="duplicateValues" dxfId="1155" priority="9"/>
    <cfRule type="duplicateValues" dxfId="1154" priority="10"/>
  </conditionalFormatting>
  <conditionalFormatting sqref="B83">
    <cfRule type="duplicateValues" dxfId="1153" priority="7"/>
    <cfRule type="duplicateValues" dxfId="1152" priority="8"/>
  </conditionalFormatting>
  <conditionalFormatting sqref="B84">
    <cfRule type="duplicateValues" dxfId="1151" priority="5"/>
    <cfRule type="duplicateValues" dxfId="1150" priority="6"/>
  </conditionalFormatting>
  <conditionalFormatting sqref="B85">
    <cfRule type="duplicateValues" dxfId="1149" priority="3"/>
    <cfRule type="duplicateValues" dxfId="1148" priority="4"/>
  </conditionalFormatting>
  <conditionalFormatting sqref="C93">
    <cfRule type="duplicateValues" dxfId="1147" priority="75"/>
    <cfRule type="duplicateValues" dxfId="1146" priority="76"/>
  </conditionalFormatting>
  <conditionalFormatting sqref="C94">
    <cfRule type="duplicateValues" dxfId="1145" priority="73"/>
    <cfRule type="duplicateValues" dxfId="1144" priority="74"/>
  </conditionalFormatting>
  <conditionalFormatting sqref="C96">
    <cfRule type="duplicateValues" dxfId="1143" priority="71"/>
    <cfRule type="duplicateValues" dxfId="1142" priority="72"/>
  </conditionalFormatting>
  <conditionalFormatting sqref="C98">
    <cfRule type="duplicateValues" dxfId="1141" priority="69"/>
    <cfRule type="duplicateValues" dxfId="1140" priority="70"/>
  </conditionalFormatting>
  <conditionalFormatting sqref="C69:D69">
    <cfRule type="duplicateValues" dxfId="1139" priority="460"/>
  </conditionalFormatting>
  <conditionalFormatting sqref="C86:D86">
    <cfRule type="duplicateValues" dxfId="1138" priority="468"/>
  </conditionalFormatting>
  <conditionalFormatting sqref="C87:D91 C69:D75 C1:D4">
    <cfRule type="duplicateValues" dxfId="1137" priority="457"/>
  </conditionalFormatting>
  <conditionalFormatting sqref="C87:D92 C1:D4 C69:D75 D94 D96 C95:D95 C99:D1048576 D98 C97:D97">
    <cfRule type="duplicateValues" dxfId="1136" priority="448"/>
  </conditionalFormatting>
  <conditionalFormatting sqref="C92:D92 D94 D96 C95:D95 C99:D1048576 D98 C97:D97">
    <cfRule type="duplicateValues" dxfId="1135" priority="461"/>
  </conditionalFormatting>
  <conditionalFormatting sqref="E1:E1048576">
    <cfRule type="containsText" dxfId="1134" priority="1" operator="containsText" text="child">
      <formula>NOT(ISERROR(SEARCH("child",E1)))</formula>
    </cfRule>
    <cfRule type="containsText" dxfId="1133" priority="2" operator="containsText" text="Spouse">
      <formula>NOT(ISERROR(SEARCH("Spouse",E1)))</formula>
    </cfRule>
  </conditionalFormatting>
  <conditionalFormatting sqref="E76:E85 G76:G85">
    <cfRule type="notContainsText" dxfId="1132" priority="43" operator="notContains" text="Only">
      <formula>ISERROR(SEARCH("Only",E76))</formula>
    </cfRule>
  </conditionalFormatting>
  <conditionalFormatting sqref="G5:G68">
    <cfRule type="notContainsText" dxfId="1131" priority="64" operator="notContains" text="Only">
      <formula>ISERROR(SEARCH("Only",G5))</formula>
    </cfRule>
  </conditionalFormatting>
  <conditionalFormatting sqref="I5">
    <cfRule type="notContainsBlanks" dxfId="1130" priority="19">
      <formula>LEN(TRIM(I5))&gt;0</formula>
    </cfRule>
  </conditionalFormatting>
  <conditionalFormatting sqref="I8:I33 I35:I65">
    <cfRule type="notContainsBlanks" dxfId="1129" priority="79">
      <formula>LEN(TRIM(I8))&gt;0</formula>
    </cfRule>
  </conditionalFormatting>
  <conditionalFormatting sqref="I69:I89">
    <cfRule type="notContainsBlanks" dxfId="1128" priority="41">
      <formula>LEN(TRIM(I69))&gt;0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2CCD-CCC1-1143-B8C3-71F7F5256D40}">
  <sheetPr>
    <tabColor theme="8"/>
    <pageSetUpPr fitToPage="1"/>
  </sheetPr>
  <dimension ref="A1:K85"/>
  <sheetViews>
    <sheetView zoomScale="140" zoomScaleNormal="140" zoomScalePageLayoutView="14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60" sqref="J60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6" width="17.33203125" style="3" customWidth="1"/>
    <col min="7" max="7" width="16" style="152" customWidth="1"/>
    <col min="8" max="8" width="39.1640625" customWidth="1"/>
    <col min="9" max="9" width="8.5" customWidth="1"/>
    <col min="10" max="10" width="18.1640625" bestFit="1" customWidth="1"/>
  </cols>
  <sheetData>
    <row r="1" spans="1:11">
      <c r="A1" s="1" t="s">
        <v>0</v>
      </c>
      <c r="E1" s="88"/>
      <c r="F1" s="88"/>
      <c r="G1" s="146" t="s">
        <v>342</v>
      </c>
      <c r="H1" s="68" t="s">
        <v>223</v>
      </c>
    </row>
    <row r="2" spans="1:11" ht="13.5" customHeight="1">
      <c r="A2" s="1" t="s">
        <v>249</v>
      </c>
      <c r="G2" s="51" t="s">
        <v>721</v>
      </c>
      <c r="H2" s="123"/>
    </row>
    <row r="3" spans="1:11" ht="14" customHeight="1">
      <c r="G3" s="201"/>
      <c r="H3" s="201" t="s">
        <v>562</v>
      </c>
    </row>
    <row r="4" spans="1:11" ht="14">
      <c r="A4" s="50" t="s">
        <v>226</v>
      </c>
      <c r="B4" s="50" t="s">
        <v>498</v>
      </c>
      <c r="C4" s="50" t="s">
        <v>499</v>
      </c>
      <c r="D4" s="202" t="s">
        <v>500</v>
      </c>
      <c r="E4" s="50" t="s">
        <v>643</v>
      </c>
      <c r="F4" s="10" t="s">
        <v>725</v>
      </c>
      <c r="G4" s="168" t="s">
        <v>584</v>
      </c>
      <c r="H4" s="50" t="s">
        <v>227</v>
      </c>
      <c r="K4" t="s">
        <v>720</v>
      </c>
    </row>
    <row r="5" spans="1:11">
      <c r="A5" s="7">
        <v>1</v>
      </c>
      <c r="B5" t="s">
        <v>723</v>
      </c>
      <c r="C5" t="s">
        <v>724</v>
      </c>
      <c r="D5">
        <v>1729</v>
      </c>
      <c r="E5" s="3" t="s">
        <v>649</v>
      </c>
      <c r="F5" s="51">
        <v>516.80999999999995</v>
      </c>
      <c r="G5" s="152">
        <f>F5*2</f>
        <v>1033.6199999999999</v>
      </c>
      <c r="H5" t="s">
        <v>726</v>
      </c>
    </row>
    <row r="6" spans="1:11">
      <c r="A6" s="7">
        <v>2</v>
      </c>
      <c r="B6" s="161" t="s">
        <v>556</v>
      </c>
      <c r="C6" s="161" t="s">
        <v>557</v>
      </c>
      <c r="D6" s="203" t="s">
        <v>658</v>
      </c>
      <c r="E6" s="7" t="s">
        <v>649</v>
      </c>
      <c r="F6" s="7" t="s">
        <v>884</v>
      </c>
      <c r="G6" s="160">
        <v>463.5</v>
      </c>
      <c r="H6" s="7"/>
      <c r="J6" s="206">
        <v>463.5</v>
      </c>
      <c r="K6" t="b">
        <f>J6=G6</f>
        <v>1</v>
      </c>
    </row>
    <row r="7" spans="1:11">
      <c r="A7" s="7">
        <v>3</v>
      </c>
      <c r="B7" s="161" t="s">
        <v>585</v>
      </c>
      <c r="C7" s="161" t="s">
        <v>586</v>
      </c>
      <c r="D7" s="203" t="s">
        <v>659</v>
      </c>
      <c r="E7" s="7" t="s">
        <v>645</v>
      </c>
      <c r="F7" s="7" t="s">
        <v>885</v>
      </c>
      <c r="G7" s="160">
        <v>1488.01</v>
      </c>
      <c r="H7" s="161"/>
      <c r="J7" s="206">
        <v>1488.01</v>
      </c>
      <c r="K7" t="b">
        <f t="shared" ref="K7:K64" si="0">J7=G7</f>
        <v>1</v>
      </c>
    </row>
    <row r="8" spans="1:11">
      <c r="A8" s="7">
        <v>4</v>
      </c>
      <c r="B8" s="29" t="s">
        <v>462</v>
      </c>
      <c r="C8" s="29" t="s">
        <v>425</v>
      </c>
      <c r="D8" s="204" t="s">
        <v>660</v>
      </c>
      <c r="E8" s="58" t="s">
        <v>644</v>
      </c>
      <c r="F8" s="7" t="s">
        <v>886</v>
      </c>
      <c r="G8" s="149">
        <v>1016.08</v>
      </c>
      <c r="H8" s="29"/>
      <c r="J8" s="206">
        <v>1016.08</v>
      </c>
      <c r="K8" t="b">
        <f t="shared" si="0"/>
        <v>1</v>
      </c>
    </row>
    <row r="9" spans="1:11">
      <c r="A9" s="7">
        <v>5</v>
      </c>
      <c r="B9" s="29" t="s">
        <v>460</v>
      </c>
      <c r="C9" s="29" t="s">
        <v>426</v>
      </c>
      <c r="D9" s="204" t="s">
        <v>661</v>
      </c>
      <c r="E9" s="7" t="s">
        <v>649</v>
      </c>
      <c r="F9" s="7" t="s">
        <v>887</v>
      </c>
      <c r="G9" s="149">
        <v>1181.01</v>
      </c>
      <c r="H9" s="29"/>
      <c r="J9" s="206">
        <v>1181.01</v>
      </c>
      <c r="K9" t="b">
        <f t="shared" si="0"/>
        <v>1</v>
      </c>
    </row>
    <row r="10" spans="1:11">
      <c r="A10" s="7">
        <v>6</v>
      </c>
      <c r="B10" s="29" t="s">
        <v>525</v>
      </c>
      <c r="C10" s="29" t="s">
        <v>654</v>
      </c>
      <c r="D10" s="204" t="s">
        <v>717</v>
      </c>
      <c r="E10" s="7" t="s">
        <v>644</v>
      </c>
      <c r="F10" s="7" t="s">
        <v>888</v>
      </c>
      <c r="G10" s="149">
        <v>1617.17</v>
      </c>
      <c r="H10" s="29"/>
      <c r="J10" s="206">
        <v>1617.17</v>
      </c>
      <c r="K10" t="b">
        <f t="shared" si="0"/>
        <v>1</v>
      </c>
    </row>
    <row r="11" spans="1:11">
      <c r="A11" s="7">
        <v>7</v>
      </c>
      <c r="B11" s="37" t="s">
        <v>463</v>
      </c>
      <c r="C11" s="37" t="s">
        <v>427</v>
      </c>
      <c r="D11" s="204" t="s">
        <v>662</v>
      </c>
      <c r="E11" s="7" t="s">
        <v>649</v>
      </c>
      <c r="F11" s="7" t="s">
        <v>889</v>
      </c>
      <c r="G11" s="149">
        <v>573.82000000000005</v>
      </c>
      <c r="H11" s="29"/>
      <c r="J11" s="206">
        <v>573.82000000000005</v>
      </c>
      <c r="K11" t="b">
        <f t="shared" si="0"/>
        <v>1</v>
      </c>
    </row>
    <row r="12" spans="1:11" s="1" customFormat="1">
      <c r="A12" s="7">
        <v>8</v>
      </c>
      <c r="B12" s="61" t="s">
        <v>463</v>
      </c>
      <c r="C12" s="61" t="s">
        <v>608</v>
      </c>
      <c r="D12" s="204" t="s">
        <v>663</v>
      </c>
      <c r="E12" s="7" t="s">
        <v>649</v>
      </c>
      <c r="F12" s="7" t="s">
        <v>890</v>
      </c>
      <c r="G12" s="189">
        <v>537.20000000000005</v>
      </c>
      <c r="H12" s="29"/>
      <c r="J12" s="206">
        <v>537.20000000000005</v>
      </c>
      <c r="K12" t="b">
        <f t="shared" si="0"/>
        <v>1</v>
      </c>
    </row>
    <row r="13" spans="1:11">
      <c r="A13" s="7">
        <v>9</v>
      </c>
      <c r="B13" s="29" t="s">
        <v>464</v>
      </c>
      <c r="C13" s="29" t="s">
        <v>428</v>
      </c>
      <c r="D13" s="204" t="s">
        <v>664</v>
      </c>
      <c r="E13" s="58" t="s">
        <v>644</v>
      </c>
      <c r="F13" s="7" t="s">
        <v>891</v>
      </c>
      <c r="G13" s="149">
        <v>1670</v>
      </c>
      <c r="H13" s="29"/>
      <c r="J13" s="206">
        <v>1670</v>
      </c>
      <c r="K13" t="b">
        <f t="shared" si="0"/>
        <v>1</v>
      </c>
    </row>
    <row r="14" spans="1:11">
      <c r="A14" s="7">
        <v>10</v>
      </c>
      <c r="B14" s="29" t="s">
        <v>464</v>
      </c>
      <c r="C14" s="29" t="s">
        <v>429</v>
      </c>
      <c r="D14" s="204" t="s">
        <v>665</v>
      </c>
      <c r="E14" s="7" t="s">
        <v>649</v>
      </c>
      <c r="F14" s="7" t="s">
        <v>892</v>
      </c>
      <c r="G14" s="149">
        <v>577.52</v>
      </c>
      <c r="H14" s="29"/>
      <c r="J14" s="206">
        <v>577.52</v>
      </c>
      <c r="K14" t="b">
        <f t="shared" si="0"/>
        <v>1</v>
      </c>
    </row>
    <row r="15" spans="1:11">
      <c r="A15" s="7">
        <v>11</v>
      </c>
      <c r="B15" s="37" t="s">
        <v>465</v>
      </c>
      <c r="C15" s="37" t="s">
        <v>430</v>
      </c>
      <c r="D15" s="204" t="s">
        <v>666</v>
      </c>
      <c r="E15" s="58" t="s">
        <v>644</v>
      </c>
      <c r="F15" s="7" t="s">
        <v>893</v>
      </c>
      <c r="G15" s="149">
        <v>923.85</v>
      </c>
      <c r="H15" s="29"/>
      <c r="J15" s="206">
        <v>923.85</v>
      </c>
      <c r="K15" t="b">
        <f t="shared" si="0"/>
        <v>1</v>
      </c>
    </row>
    <row r="16" spans="1:11" s="1" customFormat="1">
      <c r="A16" s="7">
        <v>12</v>
      </c>
      <c r="B16" s="29" t="s">
        <v>466</v>
      </c>
      <c r="C16" s="29" t="s">
        <v>431</v>
      </c>
      <c r="D16" s="204" t="s">
        <v>667</v>
      </c>
      <c r="E16" s="7" t="s">
        <v>645</v>
      </c>
      <c r="F16" s="7" t="s">
        <v>894</v>
      </c>
      <c r="G16" s="189">
        <v>1717.74</v>
      </c>
      <c r="H16" s="29"/>
      <c r="J16" s="206">
        <v>1717.74</v>
      </c>
      <c r="K16" t="b">
        <f t="shared" si="0"/>
        <v>1</v>
      </c>
    </row>
    <row r="17" spans="1:11">
      <c r="A17" s="7">
        <v>13</v>
      </c>
      <c r="B17" s="37" t="s">
        <v>467</v>
      </c>
      <c r="C17" s="37" t="s">
        <v>501</v>
      </c>
      <c r="D17" s="204" t="s">
        <v>668</v>
      </c>
      <c r="E17" s="7" t="s">
        <v>649</v>
      </c>
      <c r="F17" s="7" t="s">
        <v>895</v>
      </c>
      <c r="G17" s="149">
        <v>989.58</v>
      </c>
      <c r="H17" s="29"/>
      <c r="I17" s="159"/>
      <c r="J17" s="206">
        <v>989.58</v>
      </c>
      <c r="K17" t="b">
        <f t="shared" si="0"/>
        <v>1</v>
      </c>
    </row>
    <row r="18" spans="1:11">
      <c r="A18" s="7">
        <v>14</v>
      </c>
      <c r="B18" s="37" t="s">
        <v>468</v>
      </c>
      <c r="C18" s="37" t="s">
        <v>432</v>
      </c>
      <c r="D18" s="204" t="s">
        <v>669</v>
      </c>
      <c r="E18" s="7" t="s">
        <v>649</v>
      </c>
      <c r="F18" s="7" t="s">
        <v>896</v>
      </c>
      <c r="G18" s="149">
        <v>485.75</v>
      </c>
      <c r="H18" s="29"/>
      <c r="I18" s="133"/>
      <c r="J18" s="206">
        <v>485.75</v>
      </c>
      <c r="K18" t="b">
        <f t="shared" si="0"/>
        <v>1</v>
      </c>
    </row>
    <row r="19" spans="1:11">
      <c r="A19" s="7">
        <v>15</v>
      </c>
      <c r="B19" s="37" t="s">
        <v>727</v>
      </c>
      <c r="C19" s="37" t="s">
        <v>728</v>
      </c>
      <c r="D19" s="204" t="s">
        <v>729</v>
      </c>
      <c r="E19" s="7" t="s">
        <v>649</v>
      </c>
      <c r="F19" s="7" t="s">
        <v>889</v>
      </c>
      <c r="G19" s="149"/>
      <c r="H19" t="s">
        <v>726</v>
      </c>
      <c r="I19" s="133"/>
      <c r="J19" s="206"/>
    </row>
    <row r="20" spans="1:11">
      <c r="A20" s="7">
        <v>16</v>
      </c>
      <c r="B20" s="29" t="s">
        <v>469</v>
      </c>
      <c r="C20" s="29" t="s">
        <v>434</v>
      </c>
      <c r="D20" s="204" t="s">
        <v>671</v>
      </c>
      <c r="E20" s="7" t="s">
        <v>649</v>
      </c>
      <c r="F20" s="7" t="s">
        <v>897</v>
      </c>
      <c r="G20" s="149">
        <v>1368.26</v>
      </c>
      <c r="H20" s="29"/>
      <c r="J20" s="206">
        <v>1368.26</v>
      </c>
      <c r="K20" t="b">
        <f t="shared" si="0"/>
        <v>1</v>
      </c>
    </row>
    <row r="21" spans="1:11">
      <c r="A21" s="7">
        <v>17</v>
      </c>
      <c r="B21" s="29" t="s">
        <v>436</v>
      </c>
      <c r="C21" s="29" t="s">
        <v>572</v>
      </c>
      <c r="D21" s="204" t="s">
        <v>672</v>
      </c>
      <c r="E21" s="7" t="s">
        <v>645</v>
      </c>
      <c r="F21" s="7" t="s">
        <v>898</v>
      </c>
      <c r="G21" s="149">
        <v>1314.66</v>
      </c>
      <c r="H21" s="29"/>
      <c r="J21" s="206">
        <v>1314.66</v>
      </c>
      <c r="K21" t="b">
        <f t="shared" si="0"/>
        <v>1</v>
      </c>
    </row>
    <row r="22" spans="1:11">
      <c r="A22" s="7">
        <v>18</v>
      </c>
      <c r="B22" s="29" t="s">
        <v>436</v>
      </c>
      <c r="C22" s="29" t="s">
        <v>503</v>
      </c>
      <c r="D22" s="204" t="s">
        <v>673</v>
      </c>
      <c r="E22" s="7" t="s">
        <v>645</v>
      </c>
      <c r="F22" s="7" t="s">
        <v>899</v>
      </c>
      <c r="G22" s="149">
        <v>1285.46</v>
      </c>
      <c r="H22" s="29"/>
      <c r="J22" s="206">
        <v>1285.46</v>
      </c>
      <c r="K22" t="b">
        <f t="shared" si="0"/>
        <v>1</v>
      </c>
    </row>
    <row r="23" spans="1:11">
      <c r="A23" s="7">
        <v>19</v>
      </c>
      <c r="B23" s="29" t="s">
        <v>437</v>
      </c>
      <c r="C23" s="29" t="s">
        <v>504</v>
      </c>
      <c r="D23" s="204" t="s">
        <v>674</v>
      </c>
      <c r="E23" s="7" t="s">
        <v>649</v>
      </c>
      <c r="F23" s="7" t="s">
        <v>900</v>
      </c>
      <c r="G23" s="149">
        <v>555.28</v>
      </c>
      <c r="H23" s="29"/>
      <c r="J23" s="206">
        <v>555.28</v>
      </c>
      <c r="K23" t="b">
        <f t="shared" si="0"/>
        <v>1</v>
      </c>
    </row>
    <row r="24" spans="1:11">
      <c r="A24" s="7">
        <v>20</v>
      </c>
      <c r="B24" s="61" t="s">
        <v>471</v>
      </c>
      <c r="C24" s="61" t="s">
        <v>438</v>
      </c>
      <c r="D24" s="204" t="s">
        <v>715</v>
      </c>
      <c r="E24" s="7" t="s">
        <v>649</v>
      </c>
      <c r="F24" s="7" t="s">
        <v>901</v>
      </c>
      <c r="G24" s="149">
        <v>1081.3499999999999</v>
      </c>
      <c r="H24" s="29"/>
      <c r="J24" s="206">
        <v>1081.3499999999999</v>
      </c>
      <c r="K24" t="b">
        <f t="shared" si="0"/>
        <v>1</v>
      </c>
    </row>
    <row r="25" spans="1:11">
      <c r="A25" s="7">
        <v>21</v>
      </c>
      <c r="B25" s="29" t="s">
        <v>439</v>
      </c>
      <c r="C25" s="29" t="s">
        <v>505</v>
      </c>
      <c r="D25" s="204" t="s">
        <v>716</v>
      </c>
      <c r="E25" s="7" t="s">
        <v>649</v>
      </c>
      <c r="F25" s="7" t="s">
        <v>902</v>
      </c>
      <c r="G25" s="149">
        <v>1390.5</v>
      </c>
      <c r="H25" s="29"/>
      <c r="J25" s="206">
        <v>1390.5</v>
      </c>
      <c r="K25" t="b">
        <f t="shared" si="0"/>
        <v>1</v>
      </c>
    </row>
    <row r="26" spans="1:11">
      <c r="A26" s="7">
        <v>22</v>
      </c>
      <c r="B26" s="29" t="s">
        <v>472</v>
      </c>
      <c r="C26" s="29" t="s">
        <v>574</v>
      </c>
      <c r="D26" s="204" t="s">
        <v>675</v>
      </c>
      <c r="E26" s="7" t="s">
        <v>649</v>
      </c>
      <c r="F26" s="7" t="s">
        <v>903</v>
      </c>
      <c r="G26" s="149">
        <v>592.36</v>
      </c>
      <c r="H26" s="29"/>
      <c r="J26" s="206">
        <v>592.36</v>
      </c>
      <c r="K26" t="b">
        <f t="shared" si="0"/>
        <v>1</v>
      </c>
    </row>
    <row r="27" spans="1:11">
      <c r="A27" s="7">
        <v>23</v>
      </c>
      <c r="B27" s="29" t="s">
        <v>472</v>
      </c>
      <c r="C27" s="29" t="s">
        <v>440</v>
      </c>
      <c r="D27" s="204" t="s">
        <v>676</v>
      </c>
      <c r="E27" s="7" t="s">
        <v>649</v>
      </c>
      <c r="F27" s="7" t="s">
        <v>904</v>
      </c>
      <c r="G27" s="149">
        <v>904.76</v>
      </c>
      <c r="H27" s="29"/>
      <c r="J27" s="206">
        <v>904.76</v>
      </c>
      <c r="K27" t="b">
        <f t="shared" si="0"/>
        <v>1</v>
      </c>
    </row>
    <row r="28" spans="1:11">
      <c r="A28" s="7">
        <v>24</v>
      </c>
      <c r="B28" s="37" t="s">
        <v>472</v>
      </c>
      <c r="C28" s="37" t="s">
        <v>441</v>
      </c>
      <c r="D28" s="204" t="s">
        <v>677</v>
      </c>
      <c r="E28" s="7" t="s">
        <v>645</v>
      </c>
      <c r="F28" s="7" t="s">
        <v>905</v>
      </c>
      <c r="G28" s="149">
        <v>1550.59</v>
      </c>
      <c r="H28" s="29"/>
      <c r="J28" s="206">
        <v>1550.59</v>
      </c>
      <c r="K28" t="b">
        <f t="shared" si="0"/>
        <v>1</v>
      </c>
    </row>
    <row r="29" spans="1:11">
      <c r="A29" s="7">
        <v>25</v>
      </c>
      <c r="B29" s="37" t="s">
        <v>473</v>
      </c>
      <c r="C29" s="37" t="s">
        <v>442</v>
      </c>
      <c r="D29" s="204" t="s">
        <v>678</v>
      </c>
      <c r="E29" s="7" t="s">
        <v>649</v>
      </c>
      <c r="F29" s="7" t="s">
        <v>897</v>
      </c>
      <c r="G29" s="149">
        <v>1368.26</v>
      </c>
      <c r="H29" s="29"/>
      <c r="J29" s="206">
        <v>1368.26</v>
      </c>
      <c r="K29" t="b">
        <f t="shared" si="0"/>
        <v>1</v>
      </c>
    </row>
    <row r="30" spans="1:11">
      <c r="A30" s="7">
        <v>26</v>
      </c>
      <c r="B30" s="37" t="s">
        <v>473</v>
      </c>
      <c r="C30" s="37" t="s">
        <v>443</v>
      </c>
      <c r="D30" s="204" t="s">
        <v>679</v>
      </c>
      <c r="E30" s="7" t="s">
        <v>649</v>
      </c>
      <c r="F30" s="7" t="s">
        <v>906</v>
      </c>
      <c r="G30" s="149">
        <v>1302.44</v>
      </c>
      <c r="H30" s="29"/>
      <c r="J30" s="206">
        <v>1302.44</v>
      </c>
      <c r="K30" t="b">
        <f t="shared" si="0"/>
        <v>1</v>
      </c>
    </row>
    <row r="31" spans="1:11">
      <c r="A31" s="7">
        <v>27</v>
      </c>
      <c r="B31" s="29" t="s">
        <v>444</v>
      </c>
      <c r="C31" s="29" t="s">
        <v>506</v>
      </c>
      <c r="D31" s="204" t="s">
        <v>680</v>
      </c>
      <c r="E31" s="7" t="s">
        <v>649</v>
      </c>
      <c r="F31" s="7" t="s">
        <v>907</v>
      </c>
      <c r="G31" s="149">
        <v>757.83</v>
      </c>
      <c r="H31" s="29"/>
      <c r="J31" s="206">
        <v>757.83</v>
      </c>
      <c r="K31" t="b">
        <f t="shared" si="0"/>
        <v>1</v>
      </c>
    </row>
    <row r="32" spans="1:11">
      <c r="A32" s="7">
        <v>28</v>
      </c>
      <c r="B32" s="29" t="s">
        <v>474</v>
      </c>
      <c r="C32" s="29" t="s">
        <v>576</v>
      </c>
      <c r="D32" s="204" t="s">
        <v>681</v>
      </c>
      <c r="E32" s="7" t="s">
        <v>646</v>
      </c>
      <c r="F32" s="7" t="s">
        <v>908</v>
      </c>
      <c r="G32" s="149">
        <v>1862.53</v>
      </c>
      <c r="H32" s="29"/>
      <c r="I32" s="199">
        <f>285.06*2</f>
        <v>570.12</v>
      </c>
      <c r="J32" s="206">
        <v>1862.53</v>
      </c>
      <c r="K32" t="b">
        <f t="shared" si="0"/>
        <v>1</v>
      </c>
    </row>
    <row r="33" spans="1:11">
      <c r="A33" s="7">
        <v>29</v>
      </c>
      <c r="B33" s="29" t="s">
        <v>474</v>
      </c>
      <c r="C33" s="29" t="s">
        <v>507</v>
      </c>
      <c r="D33" s="204" t="s">
        <v>682</v>
      </c>
      <c r="E33" s="58" t="s">
        <v>644</v>
      </c>
      <c r="F33" s="7" t="s">
        <v>909</v>
      </c>
      <c r="G33" s="149">
        <v>931.26</v>
      </c>
      <c r="H33" s="29"/>
      <c r="J33" s="206">
        <v>931.26</v>
      </c>
      <c r="K33" t="b">
        <f t="shared" si="0"/>
        <v>1</v>
      </c>
    </row>
    <row r="34" spans="1:11">
      <c r="A34" s="7">
        <v>30</v>
      </c>
      <c r="B34" s="29" t="s">
        <v>474</v>
      </c>
      <c r="C34" s="29" t="s">
        <v>508</v>
      </c>
      <c r="D34" s="204" t="s">
        <v>683</v>
      </c>
      <c r="E34" s="7" t="s">
        <v>649</v>
      </c>
      <c r="F34" s="7" t="s">
        <v>910</v>
      </c>
      <c r="G34" s="149">
        <v>548.32000000000005</v>
      </c>
      <c r="H34" s="29"/>
      <c r="J34" s="206">
        <v>548.32000000000005</v>
      </c>
      <c r="K34" t="b">
        <f t="shared" si="0"/>
        <v>1</v>
      </c>
    </row>
    <row r="35" spans="1:11">
      <c r="A35" s="7">
        <v>31</v>
      </c>
      <c r="B35" s="37" t="s">
        <v>475</v>
      </c>
      <c r="C35" s="37" t="s">
        <v>446</v>
      </c>
      <c r="D35" s="204" t="s">
        <v>684</v>
      </c>
      <c r="E35" s="7" t="s">
        <v>649</v>
      </c>
      <c r="F35" s="7" t="s">
        <v>911</v>
      </c>
      <c r="G35" s="149">
        <v>566.4</v>
      </c>
      <c r="H35" s="29"/>
      <c r="J35" s="206">
        <v>566.4</v>
      </c>
      <c r="K35" t="b">
        <f t="shared" si="0"/>
        <v>1</v>
      </c>
    </row>
    <row r="36" spans="1:11">
      <c r="A36" s="7">
        <v>32</v>
      </c>
      <c r="B36" s="29" t="s">
        <v>637</v>
      </c>
      <c r="C36" s="29" t="s">
        <v>449</v>
      </c>
      <c r="D36" s="204" t="s">
        <v>686</v>
      </c>
      <c r="E36" s="7" t="s">
        <v>649</v>
      </c>
      <c r="F36" s="7" t="s">
        <v>896</v>
      </c>
      <c r="G36" s="149">
        <v>485.75</v>
      </c>
      <c r="H36" s="29"/>
      <c r="J36" s="206">
        <v>485.75</v>
      </c>
      <c r="K36" t="b">
        <f t="shared" si="0"/>
        <v>1</v>
      </c>
    </row>
    <row r="37" spans="1:11">
      <c r="A37" s="7">
        <v>33</v>
      </c>
      <c r="B37" s="29" t="s">
        <v>478</v>
      </c>
      <c r="C37" s="29" t="s">
        <v>448</v>
      </c>
      <c r="D37" s="204" t="s">
        <v>687</v>
      </c>
      <c r="E37" s="7" t="s">
        <v>649</v>
      </c>
      <c r="F37" s="7" t="s">
        <v>897</v>
      </c>
      <c r="G37" s="149">
        <v>1368.26</v>
      </c>
      <c r="H37" s="29"/>
      <c r="I37" s="133"/>
      <c r="J37" s="206">
        <v>1368.26</v>
      </c>
      <c r="K37" t="b">
        <f t="shared" si="0"/>
        <v>1</v>
      </c>
    </row>
    <row r="38" spans="1:11">
      <c r="A38" s="7">
        <v>34</v>
      </c>
      <c r="B38" s="37" t="s">
        <v>497</v>
      </c>
      <c r="C38" s="37" t="s">
        <v>461</v>
      </c>
      <c r="D38" s="204" t="s">
        <v>688</v>
      </c>
      <c r="E38" s="7" t="s">
        <v>649</v>
      </c>
      <c r="F38" s="7" t="s">
        <v>900</v>
      </c>
      <c r="G38" s="149">
        <v>555.28</v>
      </c>
      <c r="H38" s="29"/>
      <c r="J38" s="206">
        <v>555.28</v>
      </c>
      <c r="K38" t="b">
        <f t="shared" si="0"/>
        <v>1</v>
      </c>
    </row>
    <row r="39" spans="1:11">
      <c r="A39" s="7">
        <v>35</v>
      </c>
      <c r="B39" s="29" t="s">
        <v>479</v>
      </c>
      <c r="C39" s="29" t="s">
        <v>449</v>
      </c>
      <c r="D39" s="204" t="s">
        <v>689</v>
      </c>
      <c r="E39" s="7" t="s">
        <v>649</v>
      </c>
      <c r="F39" s="7" t="s">
        <v>912</v>
      </c>
      <c r="G39" s="149">
        <v>465.36</v>
      </c>
      <c r="H39" s="29"/>
      <c r="J39" s="206">
        <v>465.36</v>
      </c>
      <c r="K39" t="b">
        <f t="shared" si="0"/>
        <v>1</v>
      </c>
    </row>
    <row r="40" spans="1:11">
      <c r="A40" s="7">
        <v>36</v>
      </c>
      <c r="B40" s="29" t="s">
        <v>618</v>
      </c>
      <c r="C40" s="29" t="s">
        <v>619</v>
      </c>
      <c r="D40" s="204" t="s">
        <v>690</v>
      </c>
      <c r="E40" s="7" t="s">
        <v>649</v>
      </c>
      <c r="F40" s="7" t="s">
        <v>896</v>
      </c>
      <c r="G40" s="149">
        <v>485.75</v>
      </c>
      <c r="H40" s="29"/>
      <c r="J40" s="206">
        <v>485.75</v>
      </c>
      <c r="K40" t="b">
        <f t="shared" si="0"/>
        <v>1</v>
      </c>
    </row>
    <row r="41" spans="1:11" s="133" customFormat="1" ht="15">
      <c r="A41" s="130">
        <v>37</v>
      </c>
      <c r="B41" s="213" t="s">
        <v>480</v>
      </c>
      <c r="C41" s="213" t="s">
        <v>511</v>
      </c>
      <c r="D41" s="211" t="s">
        <v>691</v>
      </c>
      <c r="E41" s="130" t="s">
        <v>737</v>
      </c>
      <c r="F41" s="130" t="s">
        <v>913</v>
      </c>
      <c r="G41" s="150">
        <v>1846.22</v>
      </c>
      <c r="H41" s="131" t="s">
        <v>738</v>
      </c>
      <c r="J41" s="212">
        <v>2311.58</v>
      </c>
      <c r="K41" s="133" t="b">
        <f t="shared" si="0"/>
        <v>0</v>
      </c>
    </row>
    <row r="42" spans="1:11">
      <c r="A42" s="7">
        <v>38</v>
      </c>
      <c r="B42" s="29" t="s">
        <v>481</v>
      </c>
      <c r="C42" s="29" t="s">
        <v>450</v>
      </c>
      <c r="D42" s="204" t="s">
        <v>692</v>
      </c>
      <c r="E42" s="58" t="s">
        <v>644</v>
      </c>
      <c r="F42" s="7" t="s">
        <v>914</v>
      </c>
      <c r="G42" s="149">
        <v>938.68</v>
      </c>
      <c r="H42" s="29"/>
      <c r="J42" s="206">
        <v>938.68</v>
      </c>
      <c r="K42" t="b">
        <f t="shared" si="0"/>
        <v>1</v>
      </c>
    </row>
    <row r="43" spans="1:11">
      <c r="A43" s="7">
        <v>39</v>
      </c>
      <c r="B43" s="29" t="s">
        <v>482</v>
      </c>
      <c r="C43" s="29" t="s">
        <v>512</v>
      </c>
      <c r="D43" s="204" t="s">
        <v>693</v>
      </c>
      <c r="E43" s="7" t="s">
        <v>649</v>
      </c>
      <c r="F43" s="7" t="s">
        <v>915</v>
      </c>
      <c r="G43" s="149">
        <v>562.69000000000005</v>
      </c>
      <c r="H43" s="29"/>
      <c r="J43" s="206">
        <v>562.69000000000005</v>
      </c>
      <c r="K43" t="b">
        <f t="shared" si="0"/>
        <v>1</v>
      </c>
    </row>
    <row r="44" spans="1:11" s="133" customFormat="1">
      <c r="A44" s="7">
        <v>40</v>
      </c>
      <c r="B44" s="131" t="s">
        <v>640</v>
      </c>
      <c r="C44" s="131" t="s">
        <v>641</v>
      </c>
      <c r="D44" s="211" t="s">
        <v>694</v>
      </c>
      <c r="E44" s="130" t="s">
        <v>648</v>
      </c>
      <c r="F44" s="130" t="s">
        <v>916</v>
      </c>
      <c r="G44" s="150">
        <v>1759.07</v>
      </c>
      <c r="H44" s="131" t="s">
        <v>719</v>
      </c>
      <c r="I44" s="212">
        <f>347.63*2</f>
        <v>695.26</v>
      </c>
      <c r="J44" s="212">
        <v>1063.82</v>
      </c>
      <c r="K44" s="133" t="b">
        <f t="shared" si="0"/>
        <v>0</v>
      </c>
    </row>
    <row r="45" spans="1:11">
      <c r="A45" s="7">
        <v>41</v>
      </c>
      <c r="B45" s="29" t="s">
        <v>547</v>
      </c>
      <c r="C45" s="29" t="s">
        <v>548</v>
      </c>
      <c r="D45" s="204" t="s">
        <v>695</v>
      </c>
      <c r="E45" s="58" t="s">
        <v>644</v>
      </c>
      <c r="F45" s="7" t="s">
        <v>917</v>
      </c>
      <c r="G45" s="149">
        <v>1273.33</v>
      </c>
      <c r="H45" s="29"/>
      <c r="I45" s="133"/>
      <c r="J45" s="206">
        <v>1273.33</v>
      </c>
      <c r="K45" t="b">
        <f t="shared" si="0"/>
        <v>1</v>
      </c>
    </row>
    <row r="46" spans="1:11">
      <c r="A46" s="7">
        <v>42</v>
      </c>
      <c r="B46" s="37" t="s">
        <v>483</v>
      </c>
      <c r="C46" s="37" t="s">
        <v>452</v>
      </c>
      <c r="D46" s="204" t="s">
        <v>696</v>
      </c>
      <c r="E46" s="7" t="s">
        <v>649</v>
      </c>
      <c r="F46" s="7" t="s">
        <v>918</v>
      </c>
      <c r="G46" s="149">
        <v>1033.6099999999999</v>
      </c>
      <c r="H46" s="29"/>
      <c r="J46" s="206">
        <v>1033.6099999999999</v>
      </c>
      <c r="K46" t="b">
        <f t="shared" si="0"/>
        <v>1</v>
      </c>
    </row>
    <row r="47" spans="1:11">
      <c r="A47" s="7">
        <v>43</v>
      </c>
      <c r="B47" s="37" t="s">
        <v>484</v>
      </c>
      <c r="C47" s="37" t="s">
        <v>514</v>
      </c>
      <c r="D47" s="204" t="s">
        <v>697</v>
      </c>
      <c r="E47" s="58" t="s">
        <v>644</v>
      </c>
      <c r="F47" s="7" t="s">
        <v>919</v>
      </c>
      <c r="G47" s="149">
        <v>1544.85</v>
      </c>
      <c r="H47" s="29"/>
      <c r="J47" s="206">
        <v>1544.85</v>
      </c>
      <c r="K47" t="b">
        <f t="shared" si="0"/>
        <v>1</v>
      </c>
    </row>
    <row r="48" spans="1:11">
      <c r="A48" s="7">
        <v>44</v>
      </c>
      <c r="B48" s="37" t="s">
        <v>730</v>
      </c>
      <c r="C48" s="37" t="s">
        <v>731</v>
      </c>
      <c r="D48" s="204" t="s">
        <v>732</v>
      </c>
      <c r="E48" s="58" t="s">
        <v>649</v>
      </c>
      <c r="F48" s="7" t="s">
        <v>920</v>
      </c>
      <c r="G48" s="149"/>
      <c r="H48" s="29" t="s">
        <v>733</v>
      </c>
      <c r="J48" s="206"/>
    </row>
    <row r="49" spans="1:11">
      <c r="A49" s="7">
        <v>45</v>
      </c>
      <c r="B49" s="29" t="s">
        <v>551</v>
      </c>
      <c r="C49" s="29" t="s">
        <v>552</v>
      </c>
      <c r="D49" s="204" t="s">
        <v>698</v>
      </c>
      <c r="E49" s="7" t="s">
        <v>649</v>
      </c>
      <c r="F49" s="7" t="s">
        <v>890</v>
      </c>
      <c r="G49" s="149">
        <v>537.20000000000005</v>
      </c>
      <c r="H49" s="29"/>
      <c r="J49" s="206">
        <v>537.20000000000005</v>
      </c>
      <c r="K49" t="b">
        <f t="shared" si="0"/>
        <v>1</v>
      </c>
    </row>
    <row r="50" spans="1:11">
      <c r="A50" s="7">
        <v>46</v>
      </c>
      <c r="B50" s="29" t="s">
        <v>485</v>
      </c>
      <c r="C50" s="29" t="s">
        <v>515</v>
      </c>
      <c r="D50" s="204" t="s">
        <v>699</v>
      </c>
      <c r="E50" s="7" t="s">
        <v>649</v>
      </c>
      <c r="F50" s="7" t="s">
        <v>920</v>
      </c>
      <c r="G50" s="149">
        <v>1331.64</v>
      </c>
      <c r="H50" s="29"/>
      <c r="I50" s="133"/>
      <c r="J50" s="206">
        <v>1331.64</v>
      </c>
      <c r="K50" t="b">
        <f t="shared" si="0"/>
        <v>1</v>
      </c>
    </row>
    <row r="51" spans="1:11">
      <c r="A51" s="7">
        <v>47</v>
      </c>
      <c r="B51" s="37" t="s">
        <v>486</v>
      </c>
      <c r="C51" s="37" t="s">
        <v>453</v>
      </c>
      <c r="D51" s="204" t="s">
        <v>700</v>
      </c>
      <c r="E51" s="58" t="s">
        <v>644</v>
      </c>
      <c r="F51" s="7" t="s">
        <v>919</v>
      </c>
      <c r="G51" s="149">
        <v>1544.85</v>
      </c>
      <c r="H51" s="29"/>
      <c r="J51" s="206">
        <v>1544.85</v>
      </c>
      <c r="K51" t="b">
        <f t="shared" si="0"/>
        <v>1</v>
      </c>
    </row>
    <row r="52" spans="1:11">
      <c r="A52" s="7">
        <v>48</v>
      </c>
      <c r="B52" s="37" t="s">
        <v>734</v>
      </c>
      <c r="C52" s="37" t="s">
        <v>735</v>
      </c>
      <c r="D52" s="204" t="s">
        <v>736</v>
      </c>
      <c r="E52" s="58" t="s">
        <v>649</v>
      </c>
      <c r="F52" s="7" t="s">
        <v>921</v>
      </c>
      <c r="G52" s="149"/>
      <c r="H52" s="29" t="s">
        <v>726</v>
      </c>
      <c r="J52" s="206"/>
    </row>
    <row r="53" spans="1:11">
      <c r="A53" s="7">
        <v>49</v>
      </c>
      <c r="B53" s="29" t="s">
        <v>487</v>
      </c>
      <c r="C53" s="29" t="s">
        <v>516</v>
      </c>
      <c r="D53" s="204" t="s">
        <v>702</v>
      </c>
      <c r="E53" s="7" t="s">
        <v>649</v>
      </c>
      <c r="F53" s="7" t="s">
        <v>922</v>
      </c>
      <c r="G53" s="149">
        <v>827.82</v>
      </c>
      <c r="H53" s="29"/>
      <c r="J53" s="206">
        <v>827.82</v>
      </c>
      <c r="K53" t="b">
        <f t="shared" si="0"/>
        <v>1</v>
      </c>
    </row>
    <row r="54" spans="1:11">
      <c r="A54" s="7">
        <v>50</v>
      </c>
      <c r="B54" s="29" t="s">
        <v>488</v>
      </c>
      <c r="C54" s="29" t="s">
        <v>517</v>
      </c>
      <c r="D54" s="204" t="s">
        <v>703</v>
      </c>
      <c r="E54" s="7" t="s">
        <v>649</v>
      </c>
      <c r="F54" s="7" t="s">
        <v>902</v>
      </c>
      <c r="G54" s="149">
        <v>1390.5</v>
      </c>
      <c r="H54" s="29"/>
      <c r="J54" s="206">
        <v>1390.5</v>
      </c>
      <c r="K54" t="b">
        <f t="shared" si="0"/>
        <v>1</v>
      </c>
    </row>
    <row r="55" spans="1:11">
      <c r="A55" s="7">
        <v>51</v>
      </c>
      <c r="B55" s="29" t="s">
        <v>490</v>
      </c>
      <c r="C55" s="29" t="s">
        <v>518</v>
      </c>
      <c r="D55" s="204" t="s">
        <v>704</v>
      </c>
      <c r="E55" s="7" t="s">
        <v>649</v>
      </c>
      <c r="F55" s="7" t="s">
        <v>902</v>
      </c>
      <c r="G55" s="149">
        <v>1390.5</v>
      </c>
      <c r="H55" s="29"/>
      <c r="J55" s="206">
        <v>1390.5</v>
      </c>
      <c r="K55" t="b">
        <f t="shared" si="0"/>
        <v>1</v>
      </c>
    </row>
    <row r="56" spans="1:11">
      <c r="A56" s="7">
        <v>52</v>
      </c>
      <c r="B56" s="29" t="s">
        <v>491</v>
      </c>
      <c r="C56" s="29" t="s">
        <v>456</v>
      </c>
      <c r="D56" s="204" t="s">
        <v>705</v>
      </c>
      <c r="E56" s="7" t="s">
        <v>649</v>
      </c>
      <c r="F56" s="7" t="s">
        <v>923</v>
      </c>
      <c r="G56" s="149">
        <v>669.3</v>
      </c>
      <c r="H56" s="29"/>
      <c r="J56" s="206">
        <v>669.3</v>
      </c>
      <c r="K56" t="b">
        <f t="shared" si="0"/>
        <v>1</v>
      </c>
    </row>
    <row r="57" spans="1:11">
      <c r="A57" s="7">
        <v>53</v>
      </c>
      <c r="B57" s="37" t="s">
        <v>492</v>
      </c>
      <c r="C57" s="37" t="s">
        <v>519</v>
      </c>
      <c r="D57" s="204" t="s">
        <v>706</v>
      </c>
      <c r="E57" s="7" t="s">
        <v>649</v>
      </c>
      <c r="F57" s="7" t="s">
        <v>889</v>
      </c>
      <c r="G57" s="149">
        <v>573.82000000000005</v>
      </c>
      <c r="H57" s="29"/>
      <c r="J57" s="206">
        <v>573.82000000000005</v>
      </c>
      <c r="K57" t="b">
        <f t="shared" si="0"/>
        <v>1</v>
      </c>
    </row>
    <row r="58" spans="1:11">
      <c r="A58" s="7">
        <v>54</v>
      </c>
      <c r="B58" s="29" t="s">
        <v>492</v>
      </c>
      <c r="C58" s="29" t="s">
        <v>520</v>
      </c>
      <c r="D58" s="204" t="s">
        <v>707</v>
      </c>
      <c r="E58" s="58" t="s">
        <v>644</v>
      </c>
      <c r="F58" s="7" t="s">
        <v>924</v>
      </c>
      <c r="G58" s="149">
        <v>1158.75</v>
      </c>
      <c r="H58" s="29"/>
      <c r="J58" s="206">
        <v>1158.75</v>
      </c>
      <c r="K58" t="b">
        <f t="shared" si="0"/>
        <v>1</v>
      </c>
    </row>
    <row r="59" spans="1:11">
      <c r="A59" s="7">
        <v>55</v>
      </c>
      <c r="B59" s="37" t="s">
        <v>493</v>
      </c>
      <c r="C59" s="37" t="s">
        <v>457</v>
      </c>
      <c r="D59" s="204" t="s">
        <v>708</v>
      </c>
      <c r="E59" s="58" t="s">
        <v>644</v>
      </c>
      <c r="F59" s="7" t="s">
        <v>925</v>
      </c>
      <c r="G59" s="149">
        <v>2694.49</v>
      </c>
      <c r="H59" s="29" t="s">
        <v>739</v>
      </c>
      <c r="J59" s="206">
        <v>1409.05</v>
      </c>
      <c r="K59" t="b">
        <f t="shared" si="0"/>
        <v>0</v>
      </c>
    </row>
    <row r="60" spans="1:11">
      <c r="A60" s="7">
        <v>56</v>
      </c>
      <c r="B60" s="37" t="s">
        <v>494</v>
      </c>
      <c r="C60" s="37" t="s">
        <v>522</v>
      </c>
      <c r="D60" s="204" t="s">
        <v>709</v>
      </c>
      <c r="E60" s="7" t="s">
        <v>649</v>
      </c>
      <c r="F60" s="7" t="s">
        <v>910</v>
      </c>
      <c r="G60" s="149">
        <v>548.32000000000005</v>
      </c>
      <c r="H60" s="29"/>
      <c r="J60" s="206">
        <v>548.32000000000005</v>
      </c>
      <c r="K60" t="b">
        <f t="shared" si="0"/>
        <v>1</v>
      </c>
    </row>
    <row r="61" spans="1:11">
      <c r="A61" s="7">
        <v>57</v>
      </c>
      <c r="B61" s="29" t="s">
        <v>534</v>
      </c>
      <c r="C61" s="29" t="s">
        <v>533</v>
      </c>
      <c r="D61" s="204" t="s">
        <v>710</v>
      </c>
      <c r="E61" s="58" t="s">
        <v>644</v>
      </c>
      <c r="F61" s="7" t="s">
        <v>926</v>
      </c>
      <c r="G61" s="149">
        <v>1254.24</v>
      </c>
      <c r="H61" s="29"/>
      <c r="J61" s="206">
        <v>1254.24</v>
      </c>
      <c r="K61" t="b">
        <f t="shared" si="0"/>
        <v>1</v>
      </c>
    </row>
    <row r="62" spans="1:11">
      <c r="A62" s="7">
        <v>58</v>
      </c>
      <c r="B62" s="29" t="s">
        <v>534</v>
      </c>
      <c r="C62" s="29" t="s">
        <v>580</v>
      </c>
      <c r="D62" s="204" t="s">
        <v>711</v>
      </c>
      <c r="E62" s="198" t="s">
        <v>645</v>
      </c>
      <c r="F62" s="7" t="s">
        <v>927</v>
      </c>
      <c r="G62" s="149">
        <v>1526.49</v>
      </c>
      <c r="H62" s="29"/>
      <c r="J62" s="206">
        <v>1526.49</v>
      </c>
      <c r="K62" t="b">
        <f t="shared" si="0"/>
        <v>1</v>
      </c>
    </row>
    <row r="63" spans="1:11">
      <c r="A63" s="7">
        <v>59</v>
      </c>
      <c r="B63" s="37" t="s">
        <v>495</v>
      </c>
      <c r="C63" s="37" t="s">
        <v>459</v>
      </c>
      <c r="D63" s="204" t="s">
        <v>712</v>
      </c>
      <c r="E63" s="7" t="s">
        <v>649</v>
      </c>
      <c r="F63" s="7" t="s">
        <v>890</v>
      </c>
      <c r="G63" s="149">
        <v>537.20000000000005</v>
      </c>
      <c r="H63" s="29"/>
      <c r="J63" s="206">
        <v>537.20000000000005</v>
      </c>
      <c r="K63" t="b">
        <f t="shared" si="0"/>
        <v>1</v>
      </c>
    </row>
    <row r="64" spans="1:11">
      <c r="A64" s="7">
        <v>60</v>
      </c>
      <c r="B64" s="154" t="s">
        <v>495</v>
      </c>
      <c r="C64" s="154" t="s">
        <v>566</v>
      </c>
      <c r="D64" s="205" t="s">
        <v>713</v>
      </c>
      <c r="E64" s="153" t="s">
        <v>646</v>
      </c>
      <c r="F64" s="7" t="s">
        <v>928</v>
      </c>
      <c r="G64" s="181">
        <v>1910.73</v>
      </c>
      <c r="H64" s="158"/>
      <c r="I64" s="199">
        <f>301.74*2</f>
        <v>603.48</v>
      </c>
      <c r="J64" s="206">
        <v>1910.73</v>
      </c>
      <c r="K64" t="b">
        <f t="shared" si="0"/>
        <v>1</v>
      </c>
    </row>
    <row r="65" spans="1:11">
      <c r="A65" s="113"/>
      <c r="B65" s="102"/>
      <c r="C65" s="102"/>
      <c r="D65" s="102"/>
      <c r="E65" s="115"/>
      <c r="F65" s="115"/>
      <c r="G65" s="117"/>
      <c r="H65" s="114"/>
      <c r="J65" s="15"/>
      <c r="K65" s="15"/>
    </row>
    <row r="66" spans="1:11">
      <c r="A66" s="458" t="s">
        <v>652</v>
      </c>
      <c r="B66" s="459"/>
      <c r="C66" s="459"/>
      <c r="D66" s="459"/>
      <c r="E66" s="460"/>
      <c r="F66" s="208"/>
      <c r="G66" s="111">
        <f>SUM(G5:G64)</f>
        <v>61869.80999999999</v>
      </c>
      <c r="H66" s="112"/>
      <c r="I66">
        <f>SUM(I6:I65)</f>
        <v>1868.8600000000001</v>
      </c>
    </row>
    <row r="67" spans="1:11">
      <c r="A67" s="431" t="s">
        <v>258</v>
      </c>
      <c r="B67" s="432"/>
      <c r="C67" s="141"/>
      <c r="D67" s="141"/>
      <c r="E67" s="7">
        <f>COUNTA(B6:B64)</f>
        <v>59</v>
      </c>
      <c r="F67" s="7"/>
      <c r="G67" s="52"/>
      <c r="H67" s="29"/>
    </row>
    <row r="68" spans="1:11">
      <c r="A68" s="431" t="s">
        <v>242</v>
      </c>
      <c r="B68" s="432"/>
      <c r="C68" s="141"/>
      <c r="D68" s="141"/>
      <c r="E68" s="58">
        <v>36</v>
      </c>
      <c r="F68" s="58"/>
      <c r="G68" s="52"/>
      <c r="H68" s="29"/>
    </row>
    <row r="69" spans="1:11">
      <c r="A69" s="433" t="s">
        <v>246</v>
      </c>
      <c r="B69" s="434"/>
      <c r="C69" s="92"/>
      <c r="D69" s="92"/>
      <c r="E69" s="86">
        <f>E67+E68</f>
        <v>95</v>
      </c>
      <c r="F69" s="86"/>
      <c r="G69" s="52"/>
      <c r="H69" s="29"/>
    </row>
    <row r="70" spans="1:11">
      <c r="A70" s="455" t="s">
        <v>257</v>
      </c>
      <c r="B70" s="456"/>
      <c r="C70" s="456"/>
      <c r="D70" s="456"/>
      <c r="E70" s="457"/>
      <c r="F70" s="209"/>
      <c r="G70" s="184">
        <f>SUM(G71:G75)</f>
        <v>-6196.2799999999988</v>
      </c>
      <c r="H70" s="185"/>
      <c r="J70" s="15"/>
    </row>
    <row r="71" spans="1:11" s="6" customFormat="1">
      <c r="A71" s="187"/>
      <c r="B71" s="37" t="s">
        <v>542</v>
      </c>
      <c r="C71" s="37" t="s">
        <v>543</v>
      </c>
      <c r="D71" s="204" t="s">
        <v>670</v>
      </c>
      <c r="E71" s="7" t="s">
        <v>649</v>
      </c>
      <c r="F71" s="7"/>
      <c r="G71" s="149">
        <v>-2067.2199999999998</v>
      </c>
      <c r="H71" s="29" t="s">
        <v>722</v>
      </c>
      <c r="J71" s="197"/>
    </row>
    <row r="72" spans="1:11" s="6" customFormat="1">
      <c r="A72" s="187"/>
      <c r="B72" s="29" t="s">
        <v>476</v>
      </c>
      <c r="C72" s="29" t="s">
        <v>447</v>
      </c>
      <c r="D72" s="204" t="s">
        <v>685</v>
      </c>
      <c r="E72" s="58" t="s">
        <v>644</v>
      </c>
      <c r="F72" s="58"/>
      <c r="G72" s="149">
        <v>-1944.1</v>
      </c>
      <c r="H72" s="29" t="s">
        <v>722</v>
      </c>
      <c r="J72" s="197"/>
    </row>
    <row r="73" spans="1:11" s="6" customFormat="1">
      <c r="A73" s="187"/>
      <c r="B73" s="37" t="s">
        <v>486</v>
      </c>
      <c r="C73" s="37" t="s">
        <v>454</v>
      </c>
      <c r="D73" s="204" t="s">
        <v>701</v>
      </c>
      <c r="E73" s="7" t="s">
        <v>649</v>
      </c>
      <c r="F73" s="7"/>
      <c r="G73" s="149">
        <v>-1110.56</v>
      </c>
      <c r="H73" s="29" t="s">
        <v>722</v>
      </c>
      <c r="J73" s="197"/>
    </row>
    <row r="74" spans="1:11" s="6" customFormat="1">
      <c r="A74" s="187"/>
      <c r="B74" s="37" t="s">
        <v>530</v>
      </c>
      <c r="C74" s="37" t="s">
        <v>529</v>
      </c>
      <c r="D74" s="204" t="s">
        <v>714</v>
      </c>
      <c r="E74" s="7" t="s">
        <v>649</v>
      </c>
      <c r="F74" s="7"/>
      <c r="G74" s="149">
        <v>-1074.4000000000001</v>
      </c>
      <c r="H74" s="29" t="s">
        <v>722</v>
      </c>
      <c r="J74" s="197"/>
    </row>
    <row r="75" spans="1:11" s="29" customFormat="1">
      <c r="A75" s="187"/>
      <c r="D75" s="37"/>
      <c r="E75" s="187"/>
      <c r="F75" s="187"/>
      <c r="G75" s="52"/>
      <c r="J75" s="188"/>
    </row>
    <row r="76" spans="1:11" ht="12" customHeight="1">
      <c r="A76" s="458" t="s">
        <v>265</v>
      </c>
      <c r="B76" s="459"/>
      <c r="C76" s="459"/>
      <c r="D76" s="459"/>
      <c r="E76" s="460"/>
      <c r="F76" s="208"/>
      <c r="G76" s="111"/>
      <c r="H76" s="186"/>
    </row>
    <row r="77" spans="1:11" ht="12" customHeight="1">
      <c r="A77" s="172"/>
      <c r="B77" s="173"/>
      <c r="C77" s="173"/>
      <c r="D77" s="429" t="s">
        <v>598</v>
      </c>
      <c r="E77" s="430"/>
      <c r="F77" s="92"/>
      <c r="G77" s="83"/>
      <c r="H77" s="75"/>
    </row>
    <row r="78" spans="1:11">
      <c r="A78" s="422" t="s">
        <v>37</v>
      </c>
      <c r="B78" s="423"/>
      <c r="C78" s="423"/>
      <c r="D78" s="423"/>
      <c r="E78" s="424"/>
      <c r="F78" s="210"/>
      <c r="G78" s="80">
        <f>G66+G70</f>
        <v>55673.529999999992</v>
      </c>
      <c r="H78" s="84"/>
    </row>
    <row r="79" spans="1:11" ht="18">
      <c r="E79" s="151" t="s">
        <v>250</v>
      </c>
      <c r="F79" s="151"/>
      <c r="G79" s="151"/>
      <c r="H79" s="118">
        <v>44874</v>
      </c>
    </row>
    <row r="80" spans="1:11" ht="18">
      <c r="E80" s="151" t="s">
        <v>251</v>
      </c>
      <c r="F80" s="151"/>
      <c r="G80" s="151"/>
      <c r="H80" s="119" t="s">
        <v>740</v>
      </c>
    </row>
    <row r="85" spans="1:11" s="3" customFormat="1">
      <c r="A85"/>
      <c r="B85"/>
      <c r="C85"/>
      <c r="D85"/>
      <c r="G85" s="152"/>
      <c r="H85"/>
      <c r="I85"/>
      <c r="J85"/>
      <c r="K85"/>
    </row>
  </sheetData>
  <autoFilter ref="A4:H64" xr:uid="{EC283F26-1258-B84E-AE05-5C35489C3CC6}">
    <sortState xmlns:xlrd2="http://schemas.microsoft.com/office/spreadsheetml/2017/richdata2" ref="A5:H64">
      <sortCondition ref="B4:B64"/>
    </sortState>
  </autoFilter>
  <mergeCells count="8">
    <mergeCell ref="D77:E77"/>
    <mergeCell ref="A78:E78"/>
    <mergeCell ref="A66:E66"/>
    <mergeCell ref="A67:B67"/>
    <mergeCell ref="A68:B68"/>
    <mergeCell ref="A69:B69"/>
    <mergeCell ref="A70:E70"/>
    <mergeCell ref="A76:E76"/>
  </mergeCells>
  <conditionalFormatting sqref="B82">
    <cfRule type="duplicateValues" dxfId="1127" priority="47"/>
    <cfRule type="duplicateValues" dxfId="1126" priority="48"/>
  </conditionalFormatting>
  <conditionalFormatting sqref="B83">
    <cfRule type="duplicateValues" dxfId="1125" priority="45"/>
    <cfRule type="duplicateValues" dxfId="1124" priority="46"/>
  </conditionalFormatting>
  <conditionalFormatting sqref="B85">
    <cfRule type="duplicateValues" dxfId="1123" priority="43"/>
    <cfRule type="duplicateValues" dxfId="1122" priority="44"/>
  </conditionalFormatting>
  <conditionalFormatting sqref="B87">
    <cfRule type="duplicateValues" dxfId="1121" priority="41"/>
    <cfRule type="duplicateValues" dxfId="1120" priority="42"/>
  </conditionalFormatting>
  <conditionalFormatting sqref="B65:C65 D8:D65">
    <cfRule type="duplicateValues" dxfId="1119" priority="54"/>
  </conditionalFormatting>
  <conditionalFormatting sqref="B75:D75">
    <cfRule type="duplicateValues" dxfId="1118" priority="38"/>
    <cfRule type="duplicateValues" dxfId="1117" priority="39"/>
    <cfRule type="duplicateValues" dxfId="1116" priority="40"/>
  </conditionalFormatting>
  <conditionalFormatting sqref="B76:D80 B65:C70 D1:D3 B1:C4 D8:D70">
    <cfRule type="duplicateValues" dxfId="1115" priority="53"/>
  </conditionalFormatting>
  <conditionalFormatting sqref="B76:D81 D1:D3 B1:C4 B65:C70 C83:D83 C85:D85 B84:D84 B88:D1048576 C87:D87 B86:D86 D8:D70">
    <cfRule type="duplicateValues" dxfId="1114" priority="51"/>
  </conditionalFormatting>
  <conditionalFormatting sqref="B81:D81 C83:D83 C85:D85 B84:D84 B88:D1048576 C87:D87 B86:D86">
    <cfRule type="duplicateValues" dxfId="1113" priority="55"/>
  </conditionalFormatting>
  <conditionalFormatting sqref="D4 D6:D7">
    <cfRule type="duplicateValues" dxfId="1112" priority="49"/>
  </conditionalFormatting>
  <conditionalFormatting sqref="D6:D64">
    <cfRule type="duplicateValues" dxfId="1111" priority="350"/>
  </conditionalFormatting>
  <conditionalFormatting sqref="D71">
    <cfRule type="duplicateValues" dxfId="1110" priority="19"/>
    <cfRule type="duplicateValues" dxfId="1109" priority="21"/>
    <cfRule type="duplicateValues" dxfId="1108" priority="22"/>
    <cfRule type="duplicateValues" dxfId="1107" priority="23"/>
  </conditionalFormatting>
  <conditionalFormatting sqref="D72">
    <cfRule type="duplicateValues" dxfId="1106" priority="14"/>
    <cfRule type="duplicateValues" dxfId="1105" priority="16"/>
    <cfRule type="duplicateValues" dxfId="1104" priority="17"/>
    <cfRule type="duplicateValues" dxfId="1103" priority="18"/>
  </conditionalFormatting>
  <conditionalFormatting sqref="D73">
    <cfRule type="duplicateValues" dxfId="1102" priority="8"/>
    <cfRule type="duplicateValues" dxfId="1101" priority="10"/>
    <cfRule type="duplicateValues" dxfId="1100" priority="11"/>
    <cfRule type="duplicateValues" dxfId="1099" priority="12"/>
  </conditionalFormatting>
  <conditionalFormatting sqref="D74">
    <cfRule type="duplicateValues" dxfId="1098" priority="2"/>
    <cfRule type="duplicateValues" dxfId="1097" priority="4"/>
    <cfRule type="duplicateValues" dxfId="1096" priority="5"/>
    <cfRule type="duplicateValues" dxfId="1095" priority="6"/>
  </conditionalFormatting>
  <conditionalFormatting sqref="E71:F74">
    <cfRule type="notContainsText" dxfId="1094" priority="3" operator="notContains" text="Only">
      <formula>ISERROR(SEARCH("Only",E71))</formula>
    </cfRule>
  </conditionalFormatting>
  <conditionalFormatting sqref="F5 E6:F64">
    <cfRule type="notContainsText" dxfId="1093" priority="25" operator="notContains" text="Only">
      <formula>ISERROR(SEARCH("Only",E5))</formula>
    </cfRule>
  </conditionalFormatting>
  <conditionalFormatting sqref="H8:H18 H20:H30">
    <cfRule type="notContainsBlanks" dxfId="1092" priority="52">
      <formula>LEN(TRIM(H8))&gt;0</formula>
    </cfRule>
  </conditionalFormatting>
  <conditionalFormatting sqref="H32:H78">
    <cfRule type="notContainsBlanks" dxfId="1091" priority="1">
      <formula>LEN(TRIM(H32))&gt;0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B65A-2C7E-0F45-A69F-31DF7DAE8BC3}">
  <sheetPr>
    <tabColor theme="8"/>
    <pageSetUpPr fitToPage="1"/>
  </sheetPr>
  <dimension ref="A1:J85"/>
  <sheetViews>
    <sheetView zoomScale="140" zoomScaleNormal="140" zoomScalePageLayoutView="140" workbookViewId="0">
      <pane xSplit="3" ySplit="4" topLeftCell="D48" activePane="bottomRight" state="frozen"/>
      <selection pane="topRight" activeCell="D1" sqref="D1"/>
      <selection pane="bottomLeft" activeCell="A5" sqref="A5"/>
      <selection pane="bottomRight" activeCell="K16" sqref="K16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5" width="17.33203125" style="3" customWidth="1"/>
    <col min="6" max="6" width="16" style="152" customWidth="1"/>
    <col min="7" max="7" width="39.1640625" customWidth="1"/>
    <col min="8" max="8" width="8.5" customWidth="1"/>
    <col min="9" max="9" width="18.1640625" bestFit="1" customWidth="1"/>
  </cols>
  <sheetData>
    <row r="1" spans="1:10">
      <c r="A1" s="1" t="s">
        <v>0</v>
      </c>
      <c r="E1" s="88"/>
      <c r="F1" s="146" t="s">
        <v>342</v>
      </c>
      <c r="G1" s="68" t="s">
        <v>223</v>
      </c>
    </row>
    <row r="2" spans="1:10" ht="13.5" customHeight="1">
      <c r="A2" s="1" t="s">
        <v>249</v>
      </c>
      <c r="F2" s="51" t="s">
        <v>651</v>
      </c>
      <c r="G2" s="123"/>
    </row>
    <row r="3" spans="1:10" ht="14" customHeight="1">
      <c r="F3" s="201"/>
      <c r="G3" s="201" t="s">
        <v>562</v>
      </c>
    </row>
    <row r="4" spans="1:10" ht="14">
      <c r="A4" s="50" t="s">
        <v>226</v>
      </c>
      <c r="B4" s="50" t="s">
        <v>498</v>
      </c>
      <c r="C4" s="50" t="s">
        <v>499</v>
      </c>
      <c r="D4" s="202" t="s">
        <v>500</v>
      </c>
      <c r="E4" s="50" t="s">
        <v>643</v>
      </c>
      <c r="F4" s="168" t="s">
        <v>584</v>
      </c>
      <c r="G4" s="50" t="s">
        <v>227</v>
      </c>
      <c r="J4" t="s">
        <v>720</v>
      </c>
    </row>
    <row r="5" spans="1:10">
      <c r="A5" s="7">
        <v>1</v>
      </c>
      <c r="B5" s="161" t="s">
        <v>556</v>
      </c>
      <c r="C5" s="161" t="s">
        <v>557</v>
      </c>
      <c r="D5" s="203" t="s">
        <v>658</v>
      </c>
      <c r="E5" s="7" t="s">
        <v>649</v>
      </c>
      <c r="F5" s="160">
        <v>463.5</v>
      </c>
      <c r="G5" s="7"/>
      <c r="I5" s="206">
        <v>463.5</v>
      </c>
      <c r="J5" t="b">
        <f t="shared" ref="J5:J36" si="0">I5=F5</f>
        <v>1</v>
      </c>
    </row>
    <row r="6" spans="1:10">
      <c r="A6" s="7">
        <v>2</v>
      </c>
      <c r="B6" s="161" t="s">
        <v>585</v>
      </c>
      <c r="C6" s="161" t="s">
        <v>586</v>
      </c>
      <c r="D6" s="203" t="s">
        <v>659</v>
      </c>
      <c r="E6" s="7" t="s">
        <v>645</v>
      </c>
      <c r="F6" s="160">
        <v>1488.01</v>
      </c>
      <c r="G6" s="161"/>
      <c r="I6" s="206">
        <v>1488.01</v>
      </c>
      <c r="J6" t="b">
        <f t="shared" si="0"/>
        <v>1</v>
      </c>
    </row>
    <row r="7" spans="1:10">
      <c r="A7" s="7">
        <v>3</v>
      </c>
      <c r="B7" s="29" t="s">
        <v>462</v>
      </c>
      <c r="C7" s="29" t="s">
        <v>425</v>
      </c>
      <c r="D7" s="204" t="s">
        <v>660</v>
      </c>
      <c r="E7" s="58" t="s">
        <v>644</v>
      </c>
      <c r="F7" s="149">
        <v>1016.08</v>
      </c>
      <c r="G7" s="29"/>
      <c r="I7" s="206">
        <v>1016.08</v>
      </c>
      <c r="J7" t="b">
        <f t="shared" si="0"/>
        <v>1</v>
      </c>
    </row>
    <row r="8" spans="1:10">
      <c r="A8" s="7">
        <v>4</v>
      </c>
      <c r="B8" s="29" t="s">
        <v>460</v>
      </c>
      <c r="C8" s="29" t="s">
        <v>426</v>
      </c>
      <c r="D8" s="204" t="s">
        <v>661</v>
      </c>
      <c r="E8" s="7" t="s">
        <v>649</v>
      </c>
      <c r="F8" s="149">
        <v>1181.01</v>
      </c>
      <c r="G8" s="29"/>
      <c r="I8" s="206">
        <v>1181.01</v>
      </c>
      <c r="J8" t="b">
        <f t="shared" si="0"/>
        <v>1</v>
      </c>
    </row>
    <row r="9" spans="1:10">
      <c r="A9" s="7">
        <v>5</v>
      </c>
      <c r="B9" s="29" t="s">
        <v>525</v>
      </c>
      <c r="C9" s="29" t="s">
        <v>654</v>
      </c>
      <c r="D9" s="204" t="s">
        <v>717</v>
      </c>
      <c r="E9" s="7" t="s">
        <v>644</v>
      </c>
      <c r="F9" s="149">
        <v>1617.17</v>
      </c>
      <c r="G9" s="29" t="s">
        <v>655</v>
      </c>
      <c r="I9" s="206">
        <v>1617.17</v>
      </c>
      <c r="J9" t="b">
        <f t="shared" si="0"/>
        <v>1</v>
      </c>
    </row>
    <row r="10" spans="1:10">
      <c r="A10" s="7">
        <v>6</v>
      </c>
      <c r="B10" s="37" t="s">
        <v>463</v>
      </c>
      <c r="C10" s="37" t="s">
        <v>427</v>
      </c>
      <c r="D10" s="204" t="s">
        <v>662</v>
      </c>
      <c r="E10" s="7" t="s">
        <v>649</v>
      </c>
      <c r="F10" s="149">
        <v>573.82000000000005</v>
      </c>
      <c r="G10" s="29"/>
      <c r="I10" s="206">
        <v>573.82000000000005</v>
      </c>
      <c r="J10" t="b">
        <f>I10=F10</f>
        <v>1</v>
      </c>
    </row>
    <row r="11" spans="1:10" s="1" customFormat="1">
      <c r="A11" s="7">
        <v>7</v>
      </c>
      <c r="B11" s="61" t="s">
        <v>463</v>
      </c>
      <c r="C11" s="61" t="s">
        <v>608</v>
      </c>
      <c r="D11" s="204" t="s">
        <v>663</v>
      </c>
      <c r="E11" s="7" t="s">
        <v>649</v>
      </c>
      <c r="F11" s="189">
        <v>537.20000000000005</v>
      </c>
      <c r="G11" s="29"/>
      <c r="I11" s="206">
        <v>537.20000000000005</v>
      </c>
      <c r="J11" t="b">
        <f t="shared" si="0"/>
        <v>1</v>
      </c>
    </row>
    <row r="12" spans="1:10">
      <c r="A12" s="7">
        <v>8</v>
      </c>
      <c r="B12" s="29" t="s">
        <v>464</v>
      </c>
      <c r="C12" s="29" t="s">
        <v>428</v>
      </c>
      <c r="D12" s="204" t="s">
        <v>664</v>
      </c>
      <c r="E12" s="58" t="s">
        <v>644</v>
      </c>
      <c r="F12" s="149">
        <v>1670</v>
      </c>
      <c r="G12" s="29"/>
      <c r="I12" s="206">
        <v>1670</v>
      </c>
      <c r="J12" t="b">
        <f t="shared" si="0"/>
        <v>1</v>
      </c>
    </row>
    <row r="13" spans="1:10">
      <c r="A13" s="7">
        <v>9</v>
      </c>
      <c r="B13" s="29" t="s">
        <v>464</v>
      </c>
      <c r="C13" s="29" t="s">
        <v>429</v>
      </c>
      <c r="D13" s="204" t="s">
        <v>665</v>
      </c>
      <c r="E13" s="7" t="s">
        <v>649</v>
      </c>
      <c r="F13" s="149">
        <v>577.52</v>
      </c>
      <c r="G13" s="29"/>
      <c r="I13" s="206">
        <v>577.52</v>
      </c>
      <c r="J13" t="b">
        <f t="shared" si="0"/>
        <v>1</v>
      </c>
    </row>
    <row r="14" spans="1:10">
      <c r="A14" s="7">
        <v>10</v>
      </c>
      <c r="B14" s="37" t="s">
        <v>465</v>
      </c>
      <c r="C14" s="37" t="s">
        <v>430</v>
      </c>
      <c r="D14" s="204" t="s">
        <v>666</v>
      </c>
      <c r="E14" s="58" t="s">
        <v>644</v>
      </c>
      <c r="F14" s="149">
        <v>923.85</v>
      </c>
      <c r="G14" s="29"/>
      <c r="I14" s="206">
        <v>923.85</v>
      </c>
      <c r="J14" t="b">
        <f t="shared" si="0"/>
        <v>1</v>
      </c>
    </row>
    <row r="15" spans="1:10" s="1" customFormat="1">
      <c r="A15" s="7">
        <v>11</v>
      </c>
      <c r="B15" s="29" t="s">
        <v>466</v>
      </c>
      <c r="C15" s="29" t="s">
        <v>431</v>
      </c>
      <c r="D15" s="204" t="s">
        <v>667</v>
      </c>
      <c r="E15" s="7" t="s">
        <v>645</v>
      </c>
      <c r="F15" s="189">
        <v>1717.74</v>
      </c>
      <c r="G15" s="29"/>
      <c r="I15" s="206">
        <v>1717.74</v>
      </c>
      <c r="J15" t="b">
        <f t="shared" si="0"/>
        <v>1</v>
      </c>
    </row>
    <row r="16" spans="1:10">
      <c r="A16" s="7">
        <v>12</v>
      </c>
      <c r="B16" s="37" t="s">
        <v>467</v>
      </c>
      <c r="C16" s="37" t="s">
        <v>501</v>
      </c>
      <c r="D16" s="204" t="s">
        <v>668</v>
      </c>
      <c r="E16" s="7" t="s">
        <v>649</v>
      </c>
      <c r="F16" s="149">
        <v>989.58</v>
      </c>
      <c r="G16" s="29"/>
      <c r="H16" s="159"/>
      <c r="I16" s="206">
        <v>989.58</v>
      </c>
      <c r="J16" t="b">
        <f t="shared" si="0"/>
        <v>1</v>
      </c>
    </row>
    <row r="17" spans="1:10">
      <c r="A17" s="7">
        <v>13</v>
      </c>
      <c r="B17" s="37" t="s">
        <v>468</v>
      </c>
      <c r="C17" s="37" t="s">
        <v>432</v>
      </c>
      <c r="D17" s="204" t="s">
        <v>669</v>
      </c>
      <c r="E17" s="7" t="s">
        <v>649</v>
      </c>
      <c r="F17" s="149">
        <v>485.75</v>
      </c>
      <c r="G17" s="29"/>
      <c r="H17" s="133"/>
      <c r="I17" s="206">
        <v>485.75</v>
      </c>
      <c r="J17" t="b">
        <f t="shared" si="0"/>
        <v>1</v>
      </c>
    </row>
    <row r="18" spans="1:10">
      <c r="A18" s="7">
        <v>14</v>
      </c>
      <c r="B18" s="37" t="s">
        <v>542</v>
      </c>
      <c r="C18" s="37" t="s">
        <v>543</v>
      </c>
      <c r="D18" s="204" t="s">
        <v>670</v>
      </c>
      <c r="E18" s="7" t="s">
        <v>649</v>
      </c>
      <c r="F18" s="149">
        <v>1033.6099999999999</v>
      </c>
      <c r="G18" s="29" t="s">
        <v>275</v>
      </c>
      <c r="I18" t="e">
        <v>#N/A</v>
      </c>
      <c r="J18" t="e">
        <f t="shared" si="0"/>
        <v>#N/A</v>
      </c>
    </row>
    <row r="19" spans="1:10">
      <c r="A19" s="7">
        <v>15</v>
      </c>
      <c r="B19" s="29" t="s">
        <v>469</v>
      </c>
      <c r="C19" s="29" t="s">
        <v>434</v>
      </c>
      <c r="D19" s="204" t="s">
        <v>671</v>
      </c>
      <c r="E19" s="7" t="s">
        <v>649</v>
      </c>
      <c r="F19" s="149">
        <v>1368.26</v>
      </c>
      <c r="G19" s="29"/>
      <c r="I19" s="206">
        <v>1368.26</v>
      </c>
      <c r="J19" t="b">
        <f t="shared" si="0"/>
        <v>1</v>
      </c>
    </row>
    <row r="20" spans="1:10">
      <c r="A20" s="7">
        <v>16</v>
      </c>
      <c r="B20" s="29" t="s">
        <v>436</v>
      </c>
      <c r="C20" s="29" t="s">
        <v>572</v>
      </c>
      <c r="D20" s="204" t="s">
        <v>672</v>
      </c>
      <c r="E20" s="7" t="s">
        <v>645</v>
      </c>
      <c r="F20" s="149">
        <v>1314.66</v>
      </c>
      <c r="G20" s="29"/>
      <c r="I20" s="206">
        <v>1314.66</v>
      </c>
      <c r="J20" t="b">
        <f t="shared" si="0"/>
        <v>1</v>
      </c>
    </row>
    <row r="21" spans="1:10">
      <c r="A21" s="7">
        <v>17</v>
      </c>
      <c r="B21" s="29" t="s">
        <v>436</v>
      </c>
      <c r="C21" s="29" t="s">
        <v>503</v>
      </c>
      <c r="D21" s="204" t="s">
        <v>673</v>
      </c>
      <c r="E21" s="7" t="s">
        <v>645</v>
      </c>
      <c r="F21" s="149">
        <v>1285.46</v>
      </c>
      <c r="G21" s="29"/>
      <c r="I21" s="206">
        <v>1285.46</v>
      </c>
      <c r="J21" t="b">
        <f t="shared" si="0"/>
        <v>1</v>
      </c>
    </row>
    <row r="22" spans="1:10">
      <c r="A22" s="7">
        <v>18</v>
      </c>
      <c r="B22" s="29" t="s">
        <v>437</v>
      </c>
      <c r="C22" s="29" t="s">
        <v>504</v>
      </c>
      <c r="D22" s="204" t="s">
        <v>674</v>
      </c>
      <c r="E22" s="7" t="s">
        <v>649</v>
      </c>
      <c r="F22" s="149">
        <v>555.28</v>
      </c>
      <c r="G22" s="29"/>
      <c r="I22" s="206">
        <v>555.28</v>
      </c>
      <c r="J22" t="b">
        <f t="shared" si="0"/>
        <v>1</v>
      </c>
    </row>
    <row r="23" spans="1:10">
      <c r="A23" s="7">
        <v>19</v>
      </c>
      <c r="B23" s="61" t="s">
        <v>471</v>
      </c>
      <c r="C23" s="61" t="s">
        <v>438</v>
      </c>
      <c r="D23" s="204" t="s">
        <v>715</v>
      </c>
      <c r="E23" s="7" t="s">
        <v>649</v>
      </c>
      <c r="F23" s="149">
        <v>1081.3499999999999</v>
      </c>
      <c r="G23" s="29"/>
      <c r="I23" s="206">
        <v>1081.3499999999999</v>
      </c>
      <c r="J23" t="b">
        <f t="shared" si="0"/>
        <v>1</v>
      </c>
    </row>
    <row r="24" spans="1:10">
      <c r="A24" s="7">
        <v>20</v>
      </c>
      <c r="B24" s="29" t="s">
        <v>439</v>
      </c>
      <c r="C24" s="29" t="s">
        <v>505</v>
      </c>
      <c r="D24" s="204" t="s">
        <v>716</v>
      </c>
      <c r="E24" s="7" t="s">
        <v>649</v>
      </c>
      <c r="F24" s="149">
        <v>1390.5</v>
      </c>
      <c r="G24" s="29"/>
      <c r="I24" s="206">
        <v>1390.5</v>
      </c>
      <c r="J24" t="b">
        <f t="shared" si="0"/>
        <v>1</v>
      </c>
    </row>
    <row r="25" spans="1:10">
      <c r="A25" s="7">
        <v>21</v>
      </c>
      <c r="B25" s="29" t="s">
        <v>472</v>
      </c>
      <c r="C25" s="29" t="s">
        <v>574</v>
      </c>
      <c r="D25" s="204" t="s">
        <v>675</v>
      </c>
      <c r="E25" s="7" t="s">
        <v>649</v>
      </c>
      <c r="F25" s="149">
        <v>592.36</v>
      </c>
      <c r="G25" s="29"/>
      <c r="I25" s="206">
        <v>592.36</v>
      </c>
      <c r="J25" t="b">
        <f t="shared" si="0"/>
        <v>1</v>
      </c>
    </row>
    <row r="26" spans="1:10">
      <c r="A26" s="7">
        <v>22</v>
      </c>
      <c r="B26" s="29" t="s">
        <v>472</v>
      </c>
      <c r="C26" s="29" t="s">
        <v>440</v>
      </c>
      <c r="D26" s="204" t="s">
        <v>676</v>
      </c>
      <c r="E26" s="7" t="s">
        <v>649</v>
      </c>
      <c r="F26" s="149">
        <v>904.76</v>
      </c>
      <c r="G26" s="29"/>
      <c r="I26" s="206">
        <v>904.76</v>
      </c>
      <c r="J26" t="b">
        <f t="shared" si="0"/>
        <v>1</v>
      </c>
    </row>
    <row r="27" spans="1:10">
      <c r="A27" s="7">
        <v>23</v>
      </c>
      <c r="B27" s="37" t="s">
        <v>472</v>
      </c>
      <c r="C27" s="37" t="s">
        <v>441</v>
      </c>
      <c r="D27" s="204" t="s">
        <v>677</v>
      </c>
      <c r="E27" s="7" t="s">
        <v>645</v>
      </c>
      <c r="F27" s="149">
        <v>1550.59</v>
      </c>
      <c r="G27" s="29"/>
      <c r="I27" s="206">
        <v>1550.59</v>
      </c>
      <c r="J27" t="b">
        <f t="shared" si="0"/>
        <v>1</v>
      </c>
    </row>
    <row r="28" spans="1:10">
      <c r="A28" s="7">
        <v>24</v>
      </c>
      <c r="B28" s="37" t="s">
        <v>473</v>
      </c>
      <c r="C28" s="37" t="s">
        <v>442</v>
      </c>
      <c r="D28" s="204" t="s">
        <v>678</v>
      </c>
      <c r="E28" s="7" t="s">
        <v>649</v>
      </c>
      <c r="F28" s="149">
        <v>1368.26</v>
      </c>
      <c r="G28" s="29"/>
      <c r="I28" s="206">
        <v>1368.26</v>
      </c>
      <c r="J28" t="b">
        <f t="shared" si="0"/>
        <v>1</v>
      </c>
    </row>
    <row r="29" spans="1:10">
      <c r="A29" s="7">
        <v>25</v>
      </c>
      <c r="B29" s="37" t="s">
        <v>473</v>
      </c>
      <c r="C29" s="37" t="s">
        <v>443</v>
      </c>
      <c r="D29" s="204" t="s">
        <v>679</v>
      </c>
      <c r="E29" s="7" t="s">
        <v>649</v>
      </c>
      <c r="F29" s="149">
        <v>1302.44</v>
      </c>
      <c r="G29" s="29"/>
      <c r="I29" s="206">
        <v>1302.44</v>
      </c>
      <c r="J29" t="b">
        <f t="shared" si="0"/>
        <v>1</v>
      </c>
    </row>
    <row r="30" spans="1:10">
      <c r="A30" s="7">
        <v>26</v>
      </c>
      <c r="B30" s="29" t="s">
        <v>444</v>
      </c>
      <c r="C30" s="29" t="s">
        <v>506</v>
      </c>
      <c r="D30" s="204" t="s">
        <v>680</v>
      </c>
      <c r="E30" s="7" t="s">
        <v>649</v>
      </c>
      <c r="F30" s="149">
        <v>757.83</v>
      </c>
      <c r="G30" s="29"/>
      <c r="I30" s="206">
        <v>757.83</v>
      </c>
      <c r="J30" t="b">
        <f t="shared" si="0"/>
        <v>1</v>
      </c>
    </row>
    <row r="31" spans="1:10">
      <c r="A31" s="7">
        <v>27</v>
      </c>
      <c r="B31" s="29" t="s">
        <v>474</v>
      </c>
      <c r="C31" s="29" t="s">
        <v>576</v>
      </c>
      <c r="D31" s="204" t="s">
        <v>681</v>
      </c>
      <c r="E31" s="7" t="s">
        <v>646</v>
      </c>
      <c r="F31" s="149">
        <v>1862.53</v>
      </c>
      <c r="G31" s="29"/>
      <c r="H31" s="199">
        <f>285.06*2</f>
        <v>570.12</v>
      </c>
      <c r="I31" s="206">
        <v>1862.53</v>
      </c>
      <c r="J31" t="b">
        <f t="shared" si="0"/>
        <v>1</v>
      </c>
    </row>
    <row r="32" spans="1:10">
      <c r="A32" s="7">
        <v>28</v>
      </c>
      <c r="B32" s="29" t="s">
        <v>474</v>
      </c>
      <c r="C32" s="29" t="s">
        <v>507</v>
      </c>
      <c r="D32" s="204" t="s">
        <v>682</v>
      </c>
      <c r="E32" s="58" t="s">
        <v>644</v>
      </c>
      <c r="F32" s="149">
        <v>931.26</v>
      </c>
      <c r="G32" s="29"/>
      <c r="I32" s="206">
        <v>931.26</v>
      </c>
      <c r="J32" t="b">
        <f t="shared" si="0"/>
        <v>1</v>
      </c>
    </row>
    <row r="33" spans="1:10">
      <c r="A33" s="7">
        <v>29</v>
      </c>
      <c r="B33" s="29" t="s">
        <v>474</v>
      </c>
      <c r="C33" s="29" t="s">
        <v>508</v>
      </c>
      <c r="D33" s="204" t="s">
        <v>683</v>
      </c>
      <c r="E33" s="7" t="s">
        <v>649</v>
      </c>
      <c r="F33" s="149">
        <v>548.32000000000005</v>
      </c>
      <c r="G33" s="29"/>
      <c r="I33" s="206">
        <v>548.32000000000005</v>
      </c>
      <c r="J33" t="b">
        <f t="shared" si="0"/>
        <v>1</v>
      </c>
    </row>
    <row r="34" spans="1:10">
      <c r="A34" s="7">
        <v>30</v>
      </c>
      <c r="B34" s="37" t="s">
        <v>475</v>
      </c>
      <c r="C34" s="37" t="s">
        <v>446</v>
      </c>
      <c r="D34" s="204" t="s">
        <v>684</v>
      </c>
      <c r="E34" s="7" t="s">
        <v>649</v>
      </c>
      <c r="F34" s="149">
        <v>566.4</v>
      </c>
      <c r="G34" s="29"/>
      <c r="I34" s="206">
        <v>566.4</v>
      </c>
      <c r="J34" t="b">
        <f t="shared" si="0"/>
        <v>1</v>
      </c>
    </row>
    <row r="35" spans="1:10">
      <c r="A35" s="7">
        <v>31</v>
      </c>
      <c r="B35" s="29" t="s">
        <v>476</v>
      </c>
      <c r="C35" s="29" t="s">
        <v>447</v>
      </c>
      <c r="D35" s="204" t="s">
        <v>685</v>
      </c>
      <c r="E35" s="58" t="s">
        <v>644</v>
      </c>
      <c r="F35" s="149">
        <v>972.05</v>
      </c>
      <c r="G35" s="29" t="s">
        <v>718</v>
      </c>
      <c r="I35" t="e">
        <v>#N/A</v>
      </c>
      <c r="J35" t="e">
        <f t="shared" si="0"/>
        <v>#N/A</v>
      </c>
    </row>
    <row r="36" spans="1:10">
      <c r="A36" s="7">
        <v>32</v>
      </c>
      <c r="B36" s="29" t="s">
        <v>637</v>
      </c>
      <c r="C36" s="29" t="s">
        <v>449</v>
      </c>
      <c r="D36" s="204" t="s">
        <v>686</v>
      </c>
      <c r="E36" s="7" t="s">
        <v>649</v>
      </c>
      <c r="F36" s="149">
        <v>485.75</v>
      </c>
      <c r="G36" s="29"/>
      <c r="I36" s="206">
        <v>485.75</v>
      </c>
      <c r="J36" t="b">
        <f t="shared" si="0"/>
        <v>1</v>
      </c>
    </row>
    <row r="37" spans="1:10">
      <c r="A37" s="7">
        <v>33</v>
      </c>
      <c r="B37" s="29" t="s">
        <v>478</v>
      </c>
      <c r="C37" s="29" t="s">
        <v>448</v>
      </c>
      <c r="D37" s="204" t="s">
        <v>687</v>
      </c>
      <c r="E37" s="7" t="s">
        <v>649</v>
      </c>
      <c r="F37" s="149">
        <v>1368.26</v>
      </c>
      <c r="G37" s="29"/>
      <c r="H37" s="133"/>
      <c r="I37" s="206">
        <v>1368.26</v>
      </c>
      <c r="J37" t="b">
        <f t="shared" ref="J37:J64" si="1">I37=F37</f>
        <v>1</v>
      </c>
    </row>
    <row r="38" spans="1:10">
      <c r="A38" s="7">
        <v>34</v>
      </c>
      <c r="B38" s="37" t="s">
        <v>497</v>
      </c>
      <c r="C38" s="37" t="s">
        <v>461</v>
      </c>
      <c r="D38" s="204" t="s">
        <v>688</v>
      </c>
      <c r="E38" s="7" t="s">
        <v>649</v>
      </c>
      <c r="F38" s="149">
        <v>555.28</v>
      </c>
      <c r="G38" s="29"/>
      <c r="I38" s="206">
        <v>555.28</v>
      </c>
      <c r="J38" t="b">
        <f t="shared" si="1"/>
        <v>1</v>
      </c>
    </row>
    <row r="39" spans="1:10">
      <c r="A39" s="7">
        <v>35</v>
      </c>
      <c r="B39" s="29" t="s">
        <v>479</v>
      </c>
      <c r="C39" s="29" t="s">
        <v>449</v>
      </c>
      <c r="D39" s="204" t="s">
        <v>689</v>
      </c>
      <c r="E39" s="7" t="s">
        <v>649</v>
      </c>
      <c r="F39" s="149">
        <v>465.36</v>
      </c>
      <c r="G39" s="29"/>
      <c r="I39" s="206">
        <v>465.36</v>
      </c>
      <c r="J39" t="b">
        <f t="shared" si="1"/>
        <v>1</v>
      </c>
    </row>
    <row r="40" spans="1:10">
      <c r="A40" s="7">
        <v>36</v>
      </c>
      <c r="B40" s="29" t="s">
        <v>618</v>
      </c>
      <c r="C40" s="29" t="s">
        <v>619</v>
      </c>
      <c r="D40" s="204" t="s">
        <v>690</v>
      </c>
      <c r="E40" s="7" t="s">
        <v>649</v>
      </c>
      <c r="F40" s="149">
        <v>485.75</v>
      </c>
      <c r="G40" s="29"/>
      <c r="I40" s="206">
        <v>485.75</v>
      </c>
      <c r="J40" t="b">
        <f t="shared" si="1"/>
        <v>1</v>
      </c>
    </row>
    <row r="41" spans="1:10" ht="15">
      <c r="A41" s="7">
        <v>37</v>
      </c>
      <c r="B41" s="144" t="s">
        <v>480</v>
      </c>
      <c r="C41" s="144" t="s">
        <v>511</v>
      </c>
      <c r="D41" s="204" t="s">
        <v>691</v>
      </c>
      <c r="E41" s="7" t="s">
        <v>647</v>
      </c>
      <c r="F41" s="149">
        <v>2311.58</v>
      </c>
      <c r="G41" s="29"/>
      <c r="I41" s="206">
        <v>2311.58</v>
      </c>
      <c r="J41" t="b">
        <f t="shared" si="1"/>
        <v>1</v>
      </c>
    </row>
    <row r="42" spans="1:10">
      <c r="A42" s="7">
        <v>38</v>
      </c>
      <c r="B42" s="29" t="s">
        <v>481</v>
      </c>
      <c r="C42" s="29" t="s">
        <v>450</v>
      </c>
      <c r="D42" s="204" t="s">
        <v>692</v>
      </c>
      <c r="E42" s="58" t="s">
        <v>644</v>
      </c>
      <c r="F42" s="149">
        <v>938.68</v>
      </c>
      <c r="G42" s="29"/>
      <c r="I42" s="206">
        <v>938.68</v>
      </c>
      <c r="J42" t="b">
        <f t="shared" si="1"/>
        <v>1</v>
      </c>
    </row>
    <row r="43" spans="1:10">
      <c r="A43" s="7">
        <v>39</v>
      </c>
      <c r="B43" s="29" t="s">
        <v>482</v>
      </c>
      <c r="C43" s="29" t="s">
        <v>512</v>
      </c>
      <c r="D43" s="204" t="s">
        <v>693</v>
      </c>
      <c r="E43" s="7" t="s">
        <v>649</v>
      </c>
      <c r="F43" s="149">
        <v>562.69000000000005</v>
      </c>
      <c r="G43" s="29"/>
      <c r="I43" s="206">
        <v>562.69000000000005</v>
      </c>
      <c r="J43" t="b">
        <f t="shared" si="1"/>
        <v>1</v>
      </c>
    </row>
    <row r="44" spans="1:10">
      <c r="A44" s="7">
        <v>40</v>
      </c>
      <c r="B44" s="29" t="s">
        <v>640</v>
      </c>
      <c r="C44" s="29" t="s">
        <v>641</v>
      </c>
      <c r="D44" s="204" t="s">
        <v>694</v>
      </c>
      <c r="E44" s="7" t="s">
        <v>648</v>
      </c>
      <c r="F44" s="149">
        <v>1759.07</v>
      </c>
      <c r="G44" s="29" t="s">
        <v>719</v>
      </c>
      <c r="H44" s="199">
        <f>347.63*2</f>
        <v>695.26</v>
      </c>
      <c r="I44" s="206">
        <v>1063.82</v>
      </c>
      <c r="J44" s="207" t="b">
        <f t="shared" si="1"/>
        <v>0</v>
      </c>
    </row>
    <row r="45" spans="1:10">
      <c r="A45" s="7">
        <v>41</v>
      </c>
      <c r="B45" s="29" t="s">
        <v>547</v>
      </c>
      <c r="C45" s="29" t="s">
        <v>548</v>
      </c>
      <c r="D45" s="204" t="s">
        <v>695</v>
      </c>
      <c r="E45" s="58" t="s">
        <v>644</v>
      </c>
      <c r="F45" s="149">
        <v>1273.33</v>
      </c>
      <c r="G45" s="29"/>
      <c r="H45" s="133"/>
      <c r="I45" s="206">
        <v>1273.33</v>
      </c>
      <c r="J45" t="b">
        <f t="shared" si="1"/>
        <v>1</v>
      </c>
    </row>
    <row r="46" spans="1:10">
      <c r="A46" s="7">
        <v>42</v>
      </c>
      <c r="B46" s="37" t="s">
        <v>483</v>
      </c>
      <c r="C46" s="37" t="s">
        <v>452</v>
      </c>
      <c r="D46" s="204" t="s">
        <v>696</v>
      </c>
      <c r="E46" s="7" t="s">
        <v>649</v>
      </c>
      <c r="F46" s="149">
        <v>1033.6099999999999</v>
      </c>
      <c r="G46" s="29"/>
      <c r="I46" s="206">
        <v>1033.6099999999999</v>
      </c>
      <c r="J46" t="b">
        <f t="shared" si="1"/>
        <v>1</v>
      </c>
    </row>
    <row r="47" spans="1:10">
      <c r="A47" s="7">
        <v>43</v>
      </c>
      <c r="B47" s="37" t="s">
        <v>484</v>
      </c>
      <c r="C47" s="37" t="s">
        <v>514</v>
      </c>
      <c r="D47" s="204" t="s">
        <v>697</v>
      </c>
      <c r="E47" s="58" t="s">
        <v>644</v>
      </c>
      <c r="F47" s="149">
        <v>1544.85</v>
      </c>
      <c r="G47" s="29"/>
      <c r="I47" s="206">
        <v>1544.85</v>
      </c>
      <c r="J47" t="b">
        <f t="shared" si="1"/>
        <v>1</v>
      </c>
    </row>
    <row r="48" spans="1:10">
      <c r="A48" s="7">
        <v>44</v>
      </c>
      <c r="B48" s="29" t="s">
        <v>551</v>
      </c>
      <c r="C48" s="29" t="s">
        <v>552</v>
      </c>
      <c r="D48" s="204" t="s">
        <v>698</v>
      </c>
      <c r="E48" s="7" t="s">
        <v>649</v>
      </c>
      <c r="F48" s="149">
        <v>537.20000000000005</v>
      </c>
      <c r="G48" s="29"/>
      <c r="I48" s="206">
        <v>537.20000000000005</v>
      </c>
      <c r="J48" t="b">
        <f t="shared" si="1"/>
        <v>1</v>
      </c>
    </row>
    <row r="49" spans="1:10">
      <c r="A49" s="7">
        <v>45</v>
      </c>
      <c r="B49" s="29" t="s">
        <v>485</v>
      </c>
      <c r="C49" s="29" t="s">
        <v>515</v>
      </c>
      <c r="D49" s="204" t="s">
        <v>699</v>
      </c>
      <c r="E49" s="7" t="s">
        <v>649</v>
      </c>
      <c r="F49" s="149">
        <v>1331.64</v>
      </c>
      <c r="G49" s="29"/>
      <c r="H49" s="133"/>
      <c r="I49" s="206">
        <v>1331.64</v>
      </c>
      <c r="J49" t="b">
        <f t="shared" si="1"/>
        <v>1</v>
      </c>
    </row>
    <row r="50" spans="1:10">
      <c r="A50" s="7">
        <v>46</v>
      </c>
      <c r="B50" s="37" t="s">
        <v>486</v>
      </c>
      <c r="C50" s="37" t="s">
        <v>453</v>
      </c>
      <c r="D50" s="204" t="s">
        <v>700</v>
      </c>
      <c r="E50" s="58" t="s">
        <v>644</v>
      </c>
      <c r="F50" s="149">
        <v>1544.85</v>
      </c>
      <c r="G50" s="29"/>
      <c r="I50" s="206">
        <v>1544.85</v>
      </c>
      <c r="J50" t="b">
        <f t="shared" si="1"/>
        <v>1</v>
      </c>
    </row>
    <row r="51" spans="1:10">
      <c r="A51" s="7">
        <v>47</v>
      </c>
      <c r="B51" s="37" t="s">
        <v>486</v>
      </c>
      <c r="C51" s="37" t="s">
        <v>454</v>
      </c>
      <c r="D51" s="204" t="s">
        <v>701</v>
      </c>
      <c r="E51" s="7" t="s">
        <v>649</v>
      </c>
      <c r="F51" s="149">
        <v>555.28</v>
      </c>
      <c r="G51" s="29" t="s">
        <v>718</v>
      </c>
      <c r="H51" s="133"/>
      <c r="I51" t="e">
        <v>#N/A</v>
      </c>
      <c r="J51" t="e">
        <f t="shared" si="1"/>
        <v>#N/A</v>
      </c>
    </row>
    <row r="52" spans="1:10">
      <c r="A52" s="7">
        <v>48</v>
      </c>
      <c r="B52" s="29" t="s">
        <v>487</v>
      </c>
      <c r="C52" s="29" t="s">
        <v>516</v>
      </c>
      <c r="D52" s="204" t="s">
        <v>702</v>
      </c>
      <c r="E52" s="7" t="s">
        <v>649</v>
      </c>
      <c r="F52" s="149">
        <v>827.82</v>
      </c>
      <c r="G52" s="29"/>
      <c r="I52" s="206">
        <v>827.82</v>
      </c>
      <c r="J52" t="b">
        <f t="shared" si="1"/>
        <v>1</v>
      </c>
    </row>
    <row r="53" spans="1:10">
      <c r="A53" s="7">
        <v>49</v>
      </c>
      <c r="B53" s="29" t="s">
        <v>488</v>
      </c>
      <c r="C53" s="29" t="s">
        <v>517</v>
      </c>
      <c r="D53" s="204" t="s">
        <v>703</v>
      </c>
      <c r="E53" s="7" t="s">
        <v>649</v>
      </c>
      <c r="F53" s="149">
        <v>1390.5</v>
      </c>
      <c r="G53" s="29"/>
      <c r="I53" s="206">
        <v>1390.5</v>
      </c>
      <c r="J53" t="b">
        <f t="shared" si="1"/>
        <v>1</v>
      </c>
    </row>
    <row r="54" spans="1:10">
      <c r="A54" s="7">
        <v>50</v>
      </c>
      <c r="B54" s="29" t="s">
        <v>490</v>
      </c>
      <c r="C54" s="29" t="s">
        <v>518</v>
      </c>
      <c r="D54" s="204" t="s">
        <v>704</v>
      </c>
      <c r="E54" s="7" t="s">
        <v>649</v>
      </c>
      <c r="F54" s="149">
        <v>1390.5</v>
      </c>
      <c r="G54" s="29"/>
      <c r="I54" s="206">
        <v>1390.5</v>
      </c>
      <c r="J54" t="b">
        <f t="shared" si="1"/>
        <v>1</v>
      </c>
    </row>
    <row r="55" spans="1:10">
      <c r="A55" s="7">
        <v>51</v>
      </c>
      <c r="B55" s="29" t="s">
        <v>491</v>
      </c>
      <c r="C55" s="29" t="s">
        <v>456</v>
      </c>
      <c r="D55" s="204" t="s">
        <v>705</v>
      </c>
      <c r="E55" s="7" t="s">
        <v>649</v>
      </c>
      <c r="F55" s="149">
        <v>669.3</v>
      </c>
      <c r="G55" s="29"/>
      <c r="I55" s="206">
        <v>669.3</v>
      </c>
      <c r="J55" t="b">
        <f t="shared" si="1"/>
        <v>1</v>
      </c>
    </row>
    <row r="56" spans="1:10">
      <c r="A56" s="7">
        <v>52</v>
      </c>
      <c r="B56" s="37" t="s">
        <v>492</v>
      </c>
      <c r="C56" s="37" t="s">
        <v>519</v>
      </c>
      <c r="D56" s="204" t="s">
        <v>706</v>
      </c>
      <c r="E56" s="7" t="s">
        <v>649</v>
      </c>
      <c r="F56" s="149">
        <v>573.82000000000005</v>
      </c>
      <c r="G56" s="29"/>
      <c r="I56" s="206">
        <v>573.82000000000005</v>
      </c>
      <c r="J56" t="b">
        <f t="shared" si="1"/>
        <v>1</v>
      </c>
    </row>
    <row r="57" spans="1:10">
      <c r="A57" s="7">
        <v>53</v>
      </c>
      <c r="B57" s="29" t="s">
        <v>492</v>
      </c>
      <c r="C57" s="29" t="s">
        <v>520</v>
      </c>
      <c r="D57" s="204" t="s">
        <v>707</v>
      </c>
      <c r="E57" s="58" t="s">
        <v>644</v>
      </c>
      <c r="F57" s="149">
        <v>1158.75</v>
      </c>
      <c r="G57" s="29"/>
      <c r="I57" s="206">
        <v>1158.75</v>
      </c>
      <c r="J57" t="b">
        <f t="shared" si="1"/>
        <v>1</v>
      </c>
    </row>
    <row r="58" spans="1:10">
      <c r="A58" s="7">
        <v>54</v>
      </c>
      <c r="B58" s="37" t="s">
        <v>493</v>
      </c>
      <c r="C58" s="37" t="s">
        <v>457</v>
      </c>
      <c r="D58" s="204" t="s">
        <v>708</v>
      </c>
      <c r="E58" s="58" t="s">
        <v>644</v>
      </c>
      <c r="F58" s="149">
        <v>1409.05</v>
      </c>
      <c r="G58" s="29"/>
      <c r="I58" s="206">
        <v>1409.05</v>
      </c>
      <c r="J58" t="b">
        <f t="shared" si="1"/>
        <v>1</v>
      </c>
    </row>
    <row r="59" spans="1:10">
      <c r="A59" s="7">
        <v>55</v>
      </c>
      <c r="B59" s="37" t="s">
        <v>494</v>
      </c>
      <c r="C59" s="37" t="s">
        <v>522</v>
      </c>
      <c r="D59" s="204" t="s">
        <v>709</v>
      </c>
      <c r="E59" s="7" t="s">
        <v>649</v>
      </c>
      <c r="F59" s="149">
        <v>548.32000000000005</v>
      </c>
      <c r="G59" s="29"/>
      <c r="I59" s="206">
        <v>548.32000000000005</v>
      </c>
      <c r="J59" t="b">
        <f t="shared" si="1"/>
        <v>1</v>
      </c>
    </row>
    <row r="60" spans="1:10">
      <c r="A60" s="7">
        <v>56</v>
      </c>
      <c r="B60" s="29" t="s">
        <v>534</v>
      </c>
      <c r="C60" s="29" t="s">
        <v>533</v>
      </c>
      <c r="D60" s="204" t="s">
        <v>710</v>
      </c>
      <c r="E60" s="58" t="s">
        <v>644</v>
      </c>
      <c r="F60" s="149">
        <v>1254.24</v>
      </c>
      <c r="G60" s="29"/>
      <c r="I60" s="206">
        <v>1254.24</v>
      </c>
      <c r="J60" t="b">
        <f t="shared" si="1"/>
        <v>1</v>
      </c>
    </row>
    <row r="61" spans="1:10">
      <c r="A61" s="7">
        <v>57</v>
      </c>
      <c r="B61" s="29" t="s">
        <v>534</v>
      </c>
      <c r="C61" s="29" t="s">
        <v>580</v>
      </c>
      <c r="D61" s="204" t="s">
        <v>711</v>
      </c>
      <c r="E61" s="198" t="s">
        <v>645</v>
      </c>
      <c r="F61" s="149">
        <v>1526.49</v>
      </c>
      <c r="G61" s="29"/>
      <c r="I61" s="206">
        <v>1526.49</v>
      </c>
      <c r="J61" t="b">
        <f t="shared" si="1"/>
        <v>1</v>
      </c>
    </row>
    <row r="62" spans="1:10">
      <c r="A62" s="7">
        <v>58</v>
      </c>
      <c r="B62" s="37" t="s">
        <v>495</v>
      </c>
      <c r="C62" s="37" t="s">
        <v>459</v>
      </c>
      <c r="D62" s="204" t="s">
        <v>712</v>
      </c>
      <c r="E62" s="7" t="s">
        <v>649</v>
      </c>
      <c r="F62" s="149">
        <v>537.20000000000005</v>
      </c>
      <c r="G62" s="29"/>
      <c r="I62" s="206">
        <v>537.20000000000005</v>
      </c>
      <c r="J62" t="b">
        <f t="shared" si="1"/>
        <v>1</v>
      </c>
    </row>
    <row r="63" spans="1:10">
      <c r="A63" s="7">
        <v>59</v>
      </c>
      <c r="B63" s="154" t="s">
        <v>495</v>
      </c>
      <c r="C63" s="154" t="s">
        <v>566</v>
      </c>
      <c r="D63" s="205" t="s">
        <v>713</v>
      </c>
      <c r="E63" s="153" t="s">
        <v>646</v>
      </c>
      <c r="F63" s="181">
        <v>1910.73</v>
      </c>
      <c r="G63" s="158"/>
      <c r="H63" s="199">
        <f>301.74*2</f>
        <v>603.48</v>
      </c>
      <c r="I63" s="206">
        <v>1910.73</v>
      </c>
      <c r="J63" t="b">
        <f t="shared" si="1"/>
        <v>1</v>
      </c>
    </row>
    <row r="64" spans="1:10">
      <c r="A64" s="7">
        <v>60</v>
      </c>
      <c r="B64" s="37" t="s">
        <v>530</v>
      </c>
      <c r="C64" s="37" t="s">
        <v>529</v>
      </c>
      <c r="D64" s="204" t="s">
        <v>714</v>
      </c>
      <c r="E64" s="7" t="s">
        <v>649</v>
      </c>
      <c r="F64" s="149">
        <v>537.20000000000005</v>
      </c>
      <c r="G64" s="29" t="s">
        <v>718</v>
      </c>
      <c r="I64" t="e">
        <v>#N/A</v>
      </c>
      <c r="J64" t="e">
        <f t="shared" si="1"/>
        <v>#N/A</v>
      </c>
    </row>
    <row r="65" spans="1:10">
      <c r="A65" s="113"/>
      <c r="B65" s="102"/>
      <c r="C65" s="102"/>
      <c r="D65" s="102"/>
      <c r="E65" s="115"/>
      <c r="F65" s="117"/>
      <c r="G65" s="114"/>
      <c r="I65" s="15"/>
      <c r="J65" s="15"/>
    </row>
    <row r="66" spans="1:10">
      <c r="A66" s="458" t="s">
        <v>652</v>
      </c>
      <c r="B66" s="459"/>
      <c r="C66" s="459"/>
      <c r="D66" s="459"/>
      <c r="E66" s="460"/>
      <c r="F66" s="111">
        <f>SUM(F5:F64)</f>
        <v>63114.249999999993</v>
      </c>
      <c r="G66" s="112"/>
      <c r="H66">
        <f>SUM(H5:H65)</f>
        <v>1868.8600000000001</v>
      </c>
    </row>
    <row r="67" spans="1:10">
      <c r="A67" s="431" t="s">
        <v>258</v>
      </c>
      <c r="B67" s="432"/>
      <c r="C67" s="141"/>
      <c r="D67" s="141"/>
      <c r="E67" s="7">
        <f>COUNTA(B5:B64)</f>
        <v>60</v>
      </c>
      <c r="F67" s="52"/>
      <c r="G67" s="29"/>
    </row>
    <row r="68" spans="1:10">
      <c r="A68" s="431" t="s">
        <v>242</v>
      </c>
      <c r="B68" s="432"/>
      <c r="C68" s="141"/>
      <c r="D68" s="141"/>
      <c r="E68" s="58">
        <v>36</v>
      </c>
      <c r="F68" s="52"/>
      <c r="G68" s="29"/>
    </row>
    <row r="69" spans="1:10">
      <c r="A69" s="433" t="s">
        <v>246</v>
      </c>
      <c r="B69" s="434"/>
      <c r="C69" s="92"/>
      <c r="D69" s="92"/>
      <c r="E69" s="86">
        <f>E67+E68</f>
        <v>96</v>
      </c>
      <c r="F69" s="52"/>
      <c r="G69" s="29"/>
    </row>
    <row r="70" spans="1:10">
      <c r="A70" s="455" t="s">
        <v>257</v>
      </c>
      <c r="B70" s="456"/>
      <c r="C70" s="456"/>
      <c r="D70" s="456"/>
      <c r="E70" s="457"/>
      <c r="F70" s="184">
        <f>SUM(F71:F75)</f>
        <v>3234.34</v>
      </c>
      <c r="G70" s="185"/>
      <c r="I70" s="15"/>
    </row>
    <row r="71" spans="1:10" s="6" customFormat="1">
      <c r="A71" s="187"/>
      <c r="B71" s="29" t="s">
        <v>525</v>
      </c>
      <c r="C71" s="29" t="s">
        <v>654</v>
      </c>
      <c r="D71" s="37"/>
      <c r="E71" s="7" t="s">
        <v>644</v>
      </c>
      <c r="F71" s="149">
        <v>1617.17</v>
      </c>
      <c r="G71" s="29" t="s">
        <v>656</v>
      </c>
      <c r="I71" s="197"/>
    </row>
    <row r="72" spans="1:10" s="6" customFormat="1">
      <c r="A72" s="187"/>
      <c r="B72" s="29" t="s">
        <v>525</v>
      </c>
      <c r="C72" s="29" t="s">
        <v>654</v>
      </c>
      <c r="D72" s="37"/>
      <c r="E72" s="7" t="s">
        <v>644</v>
      </c>
      <c r="F72" s="149">
        <v>1617.17</v>
      </c>
      <c r="G72" s="29" t="s">
        <v>657</v>
      </c>
      <c r="I72" s="197"/>
    </row>
    <row r="73" spans="1:10" s="6" customFormat="1">
      <c r="A73" s="187"/>
      <c r="B73" s="29"/>
      <c r="C73" s="29"/>
      <c r="D73" s="37"/>
      <c r="E73" s="7"/>
      <c r="F73" s="149"/>
      <c r="G73" s="29"/>
      <c r="I73" s="197"/>
    </row>
    <row r="74" spans="1:10" s="6" customFormat="1">
      <c r="A74" s="187"/>
      <c r="B74" s="29"/>
      <c r="C74" s="29"/>
      <c r="D74" s="37"/>
      <c r="E74" s="7"/>
      <c r="F74" s="149"/>
      <c r="G74" s="29"/>
      <c r="I74" s="197"/>
    </row>
    <row r="75" spans="1:10" s="29" customFormat="1">
      <c r="A75" s="187"/>
      <c r="D75" s="37"/>
      <c r="E75" s="187"/>
      <c r="F75" s="52"/>
      <c r="I75" s="188"/>
    </row>
    <row r="76" spans="1:10" ht="12" customHeight="1">
      <c r="A76" s="458" t="s">
        <v>265</v>
      </c>
      <c r="B76" s="459"/>
      <c r="C76" s="459"/>
      <c r="D76" s="459"/>
      <c r="E76" s="460"/>
      <c r="F76" s="111"/>
      <c r="G76" s="186"/>
    </row>
    <row r="77" spans="1:10" ht="12" customHeight="1">
      <c r="A77" s="172"/>
      <c r="B77" s="173"/>
      <c r="C77" s="173"/>
      <c r="D77" s="429" t="s">
        <v>598</v>
      </c>
      <c r="E77" s="430"/>
      <c r="F77" s="83"/>
      <c r="G77" s="75"/>
    </row>
    <row r="78" spans="1:10">
      <c r="A78" s="422" t="s">
        <v>37</v>
      </c>
      <c r="B78" s="423"/>
      <c r="C78" s="423"/>
      <c r="D78" s="423"/>
      <c r="E78" s="424"/>
      <c r="F78" s="80">
        <f>F66+F70</f>
        <v>66348.59</v>
      </c>
      <c r="G78" s="84"/>
    </row>
    <row r="79" spans="1:10" ht="18">
      <c r="E79" s="151" t="s">
        <v>250</v>
      </c>
      <c r="F79" s="151"/>
      <c r="G79" s="118">
        <v>44861</v>
      </c>
    </row>
    <row r="80" spans="1:10" ht="18">
      <c r="E80" s="151" t="s">
        <v>251</v>
      </c>
      <c r="F80" s="151"/>
      <c r="G80" s="119" t="s">
        <v>653</v>
      </c>
    </row>
    <row r="85" spans="1:10" s="3" customFormat="1">
      <c r="A85"/>
      <c r="B85"/>
      <c r="C85"/>
      <c r="D85"/>
      <c r="F85" s="152"/>
      <c r="G85"/>
      <c r="H85"/>
      <c r="I85"/>
      <c r="J85"/>
    </row>
  </sheetData>
  <autoFilter ref="A4:G64" xr:uid="{EC283F26-1258-B84E-AE05-5C35489C3CC6}">
    <sortState xmlns:xlrd2="http://schemas.microsoft.com/office/spreadsheetml/2017/richdata2" ref="A5:G64">
      <sortCondition ref="B4:B64"/>
    </sortState>
  </autoFilter>
  <mergeCells count="8">
    <mergeCell ref="D77:E77"/>
    <mergeCell ref="A78:E78"/>
    <mergeCell ref="A66:E66"/>
    <mergeCell ref="A67:B67"/>
    <mergeCell ref="A68:B68"/>
    <mergeCell ref="A69:B69"/>
    <mergeCell ref="A70:E70"/>
    <mergeCell ref="A76:E76"/>
  </mergeCells>
  <conditionalFormatting sqref="B82">
    <cfRule type="duplicateValues" dxfId="1090" priority="24"/>
    <cfRule type="duplicateValues" dxfId="1089" priority="25"/>
  </conditionalFormatting>
  <conditionalFormatting sqref="B83">
    <cfRule type="duplicateValues" dxfId="1088" priority="22"/>
    <cfRule type="duplicateValues" dxfId="1087" priority="23"/>
  </conditionalFormatting>
  <conditionalFormatting sqref="B85">
    <cfRule type="duplicateValues" dxfId="1086" priority="20"/>
    <cfRule type="duplicateValues" dxfId="1085" priority="21"/>
  </conditionalFormatting>
  <conditionalFormatting sqref="B87">
    <cfRule type="duplicateValues" dxfId="1084" priority="18"/>
    <cfRule type="duplicateValues" dxfId="1083" priority="19"/>
  </conditionalFormatting>
  <conditionalFormatting sqref="B65:C65 D7:D65">
    <cfRule type="duplicateValues" dxfId="1082" priority="31"/>
  </conditionalFormatting>
  <conditionalFormatting sqref="B73:D73">
    <cfRule type="duplicateValues" dxfId="1081" priority="6"/>
    <cfRule type="duplicateValues" dxfId="1080" priority="7"/>
    <cfRule type="duplicateValues" dxfId="1079" priority="8"/>
  </conditionalFormatting>
  <conditionalFormatting sqref="B75:D75">
    <cfRule type="duplicateValues" dxfId="1078" priority="15"/>
    <cfRule type="duplicateValues" dxfId="1077" priority="16"/>
    <cfRule type="duplicateValues" dxfId="1076" priority="17"/>
  </conditionalFormatting>
  <conditionalFormatting sqref="B76:D80 B65:C70 D1:D3 B1:C4 D7:D72">
    <cfRule type="duplicateValues" dxfId="1075" priority="30"/>
  </conditionalFormatting>
  <conditionalFormatting sqref="B76:D81 D1:D3 B1:C4 B65:C70 C83:D83 C85:D85 B84:D84 B88:D1048576 C87:D87 B86:D86 D7:D72">
    <cfRule type="duplicateValues" dxfId="1074" priority="28"/>
  </conditionalFormatting>
  <conditionalFormatting sqref="B81:D81 C83:D83 C85:D85 B84:D84 B88:D1048576 C87:D87 B86:D86">
    <cfRule type="duplicateValues" dxfId="1073" priority="32"/>
  </conditionalFormatting>
  <conditionalFormatting sqref="D4:D6">
    <cfRule type="duplicateValues" dxfId="1072" priority="26"/>
    <cfRule type="duplicateValues" dxfId="1071" priority="27"/>
  </conditionalFormatting>
  <conditionalFormatting sqref="D5:D64">
    <cfRule type="duplicateValues" dxfId="1070" priority="1"/>
  </conditionalFormatting>
  <conditionalFormatting sqref="D71:D72">
    <cfRule type="duplicateValues" dxfId="1069" priority="3"/>
  </conditionalFormatting>
  <conditionalFormatting sqref="D74">
    <cfRule type="duplicateValues" dxfId="1068" priority="9"/>
    <cfRule type="duplicateValues" dxfId="1067" priority="11"/>
    <cfRule type="duplicateValues" dxfId="1066" priority="12"/>
  </conditionalFormatting>
  <conditionalFormatting sqref="E5:E64">
    <cfRule type="notContainsText" dxfId="1065" priority="2" operator="notContains" text="Only">
      <formula>ISERROR(SEARCH("Only",E5))</formula>
    </cfRule>
  </conditionalFormatting>
  <conditionalFormatting sqref="E73:E74">
    <cfRule type="notContainsBlanks" dxfId="1064" priority="10">
      <formula>LEN(TRIM(E73))&gt;0</formula>
    </cfRule>
  </conditionalFormatting>
  <conditionalFormatting sqref="G7:G29">
    <cfRule type="notContainsBlanks" dxfId="1063" priority="29">
      <formula>LEN(TRIM(G7))&gt;0</formula>
    </cfRule>
  </conditionalFormatting>
  <conditionalFormatting sqref="G31:G78">
    <cfRule type="notContainsBlanks" dxfId="1062" priority="4">
      <formula>LEN(TRIM(G31))&gt;0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4797-92FF-7644-BE06-A1D451BB7205}">
  <sheetPr>
    <tabColor theme="8"/>
    <pageSetUpPr fitToPage="1"/>
  </sheetPr>
  <dimension ref="A1:J84"/>
  <sheetViews>
    <sheetView zoomScale="140" zoomScaleNormal="140" zoomScalePageLayoutView="140" workbookViewId="0">
      <pane xSplit="3" ySplit="4" topLeftCell="D48" activePane="bottomRight" state="frozen"/>
      <selection pane="topRight" activeCell="D1" sqref="D1"/>
      <selection pane="bottomLeft" activeCell="A5" sqref="A5"/>
      <selection pane="bottomRight" activeCell="F19" sqref="F19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5" width="17.33203125" style="3" customWidth="1"/>
    <col min="6" max="6" width="16" style="152" customWidth="1"/>
    <col min="7" max="7" width="33.8320312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146" t="s">
        <v>342</v>
      </c>
      <c r="G1" s="68" t="s">
        <v>223</v>
      </c>
    </row>
    <row r="2" spans="1:7" ht="13.5" customHeight="1">
      <c r="A2" s="1" t="s">
        <v>249</v>
      </c>
      <c r="F2" s="51" t="s">
        <v>650</v>
      </c>
      <c r="G2" s="123">
        <v>44805</v>
      </c>
    </row>
    <row r="3" spans="1:7" ht="14" customHeight="1">
      <c r="F3" s="461" t="s">
        <v>562</v>
      </c>
      <c r="G3" s="461"/>
    </row>
    <row r="4" spans="1:7" ht="14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643</v>
      </c>
      <c r="F4" s="168" t="s">
        <v>584</v>
      </c>
      <c r="G4" s="50" t="s">
        <v>227</v>
      </c>
    </row>
    <row r="5" spans="1:7">
      <c r="A5" s="7"/>
      <c r="B5" s="161" t="s">
        <v>556</v>
      </c>
      <c r="C5" s="161" t="s">
        <v>557</v>
      </c>
      <c r="D5" s="66">
        <v>2247</v>
      </c>
      <c r="E5" s="7" t="s">
        <v>649</v>
      </c>
      <c r="F5" s="160">
        <v>463.5</v>
      </c>
      <c r="G5" s="7"/>
    </row>
    <row r="6" spans="1:7">
      <c r="A6" s="7"/>
      <c r="B6" s="161" t="s">
        <v>585</v>
      </c>
      <c r="C6" s="161" t="s">
        <v>586</v>
      </c>
      <c r="D6" s="66">
        <v>2261</v>
      </c>
      <c r="E6" s="7" t="s">
        <v>645</v>
      </c>
      <c r="F6" s="160">
        <v>1488.01</v>
      </c>
      <c r="G6" s="161"/>
    </row>
    <row r="7" spans="1:7">
      <c r="A7" s="7"/>
      <c r="B7" s="29" t="s">
        <v>462</v>
      </c>
      <c r="C7" s="29" t="s">
        <v>425</v>
      </c>
      <c r="D7" s="37">
        <v>2081</v>
      </c>
      <c r="E7" s="58" t="s">
        <v>644</v>
      </c>
      <c r="F7" s="149">
        <v>1016.08</v>
      </c>
      <c r="G7" s="29"/>
    </row>
    <row r="8" spans="1:7">
      <c r="A8" s="7"/>
      <c r="B8" s="29" t="s">
        <v>460</v>
      </c>
      <c r="C8" s="29" t="s">
        <v>426</v>
      </c>
      <c r="D8" s="37">
        <v>1593</v>
      </c>
      <c r="E8" s="7" t="s">
        <v>649</v>
      </c>
      <c r="F8" s="149">
        <v>1181.01</v>
      </c>
      <c r="G8" s="29"/>
    </row>
    <row r="9" spans="1:7">
      <c r="A9" s="7"/>
      <c r="B9" s="37" t="s">
        <v>463</v>
      </c>
      <c r="C9" s="37" t="s">
        <v>427</v>
      </c>
      <c r="D9" s="37">
        <v>2023</v>
      </c>
      <c r="E9" s="7" t="s">
        <v>649</v>
      </c>
      <c r="F9" s="149">
        <v>573.82000000000005</v>
      </c>
      <c r="G9" s="29"/>
    </row>
    <row r="10" spans="1:7" s="1" customFormat="1">
      <c r="A10" s="10"/>
      <c r="B10" s="61" t="s">
        <v>463</v>
      </c>
      <c r="C10" s="61" t="s">
        <v>608</v>
      </c>
      <c r="D10" s="37">
        <v>2131</v>
      </c>
      <c r="E10" s="7" t="s">
        <v>649</v>
      </c>
      <c r="F10" s="189">
        <v>537.20000000000005</v>
      </c>
      <c r="G10" s="29"/>
    </row>
    <row r="11" spans="1:7">
      <c r="A11" s="7"/>
      <c r="B11" s="29" t="s">
        <v>464</v>
      </c>
      <c r="C11" s="29" t="s">
        <v>428</v>
      </c>
      <c r="D11" s="37">
        <v>1721</v>
      </c>
      <c r="E11" s="58" t="s">
        <v>644</v>
      </c>
      <c r="F11" s="149">
        <v>1670</v>
      </c>
      <c r="G11" s="29"/>
    </row>
    <row r="12" spans="1:7">
      <c r="A12" s="7"/>
      <c r="B12" s="29" t="s">
        <v>464</v>
      </c>
      <c r="C12" s="29" t="s">
        <v>429</v>
      </c>
      <c r="D12" s="37">
        <v>2123</v>
      </c>
      <c r="E12" s="7" t="s">
        <v>649</v>
      </c>
      <c r="F12" s="149">
        <v>577.52</v>
      </c>
      <c r="G12" s="29"/>
    </row>
    <row r="13" spans="1:7">
      <c r="A13" s="7"/>
      <c r="B13" s="37" t="s">
        <v>465</v>
      </c>
      <c r="C13" s="37" t="s">
        <v>430</v>
      </c>
      <c r="D13" s="37">
        <v>1970</v>
      </c>
      <c r="E13" s="58" t="s">
        <v>644</v>
      </c>
      <c r="F13" s="149">
        <v>923.85</v>
      </c>
      <c r="G13" s="29"/>
    </row>
    <row r="14" spans="1:7" s="1" customFormat="1">
      <c r="A14" s="10"/>
      <c r="B14" s="29" t="s">
        <v>466</v>
      </c>
      <c r="C14" s="29" t="s">
        <v>431</v>
      </c>
      <c r="D14" s="37">
        <v>1794</v>
      </c>
      <c r="E14" s="7" t="s">
        <v>645</v>
      </c>
      <c r="F14" s="189">
        <v>1717.74</v>
      </c>
      <c r="G14" s="29"/>
    </row>
    <row r="15" spans="1:7" s="159" customFormat="1">
      <c r="A15" s="7"/>
      <c r="B15" s="37" t="s">
        <v>467</v>
      </c>
      <c r="C15" s="37" t="s">
        <v>501</v>
      </c>
      <c r="D15" s="37">
        <v>2201</v>
      </c>
      <c r="E15" s="7" t="s">
        <v>649</v>
      </c>
      <c r="F15" s="149">
        <v>989.58</v>
      </c>
      <c r="G15" s="29"/>
    </row>
    <row r="16" spans="1:7" s="133" customFormat="1">
      <c r="A16" s="7"/>
      <c r="B16" s="37" t="s">
        <v>468</v>
      </c>
      <c r="C16" s="37" t="s">
        <v>432</v>
      </c>
      <c r="D16" s="37">
        <v>2194</v>
      </c>
      <c r="E16" s="7" t="s">
        <v>649</v>
      </c>
      <c r="F16" s="149">
        <v>485.75</v>
      </c>
      <c r="G16" s="29"/>
    </row>
    <row r="17" spans="1:8">
      <c r="A17" s="7"/>
      <c r="B17" s="37" t="s">
        <v>542</v>
      </c>
      <c r="C17" s="37" t="s">
        <v>543</v>
      </c>
      <c r="D17" s="37">
        <v>2182</v>
      </c>
      <c r="E17" s="7" t="s">
        <v>649</v>
      </c>
      <c r="F17" s="149">
        <v>1033.6099999999999</v>
      </c>
      <c r="G17" s="29"/>
    </row>
    <row r="18" spans="1:8">
      <c r="A18" s="7"/>
      <c r="B18" s="29" t="s">
        <v>469</v>
      </c>
      <c r="C18" s="29" t="s">
        <v>434</v>
      </c>
      <c r="D18" s="37">
        <v>1708</v>
      </c>
      <c r="E18" s="7" t="s">
        <v>649</v>
      </c>
      <c r="F18" s="149">
        <v>1368.26</v>
      </c>
      <c r="G18" s="29"/>
    </row>
    <row r="19" spans="1:8">
      <c r="A19" s="7"/>
      <c r="B19" s="29" t="s">
        <v>436</v>
      </c>
      <c r="C19" s="29" t="s">
        <v>572</v>
      </c>
      <c r="D19" s="37">
        <v>2250</v>
      </c>
      <c r="E19" s="7" t="s">
        <v>645</v>
      </c>
      <c r="F19" s="149">
        <v>1314.66</v>
      </c>
      <c r="G19" s="29"/>
    </row>
    <row r="20" spans="1:8">
      <c r="A20" s="7"/>
      <c r="B20" s="29" t="s">
        <v>436</v>
      </c>
      <c r="C20" s="29" t="s">
        <v>503</v>
      </c>
      <c r="D20" s="37">
        <v>2120</v>
      </c>
      <c r="E20" s="7" t="s">
        <v>645</v>
      </c>
      <c r="F20" s="149">
        <v>1285.46</v>
      </c>
      <c r="G20" s="29"/>
    </row>
    <row r="21" spans="1:8">
      <c r="A21" s="7"/>
      <c r="B21" s="29" t="s">
        <v>437</v>
      </c>
      <c r="C21" s="29" t="s">
        <v>504</v>
      </c>
      <c r="D21" s="37">
        <v>2193</v>
      </c>
      <c r="E21" s="7" t="s">
        <v>649</v>
      </c>
      <c r="F21" s="149">
        <v>555.28</v>
      </c>
      <c r="G21" s="29"/>
    </row>
    <row r="22" spans="1:8">
      <c r="A22" s="7"/>
      <c r="B22" s="61" t="s">
        <v>471</v>
      </c>
      <c r="C22" s="61" t="s">
        <v>438</v>
      </c>
      <c r="D22" s="37">
        <v>640</v>
      </c>
      <c r="E22" s="7" t="s">
        <v>649</v>
      </c>
      <c r="F22" s="149">
        <v>1081.3499999999999</v>
      </c>
      <c r="G22" s="29"/>
    </row>
    <row r="23" spans="1:8">
      <c r="A23" s="7"/>
      <c r="B23" s="29" t="s">
        <v>439</v>
      </c>
      <c r="C23" s="29" t="s">
        <v>505</v>
      </c>
      <c r="D23" s="37">
        <v>901</v>
      </c>
      <c r="E23" s="7" t="s">
        <v>649</v>
      </c>
      <c r="F23" s="149">
        <v>1390.5</v>
      </c>
      <c r="G23" s="29"/>
    </row>
    <row r="24" spans="1:8">
      <c r="A24" s="7"/>
      <c r="B24" s="29" t="s">
        <v>472</v>
      </c>
      <c r="C24" s="29" t="s">
        <v>574</v>
      </c>
      <c r="D24" s="37">
        <v>2234</v>
      </c>
      <c r="E24" s="7" t="s">
        <v>649</v>
      </c>
      <c r="F24" s="149">
        <v>592.36</v>
      </c>
      <c r="G24" s="29"/>
    </row>
    <row r="25" spans="1:8">
      <c r="A25" s="7"/>
      <c r="B25" s="29" t="s">
        <v>472</v>
      </c>
      <c r="C25" s="29" t="s">
        <v>440</v>
      </c>
      <c r="D25" s="37">
        <v>1741</v>
      </c>
      <c r="E25" s="7" t="s">
        <v>649</v>
      </c>
      <c r="F25" s="149">
        <v>904.76</v>
      </c>
      <c r="G25" s="29"/>
    </row>
    <row r="26" spans="1:8">
      <c r="A26" s="7"/>
      <c r="B26" s="37" t="s">
        <v>472</v>
      </c>
      <c r="C26" s="37" t="s">
        <v>441</v>
      </c>
      <c r="D26" s="37">
        <v>1757</v>
      </c>
      <c r="E26" s="7" t="s">
        <v>645</v>
      </c>
      <c r="F26" s="149">
        <v>1550.59</v>
      </c>
      <c r="G26" s="29"/>
    </row>
    <row r="27" spans="1:8">
      <c r="A27" s="7"/>
      <c r="B27" s="37" t="s">
        <v>473</v>
      </c>
      <c r="C27" s="37" t="s">
        <v>442</v>
      </c>
      <c r="D27" s="37">
        <v>2057</v>
      </c>
      <c r="E27" s="7" t="s">
        <v>649</v>
      </c>
      <c r="F27" s="149">
        <v>1368.26</v>
      </c>
      <c r="G27" s="29"/>
    </row>
    <row r="28" spans="1:8">
      <c r="A28" s="7"/>
      <c r="B28" s="37" t="s">
        <v>473</v>
      </c>
      <c r="C28" s="37" t="s">
        <v>443</v>
      </c>
      <c r="D28" s="37">
        <v>1210</v>
      </c>
      <c r="E28" s="7" t="s">
        <v>649</v>
      </c>
      <c r="F28" s="149">
        <v>1302.44</v>
      </c>
      <c r="G28" s="29"/>
    </row>
    <row r="29" spans="1:8">
      <c r="A29" s="7"/>
      <c r="B29" s="29" t="s">
        <v>444</v>
      </c>
      <c r="C29" s="29" t="s">
        <v>506</v>
      </c>
      <c r="D29" s="37">
        <v>1460</v>
      </c>
      <c r="E29" s="7" t="s">
        <v>649</v>
      </c>
      <c r="F29" s="149">
        <v>757.83</v>
      </c>
    </row>
    <row r="30" spans="1:8">
      <c r="A30" s="7"/>
      <c r="B30" s="29" t="s">
        <v>474</v>
      </c>
      <c r="C30" s="29" t="s">
        <v>576</v>
      </c>
      <c r="D30" s="37">
        <v>2248</v>
      </c>
      <c r="E30" s="7" t="s">
        <v>646</v>
      </c>
      <c r="F30" s="149">
        <v>1862.53</v>
      </c>
      <c r="G30" s="29"/>
      <c r="H30" s="199">
        <v>570.12</v>
      </c>
    </row>
    <row r="31" spans="1:8">
      <c r="A31" s="7"/>
      <c r="B31" s="29" t="s">
        <v>474</v>
      </c>
      <c r="C31" s="29" t="s">
        <v>507</v>
      </c>
      <c r="D31" s="37">
        <v>2062</v>
      </c>
      <c r="E31" s="58" t="s">
        <v>644</v>
      </c>
      <c r="F31" s="149">
        <v>931.26</v>
      </c>
      <c r="G31" s="29"/>
    </row>
    <row r="32" spans="1:8">
      <c r="A32" s="7"/>
      <c r="B32" s="29" t="s">
        <v>474</v>
      </c>
      <c r="C32" s="29" t="s">
        <v>508</v>
      </c>
      <c r="D32" s="37">
        <v>2121</v>
      </c>
      <c r="E32" s="7" t="s">
        <v>649</v>
      </c>
      <c r="F32" s="149">
        <v>548.32000000000005</v>
      </c>
      <c r="G32" s="29"/>
    </row>
    <row r="33" spans="1:8">
      <c r="A33" s="7"/>
      <c r="B33" s="37" t="s">
        <v>475</v>
      </c>
      <c r="C33" s="37" t="s">
        <v>446</v>
      </c>
      <c r="D33" s="37">
        <v>2003</v>
      </c>
      <c r="E33" s="7" t="s">
        <v>649</v>
      </c>
      <c r="F33" s="149">
        <v>566.4</v>
      </c>
      <c r="G33" s="29"/>
    </row>
    <row r="34" spans="1:8">
      <c r="A34" s="7"/>
      <c r="B34" s="29" t="s">
        <v>476</v>
      </c>
      <c r="C34" s="29" t="s">
        <v>447</v>
      </c>
      <c r="D34" s="37">
        <v>2019</v>
      </c>
      <c r="E34" s="58" t="s">
        <v>644</v>
      </c>
      <c r="F34" s="149">
        <v>972.05</v>
      </c>
      <c r="G34" s="29"/>
    </row>
    <row r="35" spans="1:8">
      <c r="A35" s="7"/>
      <c r="B35" s="29" t="s">
        <v>637</v>
      </c>
      <c r="C35" s="29" t="s">
        <v>449</v>
      </c>
      <c r="D35" s="37">
        <v>2278</v>
      </c>
      <c r="E35" s="7" t="s">
        <v>649</v>
      </c>
      <c r="F35" s="149">
        <v>485.75</v>
      </c>
      <c r="G35" s="29"/>
    </row>
    <row r="36" spans="1:8" s="133" customFormat="1">
      <c r="A36" s="7"/>
      <c r="B36" s="29" t="s">
        <v>478</v>
      </c>
      <c r="C36" s="29" t="s">
        <v>448</v>
      </c>
      <c r="D36" s="37">
        <v>2172</v>
      </c>
      <c r="E36" s="7" t="s">
        <v>649</v>
      </c>
      <c r="F36" s="149">
        <v>1368.26</v>
      </c>
      <c r="G36" s="29"/>
    </row>
    <row r="37" spans="1:8">
      <c r="A37" s="145"/>
      <c r="B37" s="37" t="s">
        <v>497</v>
      </c>
      <c r="C37" s="37" t="s">
        <v>461</v>
      </c>
      <c r="D37" s="37">
        <v>2082</v>
      </c>
      <c r="E37" s="7" t="s">
        <v>649</v>
      </c>
      <c r="F37" s="149">
        <v>555.28</v>
      </c>
      <c r="G37" s="29"/>
    </row>
    <row r="38" spans="1:8">
      <c r="A38" s="7"/>
      <c r="B38" s="29" t="s">
        <v>479</v>
      </c>
      <c r="C38" s="29" t="s">
        <v>449</v>
      </c>
      <c r="D38" s="37">
        <v>2119</v>
      </c>
      <c r="E38" s="7" t="s">
        <v>649</v>
      </c>
      <c r="F38" s="149">
        <v>465.36</v>
      </c>
      <c r="G38" s="29"/>
    </row>
    <row r="39" spans="1:8">
      <c r="A39" s="7"/>
      <c r="B39" s="29" t="s">
        <v>618</v>
      </c>
      <c r="C39" s="29" t="s">
        <v>619</v>
      </c>
      <c r="D39" s="37">
        <v>2273</v>
      </c>
      <c r="E39" s="7" t="s">
        <v>649</v>
      </c>
      <c r="F39" s="149">
        <v>485.75</v>
      </c>
      <c r="G39" s="29"/>
    </row>
    <row r="40" spans="1:8" ht="15">
      <c r="A40" s="7"/>
      <c r="B40" s="144" t="s">
        <v>480</v>
      </c>
      <c r="C40" s="144" t="s">
        <v>511</v>
      </c>
      <c r="D40" s="37">
        <v>2231</v>
      </c>
      <c r="E40" s="7" t="s">
        <v>647</v>
      </c>
      <c r="F40" s="149">
        <v>2311.58</v>
      </c>
      <c r="G40" s="29"/>
    </row>
    <row r="41" spans="1:8">
      <c r="A41" s="7"/>
      <c r="B41" s="29" t="s">
        <v>481</v>
      </c>
      <c r="C41" s="29" t="s">
        <v>450</v>
      </c>
      <c r="D41" s="37">
        <v>1975</v>
      </c>
      <c r="E41" s="58" t="s">
        <v>644</v>
      </c>
      <c r="F41" s="149">
        <v>938.68</v>
      </c>
      <c r="G41" s="29"/>
    </row>
    <row r="42" spans="1:8">
      <c r="A42" s="7"/>
      <c r="B42" s="29" t="s">
        <v>482</v>
      </c>
      <c r="C42" s="29" t="s">
        <v>512</v>
      </c>
      <c r="D42" s="37">
        <v>2203</v>
      </c>
      <c r="E42" s="7" t="s">
        <v>649</v>
      </c>
      <c r="F42" s="149">
        <v>562.69000000000005</v>
      </c>
      <c r="G42" s="29"/>
    </row>
    <row r="43" spans="1:8">
      <c r="A43" s="7"/>
      <c r="B43" s="29" t="s">
        <v>640</v>
      </c>
      <c r="C43" s="29" t="s">
        <v>641</v>
      </c>
      <c r="D43" s="37">
        <v>2235</v>
      </c>
      <c r="E43" s="7" t="s">
        <v>648</v>
      </c>
      <c r="F43" s="149">
        <v>1759.07</v>
      </c>
      <c r="G43" s="29"/>
      <c r="H43" s="199">
        <v>695.26</v>
      </c>
    </row>
    <row r="44" spans="1:8" s="133" customFormat="1">
      <c r="A44" s="7"/>
      <c r="B44" s="29" t="s">
        <v>547</v>
      </c>
      <c r="C44" s="29" t="s">
        <v>548</v>
      </c>
      <c r="D44" s="37">
        <v>2245</v>
      </c>
      <c r="E44" s="58" t="s">
        <v>644</v>
      </c>
      <c r="F44" s="149">
        <v>1273.33</v>
      </c>
      <c r="G44" s="29"/>
    </row>
    <row r="45" spans="1:8">
      <c r="A45" s="7"/>
      <c r="B45" s="37" t="s">
        <v>483</v>
      </c>
      <c r="C45" s="37" t="s">
        <v>452</v>
      </c>
      <c r="D45" s="37">
        <v>2001</v>
      </c>
      <c r="E45" s="7" t="s">
        <v>649</v>
      </c>
      <c r="F45" s="149">
        <v>1033.6099999999999</v>
      </c>
      <c r="G45" s="29"/>
    </row>
    <row r="46" spans="1:8">
      <c r="A46" s="7"/>
      <c r="B46" s="37" t="s">
        <v>484</v>
      </c>
      <c r="C46" s="37" t="s">
        <v>514</v>
      </c>
      <c r="D46" s="37">
        <v>2160</v>
      </c>
      <c r="E46" s="58" t="s">
        <v>644</v>
      </c>
      <c r="F46" s="149">
        <v>1544.85</v>
      </c>
      <c r="G46" s="29"/>
    </row>
    <row r="47" spans="1:8">
      <c r="A47" s="7"/>
      <c r="B47" s="29" t="s">
        <v>551</v>
      </c>
      <c r="C47" s="29" t="s">
        <v>552</v>
      </c>
      <c r="D47" s="37">
        <v>2246</v>
      </c>
      <c r="E47" s="7" t="s">
        <v>649</v>
      </c>
      <c r="F47" s="149">
        <v>537.20000000000005</v>
      </c>
      <c r="G47" s="29"/>
    </row>
    <row r="48" spans="1:8" s="133" customFormat="1">
      <c r="A48" s="7"/>
      <c r="B48" s="29" t="s">
        <v>485</v>
      </c>
      <c r="C48" s="29" t="s">
        <v>515</v>
      </c>
      <c r="D48" s="37">
        <v>2018</v>
      </c>
      <c r="E48" s="7" t="s">
        <v>649</v>
      </c>
      <c r="F48" s="149">
        <v>1331.64</v>
      </c>
      <c r="G48" s="29"/>
    </row>
    <row r="49" spans="1:10">
      <c r="A49" s="7"/>
      <c r="B49" s="37" t="s">
        <v>486</v>
      </c>
      <c r="C49" s="37" t="s">
        <v>453</v>
      </c>
      <c r="D49" s="37">
        <v>1692</v>
      </c>
      <c r="E49" s="58" t="s">
        <v>644</v>
      </c>
      <c r="F49" s="149">
        <v>1544.85</v>
      </c>
      <c r="G49" s="29"/>
    </row>
    <row r="50" spans="1:10" s="133" customFormat="1">
      <c r="A50" s="7"/>
      <c r="B50" s="37" t="s">
        <v>486</v>
      </c>
      <c r="C50" s="37" t="s">
        <v>454</v>
      </c>
      <c r="D50" s="37">
        <v>2027</v>
      </c>
      <c r="E50" s="7" t="s">
        <v>649</v>
      </c>
      <c r="F50" s="149">
        <v>555.28</v>
      </c>
      <c r="G50" s="29"/>
    </row>
    <row r="51" spans="1:10">
      <c r="A51" s="7"/>
      <c r="B51" s="29" t="s">
        <v>487</v>
      </c>
      <c r="C51" s="29" t="s">
        <v>516</v>
      </c>
      <c r="D51" s="37">
        <v>2060</v>
      </c>
      <c r="E51" s="7" t="s">
        <v>649</v>
      </c>
      <c r="F51" s="149">
        <v>827.82</v>
      </c>
      <c r="G51" s="29"/>
    </row>
    <row r="52" spans="1:10">
      <c r="A52" s="7"/>
      <c r="B52" s="29" t="s">
        <v>488</v>
      </c>
      <c r="C52" s="29" t="s">
        <v>517</v>
      </c>
      <c r="D52" s="37">
        <v>1649</v>
      </c>
      <c r="E52" s="7" t="s">
        <v>649</v>
      </c>
      <c r="F52" s="149">
        <v>1390.5</v>
      </c>
      <c r="G52" s="29"/>
    </row>
    <row r="53" spans="1:10">
      <c r="A53" s="7"/>
      <c r="B53" s="29" t="s">
        <v>490</v>
      </c>
      <c r="C53" s="29" t="s">
        <v>518</v>
      </c>
      <c r="D53" s="37">
        <v>1050</v>
      </c>
      <c r="E53" s="7" t="s">
        <v>649</v>
      </c>
      <c r="F53" s="149">
        <v>1390.5</v>
      </c>
      <c r="G53" s="29"/>
    </row>
    <row r="54" spans="1:10">
      <c r="A54" s="7"/>
      <c r="B54" s="29" t="s">
        <v>491</v>
      </c>
      <c r="C54" s="29" t="s">
        <v>456</v>
      </c>
      <c r="D54" s="37">
        <v>1964</v>
      </c>
      <c r="E54" s="7" t="s">
        <v>649</v>
      </c>
      <c r="F54" s="149">
        <v>669.3</v>
      </c>
      <c r="G54" s="29"/>
    </row>
    <row r="55" spans="1:10">
      <c r="A55" s="7"/>
      <c r="B55" s="37" t="s">
        <v>492</v>
      </c>
      <c r="C55" s="37" t="s">
        <v>519</v>
      </c>
      <c r="D55" s="37">
        <v>1981</v>
      </c>
      <c r="E55" s="7" t="s">
        <v>649</v>
      </c>
      <c r="F55" s="149">
        <v>573.82000000000005</v>
      </c>
      <c r="G55" s="29"/>
    </row>
    <row r="56" spans="1:10">
      <c r="A56" s="7"/>
      <c r="B56" s="29" t="s">
        <v>492</v>
      </c>
      <c r="C56" s="29" t="s">
        <v>520</v>
      </c>
      <c r="D56" s="37">
        <v>1662</v>
      </c>
      <c r="E56" s="58" t="s">
        <v>644</v>
      </c>
      <c r="F56" s="149">
        <v>1158.75</v>
      </c>
      <c r="G56" s="29"/>
    </row>
    <row r="57" spans="1:10">
      <c r="A57" s="7"/>
      <c r="B57" s="37" t="s">
        <v>493</v>
      </c>
      <c r="C57" s="37" t="s">
        <v>457</v>
      </c>
      <c r="D57" s="37">
        <v>1630</v>
      </c>
      <c r="E57" s="58" t="s">
        <v>644</v>
      </c>
      <c r="F57" s="149">
        <v>1409.05</v>
      </c>
      <c r="G57" s="29"/>
    </row>
    <row r="58" spans="1:10">
      <c r="A58" s="7"/>
      <c r="B58" s="37" t="s">
        <v>494</v>
      </c>
      <c r="C58" s="37" t="s">
        <v>522</v>
      </c>
      <c r="D58" s="37">
        <v>2212</v>
      </c>
      <c r="E58" s="7" t="s">
        <v>649</v>
      </c>
      <c r="F58" s="149">
        <v>548.32000000000005</v>
      </c>
      <c r="G58" s="29"/>
    </row>
    <row r="59" spans="1:10">
      <c r="A59" s="7"/>
      <c r="B59" s="29" t="s">
        <v>534</v>
      </c>
      <c r="C59" s="29" t="s">
        <v>533</v>
      </c>
      <c r="D59" s="37">
        <v>2010</v>
      </c>
      <c r="E59" s="58" t="s">
        <v>644</v>
      </c>
      <c r="F59" s="149">
        <v>1254.24</v>
      </c>
      <c r="G59" s="29"/>
    </row>
    <row r="60" spans="1:10">
      <c r="A60" s="7"/>
      <c r="B60" s="29" t="s">
        <v>534</v>
      </c>
      <c r="C60" s="29" t="s">
        <v>580</v>
      </c>
      <c r="D60" s="37">
        <v>2187</v>
      </c>
      <c r="E60" s="198" t="s">
        <v>645</v>
      </c>
      <c r="F60" s="149">
        <v>1526.49</v>
      </c>
      <c r="G60" s="29"/>
    </row>
    <row r="61" spans="1:10">
      <c r="A61" s="7"/>
      <c r="B61" s="37" t="s">
        <v>495</v>
      </c>
      <c r="C61" s="37" t="s">
        <v>459</v>
      </c>
      <c r="D61" s="37">
        <v>2095</v>
      </c>
      <c r="E61" s="7" t="s">
        <v>649</v>
      </c>
      <c r="F61" s="149">
        <v>537.20000000000005</v>
      </c>
      <c r="G61" s="29"/>
    </row>
    <row r="62" spans="1:10" s="159" customFormat="1">
      <c r="A62" s="153"/>
      <c r="B62" s="154" t="s">
        <v>495</v>
      </c>
      <c r="C62" s="154" t="s">
        <v>566</v>
      </c>
      <c r="D62" s="154">
        <v>2064</v>
      </c>
      <c r="E62" s="153" t="s">
        <v>646</v>
      </c>
      <c r="F62" s="181">
        <v>1910.73</v>
      </c>
      <c r="G62" s="158"/>
      <c r="H62" s="199">
        <v>603.48</v>
      </c>
    </row>
    <row r="63" spans="1:10">
      <c r="A63" s="7"/>
      <c r="B63" s="37" t="s">
        <v>530</v>
      </c>
      <c r="C63" s="37" t="s">
        <v>529</v>
      </c>
      <c r="D63" s="37">
        <v>2089</v>
      </c>
      <c r="E63" s="7" t="s">
        <v>649</v>
      </c>
      <c r="F63" s="149">
        <v>537.20000000000005</v>
      </c>
      <c r="G63" s="29"/>
    </row>
    <row r="64" spans="1:10">
      <c r="A64" s="113"/>
      <c r="B64" s="102"/>
      <c r="C64" s="102"/>
      <c r="D64" s="102"/>
      <c r="E64" s="115"/>
      <c r="F64" s="117"/>
      <c r="G64" s="114"/>
      <c r="I64" s="15"/>
      <c r="J64" s="15"/>
    </row>
    <row r="65" spans="1:9">
      <c r="A65" s="458" t="s">
        <v>315</v>
      </c>
      <c r="B65" s="459"/>
      <c r="C65" s="459"/>
      <c r="D65" s="459"/>
      <c r="E65" s="460"/>
      <c r="F65" s="111">
        <v>61497.079999999987</v>
      </c>
      <c r="G65" s="112"/>
      <c r="H65">
        <v>1868.8600000000001</v>
      </c>
    </row>
    <row r="66" spans="1:9">
      <c r="A66" s="431" t="s">
        <v>258</v>
      </c>
      <c r="B66" s="432"/>
      <c r="C66" s="141"/>
      <c r="D66" s="141"/>
      <c r="E66" s="7">
        <f>COUNTA(B7:B64)</f>
        <v>57</v>
      </c>
      <c r="F66" s="52"/>
      <c r="G66" s="29"/>
    </row>
    <row r="67" spans="1:9">
      <c r="A67" s="431" t="s">
        <v>242</v>
      </c>
      <c r="B67" s="432"/>
      <c r="C67" s="141"/>
      <c r="D67" s="141"/>
      <c r="E67" s="58">
        <v>17</v>
      </c>
      <c r="F67" s="52"/>
      <c r="G67" s="29"/>
    </row>
    <row r="68" spans="1:9">
      <c r="A68" s="433" t="s">
        <v>246</v>
      </c>
      <c r="B68" s="434"/>
      <c r="C68" s="92"/>
      <c r="D68" s="92"/>
      <c r="E68" s="86">
        <f>E66+E67</f>
        <v>74</v>
      </c>
      <c r="F68" s="52"/>
      <c r="G68" s="29"/>
    </row>
    <row r="69" spans="1:9">
      <c r="A69" s="455" t="s">
        <v>257</v>
      </c>
      <c r="B69" s="456"/>
      <c r="C69" s="456"/>
      <c r="D69" s="456"/>
      <c r="E69" s="457"/>
      <c r="F69" s="184">
        <f>SUM(F70:F74)</f>
        <v>0</v>
      </c>
      <c r="G69" s="185"/>
      <c r="I69" s="15"/>
    </row>
    <row r="70" spans="1:9" s="6" customFormat="1">
      <c r="A70" s="187"/>
      <c r="B70" s="29"/>
      <c r="C70" s="29"/>
      <c r="D70" s="37"/>
      <c r="E70" s="58"/>
      <c r="F70" s="149"/>
      <c r="G70" s="29"/>
      <c r="I70" s="197"/>
    </row>
    <row r="71" spans="1:9" s="6" customFormat="1">
      <c r="A71" s="187"/>
      <c r="B71" s="29"/>
      <c r="C71" s="29"/>
      <c r="D71" s="37"/>
      <c r="E71" s="7"/>
      <c r="F71" s="149"/>
      <c r="G71" s="29"/>
      <c r="I71" s="197"/>
    </row>
    <row r="72" spans="1:9" s="6" customFormat="1">
      <c r="A72" s="187"/>
      <c r="B72" s="29"/>
      <c r="C72" s="29"/>
      <c r="D72" s="37"/>
      <c r="E72" s="7"/>
      <c r="F72" s="149"/>
      <c r="G72" s="29"/>
      <c r="I72" s="197"/>
    </row>
    <row r="73" spans="1:9" s="6" customFormat="1">
      <c r="A73" s="187"/>
      <c r="B73" s="29"/>
      <c r="C73" s="29"/>
      <c r="D73" s="37"/>
      <c r="E73" s="7"/>
      <c r="F73" s="149"/>
      <c r="G73" s="29"/>
      <c r="I73" s="197"/>
    </row>
    <row r="74" spans="1:9" s="29" customFormat="1">
      <c r="A74" s="187"/>
      <c r="D74" s="37"/>
      <c r="E74" s="187"/>
      <c r="F74" s="52"/>
      <c r="I74" s="188"/>
    </row>
    <row r="75" spans="1:9" ht="12" customHeight="1">
      <c r="A75" s="458" t="s">
        <v>265</v>
      </c>
      <c r="B75" s="459"/>
      <c r="C75" s="459"/>
      <c r="D75" s="459"/>
      <c r="E75" s="460"/>
      <c r="F75" s="111"/>
      <c r="G75" s="186"/>
    </row>
    <row r="76" spans="1:9" ht="12" customHeight="1">
      <c r="A76" s="172"/>
      <c r="B76" s="173"/>
      <c r="C76" s="173"/>
      <c r="D76" s="429" t="s">
        <v>598</v>
      </c>
      <c r="E76" s="430"/>
      <c r="F76" s="83"/>
      <c r="G76" s="75"/>
    </row>
    <row r="77" spans="1:9">
      <c r="A77" s="422" t="s">
        <v>37</v>
      </c>
      <c r="B77" s="423"/>
      <c r="C77" s="423"/>
      <c r="D77" s="423"/>
      <c r="E77" s="424"/>
      <c r="F77" s="80">
        <f>F65+F69</f>
        <v>61497.079999999987</v>
      </c>
      <c r="G77" s="84"/>
    </row>
    <row r="78" spans="1:9" ht="18">
      <c r="E78" s="151" t="s">
        <v>250</v>
      </c>
      <c r="F78" s="151"/>
      <c r="G78" s="118">
        <v>44803</v>
      </c>
    </row>
    <row r="79" spans="1:9" ht="18">
      <c r="E79" s="151" t="s">
        <v>251</v>
      </c>
      <c r="F79" s="151"/>
      <c r="G79" s="119" t="s">
        <v>337</v>
      </c>
    </row>
    <row r="84" spans="1:10" s="3" customFormat="1">
      <c r="A84"/>
      <c r="B84"/>
      <c r="C84"/>
      <c r="D84"/>
      <c r="F84" s="152"/>
      <c r="G84"/>
      <c r="H84"/>
      <c r="I84"/>
      <c r="J84"/>
    </row>
  </sheetData>
  <autoFilter ref="A4:G63" xr:uid="{EC283F26-1258-B84E-AE05-5C35489C3CC6}">
    <sortState xmlns:xlrd2="http://schemas.microsoft.com/office/spreadsheetml/2017/richdata2" ref="A5:G63">
      <sortCondition ref="B4:B63"/>
    </sortState>
  </autoFilter>
  <mergeCells count="9">
    <mergeCell ref="A75:E75"/>
    <mergeCell ref="D76:E76"/>
    <mergeCell ref="A77:E77"/>
    <mergeCell ref="F3:G3"/>
    <mergeCell ref="A65:E65"/>
    <mergeCell ref="A66:B66"/>
    <mergeCell ref="A67:B67"/>
    <mergeCell ref="A68:B68"/>
    <mergeCell ref="A69:E69"/>
  </mergeCells>
  <conditionalFormatting sqref="B81">
    <cfRule type="duplicateValues" dxfId="1061" priority="30"/>
    <cfRule type="duplicateValues" dxfId="1060" priority="31"/>
  </conditionalFormatting>
  <conditionalFormatting sqref="B82">
    <cfRule type="duplicateValues" dxfId="1059" priority="28"/>
    <cfRule type="duplicateValues" dxfId="1058" priority="29"/>
  </conditionalFormatting>
  <conditionalFormatting sqref="B84">
    <cfRule type="duplicateValues" dxfId="1057" priority="26"/>
    <cfRule type="duplicateValues" dxfId="1056" priority="27"/>
  </conditionalFormatting>
  <conditionalFormatting sqref="B86">
    <cfRule type="duplicateValues" dxfId="1055" priority="24"/>
    <cfRule type="duplicateValues" dxfId="1054" priority="25"/>
  </conditionalFormatting>
  <conditionalFormatting sqref="B16:C16">
    <cfRule type="duplicateValues" dxfId="1053" priority="38"/>
    <cfRule type="duplicateValues" dxfId="1052" priority="42"/>
  </conditionalFormatting>
  <conditionalFormatting sqref="B21:C21">
    <cfRule type="duplicateValues" dxfId="1051" priority="37"/>
    <cfRule type="duplicateValues" dxfId="1050" priority="43"/>
  </conditionalFormatting>
  <conditionalFormatting sqref="B63:C64 B14:C17 B9:C12 D7:D64 B53:C53 B42:C50 B55:C60 B38:C39 B20:C21 B23:C27 B34:C36 B29:C32">
    <cfRule type="duplicateValues" dxfId="1049" priority="40"/>
  </conditionalFormatting>
  <conditionalFormatting sqref="B70:D70">
    <cfRule type="duplicateValues" dxfId="1048" priority="7"/>
    <cfRule type="duplicateValues" dxfId="1047" priority="10"/>
    <cfRule type="duplicateValues" dxfId="1046" priority="11"/>
  </conditionalFormatting>
  <conditionalFormatting sqref="B71:D71">
    <cfRule type="duplicateValues" dxfId="1045" priority="2"/>
    <cfRule type="duplicateValues" dxfId="1044" priority="5"/>
    <cfRule type="duplicateValues" dxfId="1043" priority="6"/>
  </conditionalFormatting>
  <conditionalFormatting sqref="B72:D72">
    <cfRule type="duplicateValues" dxfId="1042" priority="12"/>
    <cfRule type="duplicateValues" dxfId="1041" priority="13"/>
    <cfRule type="duplicateValues" dxfId="1040" priority="14"/>
  </conditionalFormatting>
  <conditionalFormatting sqref="B74:D74">
    <cfRule type="duplicateValues" dxfId="1039" priority="21"/>
    <cfRule type="duplicateValues" dxfId="1038" priority="22"/>
    <cfRule type="duplicateValues" dxfId="1037" priority="23"/>
  </conditionalFormatting>
  <conditionalFormatting sqref="B75:D79 B63:C69 D1:D3 B14:C17 B9:C12 B1:C6 D7:D69 B53:C53 B42:C50 B55:C60 B38:C39 B20:C21 B23:C27 B34:C36 B29:C32">
    <cfRule type="duplicateValues" dxfId="1036" priority="39"/>
  </conditionalFormatting>
  <conditionalFormatting sqref="B75:D80 D1:D3 B9:C12 B14:C17 B1:C6 B63:C69 D7:D69 B53:C53 B42:C50 B55:C60 B38:C39 B20:C21 B23:C27 B34:C36 B29:C32 C82:D82 C84:D84 B83:D83 B87:D1048576 C86:D86 B85:D85">
    <cfRule type="duplicateValues" dxfId="1035" priority="34"/>
  </conditionalFormatting>
  <conditionalFormatting sqref="B80:D80 C82:D82 C84:D84 B83:D83 B87:D1048576 C86:D86 B85:D85">
    <cfRule type="duplicateValues" dxfId="1034" priority="41"/>
  </conditionalFormatting>
  <conditionalFormatting sqref="D4:D6">
    <cfRule type="duplicateValues" dxfId="1033" priority="32"/>
    <cfRule type="duplicateValues" dxfId="1032" priority="33"/>
  </conditionalFormatting>
  <conditionalFormatting sqref="D73">
    <cfRule type="duplicateValues" dxfId="1031" priority="15"/>
    <cfRule type="duplicateValues" dxfId="1030" priority="17"/>
    <cfRule type="duplicateValues" dxfId="1029" priority="18"/>
  </conditionalFormatting>
  <conditionalFormatting sqref="E6:E7">
    <cfRule type="notContainsBlanks" dxfId="1028" priority="1">
      <formula>LEN(TRIM(E6))&gt;0</formula>
    </cfRule>
  </conditionalFormatting>
  <conditionalFormatting sqref="E11 E13:E14 E19:E20 E26 E30:E31 E34 E40:E41 E43:E44 E46 E49 E56:E57 E59 E62">
    <cfRule type="notContainsBlanks" dxfId="1027" priority="36">
      <formula>LEN(TRIM(E11))&gt;0</formula>
    </cfRule>
  </conditionalFormatting>
  <conditionalFormatting sqref="E70:E73">
    <cfRule type="notContainsBlanks" dxfId="1026" priority="4">
      <formula>LEN(TRIM(E70))&gt;0</formula>
    </cfRule>
  </conditionalFormatting>
  <conditionalFormatting sqref="G7:G28">
    <cfRule type="notContainsBlanks" dxfId="1025" priority="35">
      <formula>LEN(TRIM(G7))&gt;0</formula>
    </cfRule>
  </conditionalFormatting>
  <conditionalFormatting sqref="G30:G77">
    <cfRule type="notContainsBlanks" dxfId="1024" priority="3">
      <formula>LEN(TRIM(G30))&gt;0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043BA-7AE3-374E-A8CD-553B3F055782}">
  <sheetPr>
    <tabColor theme="8"/>
    <pageSetUpPr fitToPage="1"/>
  </sheetPr>
  <dimension ref="A1:J84"/>
  <sheetViews>
    <sheetView zoomScale="140" zoomScaleNormal="140" zoomScalePageLayoutView="140" workbookViewId="0">
      <pane xSplit="3" ySplit="4" topLeftCell="D40" activePane="bottomRight" state="frozen"/>
      <selection pane="topRight" activeCell="D1" sqref="D1"/>
      <selection pane="bottomLeft" activeCell="A5" sqref="A5"/>
      <selection pane="bottomRight" activeCell="E63" sqref="E63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5" width="17.33203125" style="3" customWidth="1"/>
    <col min="6" max="6" width="16" style="152" customWidth="1"/>
    <col min="7" max="7" width="33.8320312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146" t="s">
        <v>342</v>
      </c>
      <c r="G1" s="68" t="s">
        <v>223</v>
      </c>
    </row>
    <row r="2" spans="1:7" ht="13.5" customHeight="1">
      <c r="A2" s="1" t="s">
        <v>249</v>
      </c>
      <c r="F2" s="51" t="s">
        <v>636</v>
      </c>
      <c r="G2" s="123">
        <v>44774</v>
      </c>
    </row>
    <row r="3" spans="1:7" ht="14" customHeight="1">
      <c r="F3" s="461" t="s">
        <v>562</v>
      </c>
      <c r="G3" s="461"/>
    </row>
    <row r="4" spans="1:7" ht="14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643</v>
      </c>
      <c r="F4" s="168" t="s">
        <v>584</v>
      </c>
      <c r="G4" s="50" t="s">
        <v>227</v>
      </c>
    </row>
    <row r="5" spans="1:7">
      <c r="A5" s="7"/>
      <c r="B5" s="161" t="s">
        <v>556</v>
      </c>
      <c r="C5" s="161" t="s">
        <v>557</v>
      </c>
      <c r="D5" s="66">
        <v>2247</v>
      </c>
      <c r="E5" s="7" t="s">
        <v>649</v>
      </c>
      <c r="F5" s="160">
        <v>463.5</v>
      </c>
      <c r="G5" s="7"/>
    </row>
    <row r="6" spans="1:7">
      <c r="A6" s="7"/>
      <c r="B6" s="161" t="s">
        <v>585</v>
      </c>
      <c r="C6" s="161" t="s">
        <v>586</v>
      </c>
      <c r="D6" s="66">
        <v>2261</v>
      </c>
      <c r="E6" s="7" t="s">
        <v>645</v>
      </c>
      <c r="F6" s="160">
        <v>1488.01</v>
      </c>
      <c r="G6" s="161"/>
    </row>
    <row r="7" spans="1:7">
      <c r="A7" s="7"/>
      <c r="B7" s="29" t="s">
        <v>462</v>
      </c>
      <c r="C7" s="29" t="s">
        <v>425</v>
      </c>
      <c r="D7" s="37">
        <v>2081</v>
      </c>
      <c r="E7" s="58" t="s">
        <v>644</v>
      </c>
      <c r="F7" s="149">
        <v>1016.08</v>
      </c>
      <c r="G7" s="29"/>
    </row>
    <row r="8" spans="1:7">
      <c r="A8" s="7"/>
      <c r="B8" s="29" t="s">
        <v>460</v>
      </c>
      <c r="C8" s="29" t="s">
        <v>426</v>
      </c>
      <c r="D8" s="37">
        <v>1593</v>
      </c>
      <c r="E8" s="7" t="s">
        <v>649</v>
      </c>
      <c r="F8" s="149">
        <v>1181.01</v>
      </c>
      <c r="G8" s="29"/>
    </row>
    <row r="9" spans="1:7">
      <c r="A9" s="7"/>
      <c r="B9" s="37" t="s">
        <v>463</v>
      </c>
      <c r="C9" s="37" t="s">
        <v>427</v>
      </c>
      <c r="D9" s="37">
        <v>2023</v>
      </c>
      <c r="E9" s="7" t="s">
        <v>649</v>
      </c>
      <c r="F9" s="149">
        <v>573.82000000000005</v>
      </c>
      <c r="G9" s="29"/>
    </row>
    <row r="10" spans="1:7" s="1" customFormat="1">
      <c r="A10" s="10"/>
      <c r="B10" s="61" t="s">
        <v>463</v>
      </c>
      <c r="C10" s="61" t="s">
        <v>608</v>
      </c>
      <c r="D10" s="37">
        <v>2131</v>
      </c>
      <c r="E10" s="7" t="s">
        <v>649</v>
      </c>
      <c r="F10" s="189">
        <v>537.20000000000005</v>
      </c>
      <c r="G10" s="29"/>
    </row>
    <row r="11" spans="1:7">
      <c r="A11" s="7"/>
      <c r="B11" s="29" t="s">
        <v>464</v>
      </c>
      <c r="C11" s="29" t="s">
        <v>428</v>
      </c>
      <c r="D11" s="37">
        <v>1721</v>
      </c>
      <c r="E11" s="58" t="s">
        <v>644</v>
      </c>
      <c r="F11" s="149">
        <v>1670</v>
      </c>
      <c r="G11" s="29"/>
    </row>
    <row r="12" spans="1:7">
      <c r="A12" s="7"/>
      <c r="B12" s="29" t="s">
        <v>464</v>
      </c>
      <c r="C12" s="29" t="s">
        <v>429</v>
      </c>
      <c r="D12" s="37">
        <v>2123</v>
      </c>
      <c r="E12" s="7" t="s">
        <v>649</v>
      </c>
      <c r="F12" s="149">
        <v>577.52</v>
      </c>
      <c r="G12" s="29"/>
    </row>
    <row r="13" spans="1:7">
      <c r="A13" s="7"/>
      <c r="B13" s="37" t="s">
        <v>465</v>
      </c>
      <c r="C13" s="37" t="s">
        <v>430</v>
      </c>
      <c r="D13" s="37">
        <v>1970</v>
      </c>
      <c r="E13" s="58" t="s">
        <v>644</v>
      </c>
      <c r="F13" s="149">
        <v>923.85</v>
      </c>
      <c r="G13" s="29"/>
    </row>
    <row r="14" spans="1:7" s="1" customFormat="1">
      <c r="A14" s="10"/>
      <c r="B14" s="29" t="s">
        <v>466</v>
      </c>
      <c r="C14" s="29" t="s">
        <v>431</v>
      </c>
      <c r="D14" s="37">
        <v>1794</v>
      </c>
      <c r="E14" s="7" t="s">
        <v>645</v>
      </c>
      <c r="F14" s="189">
        <v>1717.74</v>
      </c>
      <c r="G14" s="29"/>
    </row>
    <row r="15" spans="1:7" s="159" customFormat="1">
      <c r="A15" s="7"/>
      <c r="B15" s="37" t="s">
        <v>467</v>
      </c>
      <c r="C15" s="37" t="s">
        <v>501</v>
      </c>
      <c r="D15" s="37">
        <v>2201</v>
      </c>
      <c r="E15" s="7" t="s">
        <v>649</v>
      </c>
      <c r="F15" s="149">
        <v>989.58</v>
      </c>
      <c r="G15" s="29"/>
    </row>
    <row r="16" spans="1:7" s="133" customFormat="1">
      <c r="A16" s="7"/>
      <c r="B16" s="37" t="s">
        <v>468</v>
      </c>
      <c r="C16" s="37" t="s">
        <v>432</v>
      </c>
      <c r="D16" s="37">
        <v>2194</v>
      </c>
      <c r="E16" s="7" t="s">
        <v>649</v>
      </c>
      <c r="F16" s="149">
        <v>485.75</v>
      </c>
      <c r="G16" s="29"/>
    </row>
    <row r="17" spans="1:8">
      <c r="A17" s="7"/>
      <c r="B17" s="37" t="s">
        <v>542</v>
      </c>
      <c r="C17" s="37" t="s">
        <v>543</v>
      </c>
      <c r="D17" s="37">
        <v>2182</v>
      </c>
      <c r="E17" s="7" t="s">
        <v>649</v>
      </c>
      <c r="F17" s="149">
        <v>1033.6099999999999</v>
      </c>
      <c r="G17" s="29"/>
    </row>
    <row r="18" spans="1:8">
      <c r="A18" s="7"/>
      <c r="B18" s="29" t="s">
        <v>469</v>
      </c>
      <c r="C18" s="29" t="s">
        <v>434</v>
      </c>
      <c r="D18" s="37">
        <v>1708</v>
      </c>
      <c r="E18" s="7" t="s">
        <v>649</v>
      </c>
      <c r="F18" s="149">
        <v>1368.26</v>
      </c>
      <c r="G18" s="29"/>
    </row>
    <row r="19" spans="1:8">
      <c r="A19" s="7"/>
      <c r="B19" s="29" t="s">
        <v>436</v>
      </c>
      <c r="C19" s="29" t="s">
        <v>572</v>
      </c>
      <c r="D19" s="37">
        <v>2250</v>
      </c>
      <c r="E19" s="7" t="s">
        <v>645</v>
      </c>
      <c r="F19" s="149">
        <v>1314.66</v>
      </c>
      <c r="G19" s="29"/>
    </row>
    <row r="20" spans="1:8">
      <c r="A20" s="7"/>
      <c r="B20" s="29" t="s">
        <v>436</v>
      </c>
      <c r="C20" s="29" t="s">
        <v>503</v>
      </c>
      <c r="D20" s="37">
        <v>2120</v>
      </c>
      <c r="E20" s="7" t="s">
        <v>645</v>
      </c>
      <c r="F20" s="149">
        <v>1285.46</v>
      </c>
      <c r="G20" s="29"/>
    </row>
    <row r="21" spans="1:8">
      <c r="A21" s="7"/>
      <c r="B21" s="29" t="s">
        <v>437</v>
      </c>
      <c r="C21" s="29" t="s">
        <v>504</v>
      </c>
      <c r="D21" s="37">
        <v>2193</v>
      </c>
      <c r="E21" s="7" t="s">
        <v>649</v>
      </c>
      <c r="F21" s="149">
        <v>555.28</v>
      </c>
      <c r="G21" s="29"/>
    </row>
    <row r="22" spans="1:8">
      <c r="A22" s="7"/>
      <c r="B22" s="61" t="s">
        <v>471</v>
      </c>
      <c r="C22" s="61" t="s">
        <v>438</v>
      </c>
      <c r="D22" s="37">
        <v>640</v>
      </c>
      <c r="E22" s="7" t="s">
        <v>649</v>
      </c>
      <c r="F22" s="149">
        <v>1081.3499999999999</v>
      </c>
      <c r="G22" s="29"/>
    </row>
    <row r="23" spans="1:8">
      <c r="A23" s="7"/>
      <c r="B23" s="29" t="s">
        <v>439</v>
      </c>
      <c r="C23" s="29" t="s">
        <v>505</v>
      </c>
      <c r="D23" s="37">
        <v>901</v>
      </c>
      <c r="E23" s="7" t="s">
        <v>649</v>
      </c>
      <c r="F23" s="149">
        <v>1390.5</v>
      </c>
      <c r="G23" s="29"/>
    </row>
    <row r="24" spans="1:8">
      <c r="A24" s="7"/>
      <c r="B24" s="29" t="s">
        <v>472</v>
      </c>
      <c r="C24" s="29" t="s">
        <v>574</v>
      </c>
      <c r="D24" s="37">
        <v>2234</v>
      </c>
      <c r="E24" s="7" t="s">
        <v>649</v>
      </c>
      <c r="F24" s="149">
        <v>592.36</v>
      </c>
      <c r="G24" s="29"/>
    </row>
    <row r="25" spans="1:8">
      <c r="A25" s="7"/>
      <c r="B25" s="29" t="s">
        <v>472</v>
      </c>
      <c r="C25" s="29" t="s">
        <v>440</v>
      </c>
      <c r="D25" s="37">
        <v>1741</v>
      </c>
      <c r="E25" s="7" t="s">
        <v>649</v>
      </c>
      <c r="F25" s="149">
        <v>904.76</v>
      </c>
      <c r="G25" s="29"/>
    </row>
    <row r="26" spans="1:8">
      <c r="A26" s="7"/>
      <c r="B26" s="37" t="s">
        <v>472</v>
      </c>
      <c r="C26" s="37" t="s">
        <v>441</v>
      </c>
      <c r="D26" s="37">
        <v>1757</v>
      </c>
      <c r="E26" s="7" t="s">
        <v>645</v>
      </c>
      <c r="F26" s="149">
        <v>1550.59</v>
      </c>
      <c r="G26" s="29"/>
    </row>
    <row r="27" spans="1:8">
      <c r="A27" s="7"/>
      <c r="B27" s="37" t="s">
        <v>473</v>
      </c>
      <c r="C27" s="37" t="s">
        <v>442</v>
      </c>
      <c r="D27" s="37">
        <v>2057</v>
      </c>
      <c r="E27" s="7" t="s">
        <v>649</v>
      </c>
      <c r="F27" s="149">
        <v>1368.26</v>
      </c>
      <c r="G27" s="29"/>
    </row>
    <row r="28" spans="1:8">
      <c r="A28" s="7"/>
      <c r="B28" s="37" t="s">
        <v>473</v>
      </c>
      <c r="C28" s="37" t="s">
        <v>443</v>
      </c>
      <c r="D28" s="37">
        <v>1210</v>
      </c>
      <c r="E28" s="7" t="s">
        <v>649</v>
      </c>
      <c r="F28" s="149">
        <v>1302.44</v>
      </c>
      <c r="G28" s="29"/>
    </row>
    <row r="29" spans="1:8">
      <c r="A29" s="7"/>
      <c r="B29" s="29" t="s">
        <v>444</v>
      </c>
      <c r="C29" s="29" t="s">
        <v>506</v>
      </c>
      <c r="D29" s="37">
        <v>1460</v>
      </c>
      <c r="E29" s="7" t="s">
        <v>649</v>
      </c>
      <c r="F29" s="149">
        <v>757.83</v>
      </c>
    </row>
    <row r="30" spans="1:8">
      <c r="A30" s="7"/>
      <c r="B30" s="29" t="s">
        <v>474</v>
      </c>
      <c r="C30" s="29" t="s">
        <v>576</v>
      </c>
      <c r="D30" s="37">
        <v>2248</v>
      </c>
      <c r="E30" s="7" t="s">
        <v>646</v>
      </c>
      <c r="F30" s="149">
        <v>1862.53</v>
      </c>
      <c r="G30" s="29"/>
      <c r="H30" s="199">
        <f>285.06*2</f>
        <v>570.12</v>
      </c>
    </row>
    <row r="31" spans="1:8">
      <c r="A31" s="7"/>
      <c r="B31" s="29" t="s">
        <v>474</v>
      </c>
      <c r="C31" s="29" t="s">
        <v>507</v>
      </c>
      <c r="D31" s="37">
        <v>2062</v>
      </c>
      <c r="E31" s="58" t="s">
        <v>644</v>
      </c>
      <c r="F31" s="149">
        <v>931.26</v>
      </c>
      <c r="G31" s="29"/>
    </row>
    <row r="32" spans="1:8">
      <c r="A32" s="7"/>
      <c r="B32" s="29" t="s">
        <v>474</v>
      </c>
      <c r="C32" s="29" t="s">
        <v>508</v>
      </c>
      <c r="D32" s="37">
        <v>2121</v>
      </c>
      <c r="E32" s="7" t="s">
        <v>649</v>
      </c>
      <c r="F32" s="149">
        <v>548.32000000000005</v>
      </c>
      <c r="G32" s="29"/>
    </row>
    <row r="33" spans="1:8">
      <c r="A33" s="7"/>
      <c r="B33" s="37" t="s">
        <v>475</v>
      </c>
      <c r="C33" s="37" t="s">
        <v>446</v>
      </c>
      <c r="D33" s="37">
        <v>2003</v>
      </c>
      <c r="E33" s="7" t="s">
        <v>649</v>
      </c>
      <c r="F33" s="149">
        <v>566.4</v>
      </c>
      <c r="G33" s="29"/>
    </row>
    <row r="34" spans="1:8">
      <c r="A34" s="7"/>
      <c r="B34" s="29" t="s">
        <v>476</v>
      </c>
      <c r="C34" s="29" t="s">
        <v>447</v>
      </c>
      <c r="D34" s="37">
        <v>2019</v>
      </c>
      <c r="E34" s="58" t="s">
        <v>644</v>
      </c>
      <c r="F34" s="149">
        <v>972.05</v>
      </c>
      <c r="G34" s="29"/>
    </row>
    <row r="35" spans="1:8" s="133" customFormat="1">
      <c r="A35" s="130"/>
      <c r="B35" s="131" t="s">
        <v>637</v>
      </c>
      <c r="C35" s="131" t="s">
        <v>449</v>
      </c>
      <c r="D35" s="134">
        <v>2278</v>
      </c>
      <c r="E35" s="7" t="s">
        <v>649</v>
      </c>
      <c r="F35" s="150">
        <v>485.75</v>
      </c>
      <c r="G35" s="131" t="s">
        <v>638</v>
      </c>
    </row>
    <row r="36" spans="1:8" s="133" customFormat="1">
      <c r="A36" s="7"/>
      <c r="B36" s="29" t="s">
        <v>478</v>
      </c>
      <c r="C36" s="29" t="s">
        <v>448</v>
      </c>
      <c r="D36" s="37">
        <v>2172</v>
      </c>
      <c r="E36" s="7" t="s">
        <v>649</v>
      </c>
      <c r="F36" s="149">
        <v>1368.26</v>
      </c>
      <c r="G36" s="29"/>
    </row>
    <row r="37" spans="1:8">
      <c r="A37" s="145"/>
      <c r="B37" s="37" t="s">
        <v>497</v>
      </c>
      <c r="C37" s="37" t="s">
        <v>461</v>
      </c>
      <c r="D37" s="37">
        <v>2082</v>
      </c>
      <c r="E37" s="7" t="s">
        <v>649</v>
      </c>
      <c r="F37" s="149">
        <v>555.28</v>
      </c>
      <c r="G37" s="29"/>
    </row>
    <row r="38" spans="1:8">
      <c r="A38" s="7"/>
      <c r="B38" s="29" t="s">
        <v>479</v>
      </c>
      <c r="C38" s="29" t="s">
        <v>449</v>
      </c>
      <c r="D38" s="37">
        <v>2119</v>
      </c>
      <c r="E38" s="7" t="s">
        <v>649</v>
      </c>
      <c r="F38" s="149">
        <v>465.36</v>
      </c>
      <c r="G38" s="29"/>
    </row>
    <row r="39" spans="1:8">
      <c r="A39" s="7"/>
      <c r="B39" s="29" t="s">
        <v>618</v>
      </c>
      <c r="C39" s="29" t="s">
        <v>619</v>
      </c>
      <c r="D39" s="37">
        <v>2273</v>
      </c>
      <c r="E39" s="7" t="s">
        <v>649</v>
      </c>
      <c r="F39" s="149">
        <v>485.75</v>
      </c>
      <c r="G39" s="29"/>
    </row>
    <row r="40" spans="1:8" ht="15">
      <c r="A40" s="7"/>
      <c r="B40" s="144" t="s">
        <v>480</v>
      </c>
      <c r="C40" s="144" t="s">
        <v>511</v>
      </c>
      <c r="D40" s="37">
        <v>2231</v>
      </c>
      <c r="E40" s="7" t="s">
        <v>647</v>
      </c>
      <c r="F40" s="149">
        <v>2311.58</v>
      </c>
      <c r="G40" s="29"/>
    </row>
    <row r="41" spans="1:8" s="133" customFormat="1">
      <c r="A41" s="130"/>
      <c r="B41" s="131" t="s">
        <v>481</v>
      </c>
      <c r="C41" s="131" t="s">
        <v>450</v>
      </c>
      <c r="D41" s="134">
        <v>1975</v>
      </c>
      <c r="E41" s="58" t="s">
        <v>644</v>
      </c>
      <c r="F41" s="150">
        <v>938.68</v>
      </c>
      <c r="G41" s="131" t="s">
        <v>632</v>
      </c>
    </row>
    <row r="42" spans="1:8">
      <c r="A42" s="7"/>
      <c r="B42" s="29" t="s">
        <v>482</v>
      </c>
      <c r="C42" s="29" t="s">
        <v>512</v>
      </c>
      <c r="D42" s="37">
        <v>2203</v>
      </c>
      <c r="E42" s="7" t="s">
        <v>649</v>
      </c>
      <c r="F42" s="149">
        <v>562.69000000000005</v>
      </c>
      <c r="G42" s="29"/>
    </row>
    <row r="43" spans="1:8" s="133" customFormat="1">
      <c r="A43" s="130"/>
      <c r="B43" s="131" t="s">
        <v>640</v>
      </c>
      <c r="C43" s="131" t="s">
        <v>641</v>
      </c>
      <c r="D43" s="134">
        <v>2235</v>
      </c>
      <c r="E43" s="130" t="s">
        <v>648</v>
      </c>
      <c r="F43" s="150">
        <v>1759.07</v>
      </c>
      <c r="G43" s="131" t="s">
        <v>642</v>
      </c>
      <c r="H43" s="199">
        <f>347.63*2</f>
        <v>695.26</v>
      </c>
    </row>
    <row r="44" spans="1:8" s="133" customFormat="1">
      <c r="A44" s="7"/>
      <c r="B44" s="29" t="s">
        <v>547</v>
      </c>
      <c r="C44" s="29" t="s">
        <v>548</v>
      </c>
      <c r="D44" s="37">
        <v>2245</v>
      </c>
      <c r="E44" s="58" t="s">
        <v>644</v>
      </c>
      <c r="F44" s="149">
        <v>1273.33</v>
      </c>
      <c r="G44" s="29"/>
    </row>
    <row r="45" spans="1:8">
      <c r="A45" s="7"/>
      <c r="B45" s="37" t="s">
        <v>483</v>
      </c>
      <c r="C45" s="37" t="s">
        <v>452</v>
      </c>
      <c r="D45" s="37">
        <v>2001</v>
      </c>
      <c r="E45" s="7" t="s">
        <v>649</v>
      </c>
      <c r="F45" s="149">
        <v>1033.6099999999999</v>
      </c>
      <c r="G45" s="29"/>
    </row>
    <row r="46" spans="1:8">
      <c r="A46" s="7"/>
      <c r="B46" s="37" t="s">
        <v>484</v>
      </c>
      <c r="C46" s="37" t="s">
        <v>514</v>
      </c>
      <c r="D46" s="37">
        <v>2160</v>
      </c>
      <c r="E46" s="58" t="s">
        <v>644</v>
      </c>
      <c r="F46" s="149">
        <v>1544.85</v>
      </c>
      <c r="G46" s="29"/>
    </row>
    <row r="47" spans="1:8">
      <c r="A47" s="7"/>
      <c r="B47" s="29" t="s">
        <v>551</v>
      </c>
      <c r="C47" s="29" t="s">
        <v>552</v>
      </c>
      <c r="D47" s="37">
        <v>2246</v>
      </c>
      <c r="E47" s="7" t="s">
        <v>649</v>
      </c>
      <c r="F47" s="149">
        <v>537.20000000000005</v>
      </c>
      <c r="G47" s="29"/>
    </row>
    <row r="48" spans="1:8" s="133" customFormat="1">
      <c r="A48" s="7"/>
      <c r="B48" s="29" t="s">
        <v>485</v>
      </c>
      <c r="C48" s="29" t="s">
        <v>515</v>
      </c>
      <c r="D48" s="37">
        <v>2018</v>
      </c>
      <c r="E48" s="7" t="s">
        <v>649</v>
      </c>
      <c r="F48" s="149">
        <v>1331.64</v>
      </c>
      <c r="G48" s="29"/>
    </row>
    <row r="49" spans="1:10">
      <c r="A49" s="7"/>
      <c r="B49" s="37" t="s">
        <v>486</v>
      </c>
      <c r="C49" s="37" t="s">
        <v>453</v>
      </c>
      <c r="D49" s="37">
        <v>1692</v>
      </c>
      <c r="E49" s="58" t="s">
        <v>644</v>
      </c>
      <c r="F49" s="149">
        <v>1544.85</v>
      </c>
      <c r="G49" s="29"/>
    </row>
    <row r="50" spans="1:10" s="133" customFormat="1">
      <c r="A50" s="7"/>
      <c r="B50" s="37" t="s">
        <v>486</v>
      </c>
      <c r="C50" s="37" t="s">
        <v>454</v>
      </c>
      <c r="D50" s="37">
        <v>2027</v>
      </c>
      <c r="E50" s="7" t="s">
        <v>649</v>
      </c>
      <c r="F50" s="149">
        <v>555.28</v>
      </c>
      <c r="G50" s="29"/>
    </row>
    <row r="51" spans="1:10">
      <c r="A51" s="7"/>
      <c r="B51" s="29" t="s">
        <v>487</v>
      </c>
      <c r="C51" s="29" t="s">
        <v>516</v>
      </c>
      <c r="D51" s="37">
        <v>2060</v>
      </c>
      <c r="E51" s="7" t="s">
        <v>649</v>
      </c>
      <c r="F51" s="149">
        <v>827.82</v>
      </c>
      <c r="G51" s="29"/>
    </row>
    <row r="52" spans="1:10">
      <c r="A52" s="7"/>
      <c r="B52" s="29" t="s">
        <v>488</v>
      </c>
      <c r="C52" s="29" t="s">
        <v>517</v>
      </c>
      <c r="D52" s="37">
        <v>1649</v>
      </c>
      <c r="E52" s="7" t="s">
        <v>649</v>
      </c>
      <c r="F52" s="149">
        <v>1390.5</v>
      </c>
      <c r="G52" s="29"/>
    </row>
    <row r="53" spans="1:10">
      <c r="A53" s="7"/>
      <c r="B53" s="29" t="s">
        <v>490</v>
      </c>
      <c r="C53" s="29" t="s">
        <v>518</v>
      </c>
      <c r="D53" s="37">
        <v>1050</v>
      </c>
      <c r="E53" s="7" t="s">
        <v>649</v>
      </c>
      <c r="F53" s="149">
        <v>1390.5</v>
      </c>
      <c r="G53" s="29"/>
    </row>
    <row r="54" spans="1:10">
      <c r="A54" s="7"/>
      <c r="B54" s="29" t="s">
        <v>491</v>
      </c>
      <c r="C54" s="29" t="s">
        <v>456</v>
      </c>
      <c r="D54" s="37">
        <v>1964</v>
      </c>
      <c r="E54" s="7" t="s">
        <v>649</v>
      </c>
      <c r="F54" s="149">
        <v>669.3</v>
      </c>
      <c r="G54" s="29"/>
    </row>
    <row r="55" spans="1:10">
      <c r="A55" s="7"/>
      <c r="B55" s="37" t="s">
        <v>492</v>
      </c>
      <c r="C55" s="37" t="s">
        <v>519</v>
      </c>
      <c r="D55" s="37">
        <v>1981</v>
      </c>
      <c r="E55" s="7" t="s">
        <v>649</v>
      </c>
      <c r="F55" s="149">
        <v>573.82000000000005</v>
      </c>
      <c r="G55" s="29"/>
    </row>
    <row r="56" spans="1:10">
      <c r="A56" s="7"/>
      <c r="B56" s="29" t="s">
        <v>492</v>
      </c>
      <c r="C56" s="29" t="s">
        <v>520</v>
      </c>
      <c r="D56" s="37">
        <v>1662</v>
      </c>
      <c r="E56" s="58" t="s">
        <v>644</v>
      </c>
      <c r="F56" s="149">
        <v>1158.75</v>
      </c>
      <c r="G56" s="29"/>
    </row>
    <row r="57" spans="1:10">
      <c r="A57" s="7"/>
      <c r="B57" s="37" t="s">
        <v>493</v>
      </c>
      <c r="C57" s="37" t="s">
        <v>457</v>
      </c>
      <c r="D57" s="37">
        <v>1630</v>
      </c>
      <c r="E57" s="58" t="s">
        <v>644</v>
      </c>
      <c r="F57" s="149">
        <v>1409.05</v>
      </c>
      <c r="G57" s="29"/>
    </row>
    <row r="58" spans="1:10">
      <c r="A58" s="7"/>
      <c r="B58" s="37" t="s">
        <v>494</v>
      </c>
      <c r="C58" s="37" t="s">
        <v>522</v>
      </c>
      <c r="D58" s="37">
        <v>2212</v>
      </c>
      <c r="E58" s="7" t="s">
        <v>649</v>
      </c>
      <c r="F58" s="149">
        <v>548.32000000000005</v>
      </c>
      <c r="G58" s="29"/>
    </row>
    <row r="59" spans="1:10">
      <c r="A59" s="7"/>
      <c r="B59" s="29" t="s">
        <v>534</v>
      </c>
      <c r="C59" s="29" t="s">
        <v>533</v>
      </c>
      <c r="D59" s="37">
        <v>2010</v>
      </c>
      <c r="E59" s="58" t="s">
        <v>644</v>
      </c>
      <c r="F59" s="149">
        <v>1254.24</v>
      </c>
      <c r="G59" s="29"/>
    </row>
    <row r="60" spans="1:10">
      <c r="A60" s="7"/>
      <c r="B60" s="29" t="s">
        <v>534</v>
      </c>
      <c r="C60" s="29" t="s">
        <v>580</v>
      </c>
      <c r="D60" s="37">
        <v>2187</v>
      </c>
      <c r="E60" s="198" t="s">
        <v>645</v>
      </c>
      <c r="F60" s="149">
        <v>1526.49</v>
      </c>
      <c r="G60" s="29"/>
    </row>
    <row r="61" spans="1:10">
      <c r="A61" s="7"/>
      <c r="B61" s="37" t="s">
        <v>495</v>
      </c>
      <c r="C61" s="37" t="s">
        <v>459</v>
      </c>
      <c r="D61" s="37">
        <v>2095</v>
      </c>
      <c r="E61" s="7" t="s">
        <v>649</v>
      </c>
      <c r="F61" s="149">
        <v>537.20000000000005</v>
      </c>
      <c r="G61" s="29"/>
    </row>
    <row r="62" spans="1:10" s="159" customFormat="1">
      <c r="A62" s="153"/>
      <c r="B62" s="154" t="s">
        <v>495</v>
      </c>
      <c r="C62" s="154" t="s">
        <v>566</v>
      </c>
      <c r="D62" s="154">
        <v>2064</v>
      </c>
      <c r="E62" s="153" t="s">
        <v>646</v>
      </c>
      <c r="F62" s="181">
        <v>1910.73</v>
      </c>
      <c r="G62" s="158"/>
      <c r="H62" s="199">
        <f>301.74*2</f>
        <v>603.48</v>
      </c>
    </row>
    <row r="63" spans="1:10">
      <c r="A63" s="7"/>
      <c r="B63" s="37" t="s">
        <v>530</v>
      </c>
      <c r="C63" s="37" t="s">
        <v>529</v>
      </c>
      <c r="D63" s="37">
        <v>2089</v>
      </c>
      <c r="E63" s="7" t="s">
        <v>649</v>
      </c>
      <c r="F63" s="149">
        <v>537.20000000000005</v>
      </c>
      <c r="G63" s="29"/>
    </row>
    <row r="64" spans="1:10">
      <c r="A64" s="113"/>
      <c r="B64" s="102"/>
      <c r="C64" s="102"/>
      <c r="D64" s="102"/>
      <c r="E64" s="115"/>
      <c r="F64" s="117"/>
      <c r="G64" s="114"/>
      <c r="I64" s="15"/>
      <c r="J64" s="15"/>
    </row>
    <row r="65" spans="1:9">
      <c r="A65" s="458" t="s">
        <v>315</v>
      </c>
      <c r="B65" s="459"/>
      <c r="C65" s="459"/>
      <c r="D65" s="459"/>
      <c r="E65" s="460"/>
      <c r="F65" s="111">
        <f>SUM(F5:F63)</f>
        <v>61497.079999999987</v>
      </c>
      <c r="G65" s="112"/>
    </row>
    <row r="66" spans="1:9">
      <c r="A66" s="431" t="s">
        <v>258</v>
      </c>
      <c r="B66" s="432"/>
      <c r="C66" s="141"/>
      <c r="D66" s="141"/>
      <c r="E66" s="7">
        <f>COUNTA(B7:B64)</f>
        <v>57</v>
      </c>
      <c r="F66" s="52"/>
      <c r="G66" s="29"/>
    </row>
    <row r="67" spans="1:9">
      <c r="A67" s="431" t="s">
        <v>242</v>
      </c>
      <c r="B67" s="432"/>
      <c r="C67" s="141"/>
      <c r="D67" s="141"/>
      <c r="E67" s="58">
        <v>17</v>
      </c>
      <c r="F67" s="52"/>
      <c r="G67" s="29"/>
    </row>
    <row r="68" spans="1:9">
      <c r="A68" s="433" t="s">
        <v>246</v>
      </c>
      <c r="B68" s="434"/>
      <c r="C68" s="92"/>
      <c r="D68" s="92"/>
      <c r="E68" s="86">
        <f>E66+E67</f>
        <v>74</v>
      </c>
      <c r="F68" s="52"/>
      <c r="G68" s="29"/>
    </row>
    <row r="69" spans="1:9">
      <c r="A69" s="455" t="s">
        <v>257</v>
      </c>
      <c r="B69" s="456"/>
      <c r="C69" s="456"/>
      <c r="D69" s="456"/>
      <c r="E69" s="457"/>
      <c r="F69" s="184">
        <f>SUM(F70:F74)</f>
        <v>4489.6399999999994</v>
      </c>
      <c r="G69" s="185"/>
      <c r="I69" s="15"/>
    </row>
    <row r="70" spans="1:9" s="6" customFormat="1">
      <c r="A70" s="187"/>
      <c r="B70" s="131" t="s">
        <v>637</v>
      </c>
      <c r="C70" s="131" t="s">
        <v>449</v>
      </c>
      <c r="D70" s="134">
        <v>2278</v>
      </c>
      <c r="E70" s="136"/>
      <c r="F70" s="150">
        <v>971.5</v>
      </c>
      <c r="G70" s="131" t="s">
        <v>639</v>
      </c>
      <c r="H70" s="200">
        <f>SUM(H5:H69)</f>
        <v>1868.8600000000001</v>
      </c>
      <c r="I70" s="197"/>
    </row>
    <row r="71" spans="1:9" s="6" customFormat="1">
      <c r="A71" s="187"/>
      <c r="B71" s="131" t="s">
        <v>640</v>
      </c>
      <c r="C71" s="131" t="s">
        <v>641</v>
      </c>
      <c r="D71" s="134">
        <v>2235</v>
      </c>
      <c r="E71" s="130">
        <v>2</v>
      </c>
      <c r="F71" s="150">
        <v>3518.14</v>
      </c>
      <c r="G71" s="131" t="s">
        <v>639</v>
      </c>
      <c r="H71" s="6">
        <f>347.63*4</f>
        <v>1390.52</v>
      </c>
      <c r="I71" s="197"/>
    </row>
    <row r="72" spans="1:9" s="6" customFormat="1">
      <c r="A72" s="187"/>
      <c r="B72" s="29"/>
      <c r="C72" s="29"/>
      <c r="D72" s="37"/>
      <c r="E72" s="7"/>
      <c r="F72" s="149"/>
      <c r="G72" s="29"/>
      <c r="I72" s="197"/>
    </row>
    <row r="73" spans="1:9" s="6" customFormat="1">
      <c r="A73" s="187"/>
      <c r="B73" s="29"/>
      <c r="C73" s="29"/>
      <c r="D73" s="37"/>
      <c r="E73" s="7"/>
      <c r="F73" s="149"/>
      <c r="G73" s="29"/>
      <c r="I73" s="197"/>
    </row>
    <row r="74" spans="1:9" s="29" customFormat="1">
      <c r="A74" s="187"/>
      <c r="D74" s="37"/>
      <c r="E74" s="187"/>
      <c r="F74" s="52"/>
      <c r="I74" s="188"/>
    </row>
    <row r="75" spans="1:9" ht="12" customHeight="1">
      <c r="A75" s="458" t="s">
        <v>265</v>
      </c>
      <c r="B75" s="459"/>
      <c r="C75" s="459"/>
      <c r="D75" s="459"/>
      <c r="E75" s="460"/>
      <c r="F75" s="111"/>
      <c r="G75" s="186"/>
    </row>
    <row r="76" spans="1:9" ht="12" customHeight="1">
      <c r="A76" s="172"/>
      <c r="B76" s="173"/>
      <c r="C76" s="173"/>
      <c r="D76" s="429" t="s">
        <v>598</v>
      </c>
      <c r="E76" s="430"/>
      <c r="F76" s="83"/>
      <c r="G76" s="75"/>
    </row>
    <row r="77" spans="1:9">
      <c r="A77" s="422" t="s">
        <v>37</v>
      </c>
      <c r="B77" s="423"/>
      <c r="C77" s="423"/>
      <c r="D77" s="423"/>
      <c r="E77" s="424"/>
      <c r="F77" s="80">
        <f>F65+F69</f>
        <v>65986.719999999987</v>
      </c>
      <c r="G77" s="84"/>
    </row>
    <row r="78" spans="1:9" ht="18">
      <c r="E78" s="151" t="s">
        <v>250</v>
      </c>
      <c r="F78" s="151"/>
      <c r="G78" s="118">
        <v>44771</v>
      </c>
    </row>
    <row r="79" spans="1:9" ht="18">
      <c r="E79" s="151" t="s">
        <v>251</v>
      </c>
      <c r="F79" s="151"/>
      <c r="G79" s="119" t="s">
        <v>337</v>
      </c>
    </row>
    <row r="84" spans="1:10" s="3" customFormat="1">
      <c r="A84"/>
      <c r="B84"/>
      <c r="C84"/>
      <c r="D84"/>
      <c r="F84" s="152"/>
      <c r="G84"/>
      <c r="H84"/>
      <c r="I84"/>
      <c r="J84"/>
    </row>
  </sheetData>
  <autoFilter ref="A4:G63" xr:uid="{EC283F26-1258-B84E-AE05-5C35489C3CC6}">
    <sortState xmlns:xlrd2="http://schemas.microsoft.com/office/spreadsheetml/2017/richdata2" ref="A5:G63">
      <sortCondition ref="B4:B63"/>
    </sortState>
  </autoFilter>
  <mergeCells count="9">
    <mergeCell ref="A75:E75"/>
    <mergeCell ref="D76:E76"/>
    <mergeCell ref="A77:E77"/>
    <mergeCell ref="F3:G3"/>
    <mergeCell ref="A65:E65"/>
    <mergeCell ref="A66:B66"/>
    <mergeCell ref="A67:B67"/>
    <mergeCell ref="A68:B68"/>
    <mergeCell ref="A69:E69"/>
  </mergeCells>
  <conditionalFormatting sqref="B81">
    <cfRule type="duplicateValues" dxfId="1023" priority="43"/>
    <cfRule type="duplicateValues" dxfId="1022" priority="44"/>
  </conditionalFormatting>
  <conditionalFormatting sqref="B82">
    <cfRule type="duplicateValues" dxfId="1021" priority="41"/>
    <cfRule type="duplicateValues" dxfId="1020" priority="42"/>
  </conditionalFormatting>
  <conditionalFormatting sqref="B84">
    <cfRule type="duplicateValues" dxfId="1019" priority="39"/>
    <cfRule type="duplicateValues" dxfId="1018" priority="40"/>
  </conditionalFormatting>
  <conditionalFormatting sqref="B86">
    <cfRule type="duplicateValues" dxfId="1017" priority="37"/>
    <cfRule type="duplicateValues" dxfId="1016" priority="38"/>
  </conditionalFormatting>
  <conditionalFormatting sqref="B16:C16">
    <cfRule type="duplicateValues" dxfId="1015" priority="54"/>
    <cfRule type="duplicateValues" dxfId="1014" priority="58"/>
  </conditionalFormatting>
  <conditionalFormatting sqref="B21:C21">
    <cfRule type="duplicateValues" dxfId="1013" priority="53"/>
    <cfRule type="duplicateValues" dxfId="1012" priority="59"/>
  </conditionalFormatting>
  <conditionalFormatting sqref="B63:C64 B14:C17 B9:C12 D7:D64 B53:C53 B42:C50 B55:C60 B38:C39 B20:C21 B23:C27 B34:C36 B29:C32">
    <cfRule type="duplicateValues" dxfId="1011" priority="56"/>
  </conditionalFormatting>
  <conditionalFormatting sqref="B70:D70">
    <cfRule type="duplicateValues" dxfId="1010" priority="7"/>
    <cfRule type="duplicateValues" dxfId="1009" priority="10"/>
    <cfRule type="duplicateValues" dxfId="1008" priority="11"/>
  </conditionalFormatting>
  <conditionalFormatting sqref="B71:D71">
    <cfRule type="duplicateValues" dxfId="1007" priority="2"/>
    <cfRule type="duplicateValues" dxfId="1006" priority="5"/>
    <cfRule type="duplicateValues" dxfId="1005" priority="6"/>
  </conditionalFormatting>
  <conditionalFormatting sqref="B72:D72">
    <cfRule type="duplicateValues" dxfId="1004" priority="12"/>
    <cfRule type="duplicateValues" dxfId="1003" priority="13"/>
    <cfRule type="duplicateValues" dxfId="1002" priority="14"/>
  </conditionalFormatting>
  <conditionalFormatting sqref="B74:D74">
    <cfRule type="duplicateValues" dxfId="1001" priority="34"/>
    <cfRule type="duplicateValues" dxfId="1000" priority="35"/>
    <cfRule type="duplicateValues" dxfId="999" priority="36"/>
  </conditionalFormatting>
  <conditionalFormatting sqref="B75:D79 B63:C69 D1:D3 B14:C17 B9:C12 B1:C6 D7:D69 B53:C53 B42:C50 B55:C60 B38:C39 B20:C21 B23:C27 B34:C36 B29:C32">
    <cfRule type="duplicateValues" dxfId="998" priority="55"/>
  </conditionalFormatting>
  <conditionalFormatting sqref="B75:D80 D1:D3 B9:C12 B14:C17 B1:C6 B63:C69 D7:D69 B53:C53 B42:C50 B55:C60 B38:C39 B20:C21 B23:C27 B34:C36 B29:C32 C82:D82 C84:D84 B83:D83 B87:D1048576 C86:D86 B85:D85">
    <cfRule type="duplicateValues" dxfId="997" priority="47"/>
  </conditionalFormatting>
  <conditionalFormatting sqref="B80:D80 C82:D82 C84:D84 B83:D83 B87:D1048576 C86:D86 B85:D85">
    <cfRule type="duplicateValues" dxfId="996" priority="57"/>
  </conditionalFormatting>
  <conditionalFormatting sqref="D4:D6">
    <cfRule type="duplicateValues" dxfId="995" priority="45"/>
    <cfRule type="duplicateValues" dxfId="994" priority="46"/>
  </conditionalFormatting>
  <conditionalFormatting sqref="D73">
    <cfRule type="duplicateValues" dxfId="993" priority="18"/>
    <cfRule type="duplicateValues" dxfId="992" priority="20"/>
    <cfRule type="duplicateValues" dxfId="991" priority="21"/>
  </conditionalFormatting>
  <conditionalFormatting sqref="E6:E7">
    <cfRule type="notContainsBlanks" dxfId="990" priority="1">
      <formula>LEN(TRIM(E6))&gt;0</formula>
    </cfRule>
  </conditionalFormatting>
  <conditionalFormatting sqref="E11 E13:E14 E19:E20 E26 E30:E31 E34 E40:E41 E43:E44 E46 E49 E56:E57 E59 E62">
    <cfRule type="notContainsBlanks" dxfId="989" priority="49">
      <formula>LEN(TRIM(E11))&gt;0</formula>
    </cfRule>
  </conditionalFormatting>
  <conditionalFormatting sqref="E70:E73">
    <cfRule type="notContainsBlanks" dxfId="988" priority="4">
      <formula>LEN(TRIM(E70))&gt;0</formula>
    </cfRule>
  </conditionalFormatting>
  <conditionalFormatting sqref="G7:G28">
    <cfRule type="notContainsBlanks" dxfId="987" priority="48">
      <formula>LEN(TRIM(G7))&gt;0</formula>
    </cfRule>
  </conditionalFormatting>
  <conditionalFormatting sqref="G30:G77">
    <cfRule type="notContainsBlanks" dxfId="986" priority="3">
      <formula>LEN(TRIM(G30))&gt;0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B3E3-41B8-CF47-A6D9-991F9B03686C}">
  <sheetPr>
    <tabColor theme="8"/>
    <pageSetUpPr fitToPage="1"/>
  </sheetPr>
  <dimension ref="A1:J84"/>
  <sheetViews>
    <sheetView zoomScale="140" zoomScaleNormal="140" zoomScalePageLayoutView="140" workbookViewId="0">
      <pane xSplit="3" ySplit="4" topLeftCell="D60" activePane="bottomRight" state="frozen"/>
      <selection pane="topRight" activeCell="D1" sqref="D1"/>
      <selection pane="bottomLeft" activeCell="A5" sqref="A5"/>
      <selection pane="bottomRight" activeCell="G16" sqref="G16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5" width="12.1640625" style="3" customWidth="1"/>
    <col min="6" max="6" width="16" style="152" customWidth="1"/>
    <col min="7" max="7" width="33.8320312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146" t="s">
        <v>342</v>
      </c>
      <c r="G1" s="68" t="s">
        <v>223</v>
      </c>
    </row>
    <row r="2" spans="1:7" ht="13.5" customHeight="1">
      <c r="A2" s="1" t="s">
        <v>249</v>
      </c>
      <c r="F2" s="51" t="s">
        <v>630</v>
      </c>
      <c r="G2" s="123">
        <v>44743</v>
      </c>
    </row>
    <row r="3" spans="1:7" ht="14" customHeight="1">
      <c r="F3" s="461" t="s">
        <v>562</v>
      </c>
      <c r="G3" s="461"/>
    </row>
    <row r="4" spans="1:7" ht="14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168" t="s">
        <v>584</v>
      </c>
      <c r="G4" s="50" t="s">
        <v>227</v>
      </c>
    </row>
    <row r="5" spans="1:7">
      <c r="A5" s="7"/>
      <c r="B5" s="161" t="s">
        <v>556</v>
      </c>
      <c r="C5" s="161" t="s">
        <v>557</v>
      </c>
      <c r="D5" s="66">
        <v>2247</v>
      </c>
      <c r="E5" s="7"/>
      <c r="F5" s="160">
        <v>463.5</v>
      </c>
      <c r="G5" s="7"/>
    </row>
    <row r="6" spans="1:7">
      <c r="A6" s="7"/>
      <c r="B6" s="161" t="s">
        <v>585</v>
      </c>
      <c r="C6" s="161" t="s">
        <v>586</v>
      </c>
      <c r="D6" s="66">
        <v>2261</v>
      </c>
      <c r="E6" s="7"/>
      <c r="F6" s="160">
        <v>1488.01</v>
      </c>
      <c r="G6" s="161"/>
    </row>
    <row r="7" spans="1:7">
      <c r="A7" s="7"/>
      <c r="B7" s="29" t="s">
        <v>462</v>
      </c>
      <c r="C7" s="29" t="s">
        <v>425</v>
      </c>
      <c r="D7" s="37">
        <v>2081</v>
      </c>
      <c r="E7" s="58"/>
      <c r="F7" s="149">
        <v>1016.08</v>
      </c>
      <c r="G7" s="29"/>
    </row>
    <row r="8" spans="1:7">
      <c r="A8" s="7"/>
      <c r="B8" s="29" t="s">
        <v>460</v>
      </c>
      <c r="C8" s="29" t="s">
        <v>426</v>
      </c>
      <c r="D8" s="37">
        <v>1593</v>
      </c>
      <c r="E8" s="7"/>
      <c r="F8" s="149">
        <v>1181.01</v>
      </c>
      <c r="G8" s="29"/>
    </row>
    <row r="9" spans="1:7">
      <c r="A9" s="7"/>
      <c r="B9" s="37" t="s">
        <v>463</v>
      </c>
      <c r="C9" s="37" t="s">
        <v>427</v>
      </c>
      <c r="D9" s="37">
        <v>2023</v>
      </c>
      <c r="E9" s="58"/>
      <c r="F9" s="149">
        <v>573.82000000000005</v>
      </c>
      <c r="G9" s="29"/>
    </row>
    <row r="10" spans="1:7" s="1" customFormat="1">
      <c r="A10" s="10"/>
      <c r="B10" s="61" t="s">
        <v>463</v>
      </c>
      <c r="C10" s="61" t="s">
        <v>608</v>
      </c>
      <c r="D10" s="37">
        <v>2131</v>
      </c>
      <c r="E10" s="62"/>
      <c r="F10" s="189">
        <v>537.20000000000005</v>
      </c>
      <c r="G10" s="29"/>
    </row>
    <row r="11" spans="1:7">
      <c r="A11" s="7"/>
      <c r="B11" s="29" t="s">
        <v>464</v>
      </c>
      <c r="C11" s="29" t="s">
        <v>428</v>
      </c>
      <c r="D11" s="37">
        <v>1721</v>
      </c>
      <c r="E11" s="7">
        <v>1</v>
      </c>
      <c r="F11" s="149">
        <v>1670</v>
      </c>
      <c r="G11" s="29"/>
    </row>
    <row r="12" spans="1:7">
      <c r="A12" s="7"/>
      <c r="B12" s="29" t="s">
        <v>464</v>
      </c>
      <c r="C12" s="29" t="s">
        <v>429</v>
      </c>
      <c r="D12" s="37">
        <v>2123</v>
      </c>
      <c r="E12" s="7"/>
      <c r="F12" s="149">
        <v>577.52</v>
      </c>
      <c r="G12" s="29"/>
    </row>
    <row r="13" spans="1:7">
      <c r="A13" s="7"/>
      <c r="B13" s="37" t="s">
        <v>465</v>
      </c>
      <c r="C13" s="37" t="s">
        <v>430</v>
      </c>
      <c r="D13" s="37">
        <v>1970</v>
      </c>
      <c r="E13" s="58">
        <v>1</v>
      </c>
      <c r="F13" s="149">
        <v>923.85</v>
      </c>
      <c r="G13" s="29"/>
    </row>
    <row r="14" spans="1:7" s="1" customFormat="1">
      <c r="A14" s="10"/>
      <c r="B14" s="29" t="s">
        <v>466</v>
      </c>
      <c r="C14" s="29" t="s">
        <v>431</v>
      </c>
      <c r="D14" s="37">
        <v>1794</v>
      </c>
      <c r="E14" s="58">
        <v>2</v>
      </c>
      <c r="F14" s="189">
        <v>1717.74</v>
      </c>
      <c r="G14" s="29"/>
    </row>
    <row r="15" spans="1:7" s="159" customFormat="1">
      <c r="A15" s="7"/>
      <c r="B15" s="37" t="s">
        <v>467</v>
      </c>
      <c r="C15" s="37" t="s">
        <v>501</v>
      </c>
      <c r="D15" s="37">
        <v>2201</v>
      </c>
      <c r="E15" s="58"/>
      <c r="F15" s="149">
        <v>989.58</v>
      </c>
      <c r="G15" s="29"/>
    </row>
    <row r="16" spans="1:7" s="133" customFormat="1">
      <c r="A16" s="7"/>
      <c r="B16" s="37" t="s">
        <v>468</v>
      </c>
      <c r="C16" s="37" t="s">
        <v>432</v>
      </c>
      <c r="D16" s="37">
        <v>2194</v>
      </c>
      <c r="E16" s="58"/>
      <c r="F16" s="149">
        <v>485.75</v>
      </c>
      <c r="G16" s="29"/>
    </row>
    <row r="17" spans="1:8">
      <c r="A17" s="7"/>
      <c r="B17" s="37" t="s">
        <v>542</v>
      </c>
      <c r="C17" s="37" t="s">
        <v>543</v>
      </c>
      <c r="D17" s="37">
        <v>2182</v>
      </c>
      <c r="E17" s="58"/>
      <c r="F17" s="149">
        <v>1033.6099999999999</v>
      </c>
      <c r="G17" s="29"/>
    </row>
    <row r="18" spans="1:8">
      <c r="A18" s="7"/>
      <c r="B18" s="29" t="s">
        <v>469</v>
      </c>
      <c r="C18" s="29" t="s">
        <v>434</v>
      </c>
      <c r="D18" s="37">
        <v>1708</v>
      </c>
      <c r="E18" s="7"/>
      <c r="F18" s="149">
        <v>1368.26</v>
      </c>
      <c r="G18" s="29"/>
    </row>
    <row r="19" spans="1:8">
      <c r="A19" s="7"/>
      <c r="B19" s="29" t="s">
        <v>436</v>
      </c>
      <c r="C19" s="29" t="s">
        <v>572</v>
      </c>
      <c r="D19" s="37">
        <v>2250</v>
      </c>
      <c r="E19" s="7">
        <v>2</v>
      </c>
      <c r="F19" s="149">
        <v>1314.66</v>
      </c>
      <c r="G19" s="29"/>
    </row>
    <row r="20" spans="1:8">
      <c r="A20" s="7"/>
      <c r="B20" s="29" t="s">
        <v>436</v>
      </c>
      <c r="C20" s="29" t="s">
        <v>503</v>
      </c>
      <c r="D20" s="37">
        <v>2120</v>
      </c>
      <c r="E20" s="7">
        <v>1</v>
      </c>
      <c r="F20" s="149">
        <v>1285.46</v>
      </c>
      <c r="G20" s="29"/>
    </row>
    <row r="21" spans="1:8">
      <c r="A21" s="7"/>
      <c r="B21" s="29" t="s">
        <v>437</v>
      </c>
      <c r="C21" s="29" t="s">
        <v>504</v>
      </c>
      <c r="D21" s="37">
        <v>2193</v>
      </c>
      <c r="E21" s="7"/>
      <c r="F21" s="149">
        <v>555.28</v>
      </c>
      <c r="G21" s="29"/>
    </row>
    <row r="22" spans="1:8">
      <c r="A22" s="7"/>
      <c r="B22" s="61" t="s">
        <v>471</v>
      </c>
      <c r="C22" s="61" t="s">
        <v>438</v>
      </c>
      <c r="D22" s="37">
        <v>640</v>
      </c>
      <c r="E22" s="62"/>
      <c r="F22" s="149">
        <v>1081.3499999999999</v>
      </c>
      <c r="G22" s="29"/>
    </row>
    <row r="23" spans="1:8" s="133" customFormat="1">
      <c r="A23" s="130"/>
      <c r="B23" s="139" t="s">
        <v>624</v>
      </c>
      <c r="C23" s="139" t="s">
        <v>625</v>
      </c>
      <c r="D23" s="134">
        <v>2275</v>
      </c>
      <c r="E23" s="140"/>
      <c r="F23" s="150">
        <v>0</v>
      </c>
      <c r="G23" s="131" t="s">
        <v>399</v>
      </c>
    </row>
    <row r="24" spans="1:8">
      <c r="A24" s="7"/>
      <c r="B24" s="29" t="s">
        <v>439</v>
      </c>
      <c r="C24" s="29" t="s">
        <v>505</v>
      </c>
      <c r="D24" s="37">
        <v>901</v>
      </c>
      <c r="E24" s="62"/>
      <c r="F24" s="149">
        <v>1390.5</v>
      </c>
      <c r="G24" s="29"/>
    </row>
    <row r="25" spans="1:8">
      <c r="A25" s="7"/>
      <c r="B25" s="29" t="s">
        <v>472</v>
      </c>
      <c r="C25" s="29" t="s">
        <v>574</v>
      </c>
      <c r="D25" s="37">
        <v>2234</v>
      </c>
      <c r="E25" s="62"/>
      <c r="F25" s="149">
        <v>592.36</v>
      </c>
      <c r="G25" s="29"/>
    </row>
    <row r="26" spans="1:8">
      <c r="A26" s="7"/>
      <c r="B26" s="29" t="s">
        <v>472</v>
      </c>
      <c r="C26" s="29" t="s">
        <v>440</v>
      </c>
      <c r="D26" s="37">
        <v>1741</v>
      </c>
      <c r="E26" s="7"/>
      <c r="F26" s="149">
        <v>904.76</v>
      </c>
      <c r="G26" s="29"/>
    </row>
    <row r="27" spans="1:8">
      <c r="A27" s="7"/>
      <c r="B27" s="37" t="s">
        <v>472</v>
      </c>
      <c r="C27" s="37" t="s">
        <v>441</v>
      </c>
      <c r="D27" s="37">
        <v>1757</v>
      </c>
      <c r="E27" s="58">
        <v>2</v>
      </c>
      <c r="F27" s="149">
        <v>1550.59</v>
      </c>
      <c r="G27" s="29"/>
    </row>
    <row r="28" spans="1:8">
      <c r="A28" s="7"/>
      <c r="B28" s="37" t="s">
        <v>473</v>
      </c>
      <c r="C28" s="37" t="s">
        <v>442</v>
      </c>
      <c r="D28" s="37">
        <v>2057</v>
      </c>
      <c r="E28" s="58"/>
      <c r="F28" s="149">
        <v>1368.26</v>
      </c>
      <c r="G28" s="29"/>
    </row>
    <row r="29" spans="1:8">
      <c r="A29" s="7"/>
      <c r="B29" s="37" t="s">
        <v>473</v>
      </c>
      <c r="C29" s="37" t="s">
        <v>443</v>
      </c>
      <c r="D29" s="37">
        <v>1210</v>
      </c>
      <c r="E29" s="58"/>
      <c r="F29" s="149">
        <v>1302.44</v>
      </c>
      <c r="G29" s="29"/>
    </row>
    <row r="30" spans="1:8">
      <c r="A30" s="7"/>
      <c r="B30" s="29" t="s">
        <v>444</v>
      </c>
      <c r="C30" s="29" t="s">
        <v>506</v>
      </c>
      <c r="D30" s="37">
        <v>1460</v>
      </c>
      <c r="E30" s="7"/>
      <c r="F30" s="149">
        <v>757.83</v>
      </c>
    </row>
    <row r="31" spans="1:8">
      <c r="A31" s="7"/>
      <c r="B31" s="29" t="s">
        <v>474</v>
      </c>
      <c r="C31" s="29" t="s">
        <v>576</v>
      </c>
      <c r="D31" s="37">
        <v>2248</v>
      </c>
      <c r="E31" s="7">
        <v>3</v>
      </c>
      <c r="F31" s="149">
        <v>1862.53</v>
      </c>
      <c r="G31" s="29"/>
      <c r="H31" s="199">
        <f>285.06*2</f>
        <v>570.12</v>
      </c>
    </row>
    <row r="32" spans="1:8">
      <c r="A32" s="7"/>
      <c r="B32" s="29" t="s">
        <v>474</v>
      </c>
      <c r="C32" s="29" t="s">
        <v>507</v>
      </c>
      <c r="D32" s="37">
        <v>2062</v>
      </c>
      <c r="E32" s="7">
        <v>1</v>
      </c>
      <c r="F32" s="149">
        <v>931.26</v>
      </c>
      <c r="G32" s="29"/>
    </row>
    <row r="33" spans="1:7">
      <c r="A33" s="7"/>
      <c r="B33" s="29" t="s">
        <v>474</v>
      </c>
      <c r="C33" s="29" t="s">
        <v>508</v>
      </c>
      <c r="D33" s="37">
        <v>2121</v>
      </c>
      <c r="E33" s="7"/>
      <c r="F33" s="149">
        <v>548.32000000000005</v>
      </c>
      <c r="G33" s="29"/>
    </row>
    <row r="34" spans="1:7">
      <c r="A34" s="7"/>
      <c r="B34" s="37" t="s">
        <v>475</v>
      </c>
      <c r="C34" s="37" t="s">
        <v>446</v>
      </c>
      <c r="D34" s="37">
        <v>2003</v>
      </c>
      <c r="E34" s="58"/>
      <c r="F34" s="149">
        <v>566.4</v>
      </c>
      <c r="G34" s="29"/>
    </row>
    <row r="35" spans="1:7">
      <c r="A35" s="7"/>
      <c r="B35" s="29" t="s">
        <v>476</v>
      </c>
      <c r="C35" s="29" t="s">
        <v>447</v>
      </c>
      <c r="D35" s="37">
        <v>2019</v>
      </c>
      <c r="E35" s="58">
        <v>1</v>
      </c>
      <c r="F35" s="149">
        <v>972.05</v>
      </c>
      <c r="G35" s="29"/>
    </row>
    <row r="36" spans="1:7" s="133" customFormat="1">
      <c r="A36" s="7"/>
      <c r="B36" s="29" t="s">
        <v>478</v>
      </c>
      <c r="C36" s="29" t="s">
        <v>448</v>
      </c>
      <c r="D36" s="37">
        <v>2172</v>
      </c>
      <c r="E36" s="58"/>
      <c r="F36" s="149">
        <v>1368.26</v>
      </c>
      <c r="G36" s="29"/>
    </row>
    <row r="37" spans="1:7">
      <c r="A37" s="145"/>
      <c r="B37" s="37" t="s">
        <v>497</v>
      </c>
      <c r="C37" s="37" t="s">
        <v>461</v>
      </c>
      <c r="D37" s="37">
        <v>2082</v>
      </c>
      <c r="E37" s="58"/>
      <c r="F37" s="149">
        <v>555.28</v>
      </c>
      <c r="G37" s="29"/>
    </row>
    <row r="38" spans="1:7">
      <c r="A38" s="7"/>
      <c r="B38" s="29" t="s">
        <v>479</v>
      </c>
      <c r="C38" s="29" t="s">
        <v>449</v>
      </c>
      <c r="D38" s="37">
        <v>2119</v>
      </c>
      <c r="E38" s="7"/>
      <c r="F38" s="149">
        <v>465.36</v>
      </c>
      <c r="G38" s="29"/>
    </row>
    <row r="39" spans="1:7">
      <c r="A39" s="7"/>
      <c r="B39" s="29" t="s">
        <v>618</v>
      </c>
      <c r="C39" s="29" t="s">
        <v>619</v>
      </c>
      <c r="D39" s="37">
        <v>2273</v>
      </c>
      <c r="E39" s="7"/>
      <c r="F39" s="149">
        <v>485.75</v>
      </c>
      <c r="G39" s="29"/>
    </row>
    <row r="40" spans="1:7" ht="15">
      <c r="A40" s="7"/>
      <c r="B40" s="144" t="s">
        <v>480</v>
      </c>
      <c r="C40" s="144" t="s">
        <v>511</v>
      </c>
      <c r="D40" s="37">
        <v>2231</v>
      </c>
      <c r="E40" s="7">
        <v>3</v>
      </c>
      <c r="F40" s="149">
        <v>2311.58</v>
      </c>
      <c r="G40" s="29"/>
    </row>
    <row r="41" spans="1:7" s="133" customFormat="1">
      <c r="A41" s="130"/>
      <c r="B41" s="131" t="s">
        <v>481</v>
      </c>
      <c r="C41" s="131" t="s">
        <v>450</v>
      </c>
      <c r="D41" s="134">
        <v>1975</v>
      </c>
      <c r="E41" s="130">
        <v>1</v>
      </c>
      <c r="F41" s="150">
        <v>938.68</v>
      </c>
      <c r="G41" s="131" t="s">
        <v>632</v>
      </c>
    </row>
    <row r="42" spans="1:7">
      <c r="A42" s="7"/>
      <c r="B42" s="29" t="s">
        <v>482</v>
      </c>
      <c r="C42" s="29" t="s">
        <v>512</v>
      </c>
      <c r="D42" s="37">
        <v>2203</v>
      </c>
      <c r="E42" s="7"/>
      <c r="F42" s="149">
        <v>562.69000000000005</v>
      </c>
      <c r="G42" s="29"/>
    </row>
    <row r="43" spans="1:7" s="133" customFormat="1">
      <c r="A43" s="7"/>
      <c r="B43" s="29" t="s">
        <v>547</v>
      </c>
      <c r="C43" s="29" t="s">
        <v>548</v>
      </c>
      <c r="D43" s="37">
        <v>2245</v>
      </c>
      <c r="E43" s="7"/>
      <c r="F43" s="149">
        <v>1273.33</v>
      </c>
      <c r="G43" s="29"/>
    </row>
    <row r="44" spans="1:7">
      <c r="A44" s="7"/>
      <c r="B44" s="37" t="s">
        <v>483</v>
      </c>
      <c r="C44" s="37" t="s">
        <v>452</v>
      </c>
      <c r="D44" s="37">
        <v>2001</v>
      </c>
      <c r="E44" s="58"/>
      <c r="F44" s="149">
        <v>1033.6099999999999</v>
      </c>
      <c r="G44" s="29"/>
    </row>
    <row r="45" spans="1:7">
      <c r="A45" s="7"/>
      <c r="B45" s="37" t="s">
        <v>484</v>
      </c>
      <c r="C45" s="37" t="s">
        <v>514</v>
      </c>
      <c r="D45" s="37">
        <v>2160</v>
      </c>
      <c r="E45" s="58">
        <v>1</v>
      </c>
      <c r="F45" s="149">
        <v>1544.85</v>
      </c>
      <c r="G45" s="29"/>
    </row>
    <row r="46" spans="1:7">
      <c r="A46" s="7"/>
      <c r="B46" s="29" t="s">
        <v>551</v>
      </c>
      <c r="C46" s="29" t="s">
        <v>552</v>
      </c>
      <c r="D46" s="37">
        <v>2246</v>
      </c>
      <c r="E46" s="58"/>
      <c r="F46" s="149">
        <v>537.20000000000005</v>
      </c>
      <c r="G46" s="29"/>
    </row>
    <row r="47" spans="1:7" s="133" customFormat="1">
      <c r="A47" s="7"/>
      <c r="B47" s="29" t="s">
        <v>485</v>
      </c>
      <c r="C47" s="29" t="s">
        <v>515</v>
      </c>
      <c r="D47" s="37">
        <v>2018</v>
      </c>
      <c r="E47" s="7"/>
      <c r="F47" s="149">
        <v>1331.64</v>
      </c>
      <c r="G47" s="29"/>
    </row>
    <row r="48" spans="1:7">
      <c r="A48" s="7"/>
      <c r="B48" s="37" t="s">
        <v>486</v>
      </c>
      <c r="C48" s="37" t="s">
        <v>453</v>
      </c>
      <c r="D48" s="37">
        <v>1692</v>
      </c>
      <c r="E48" s="58">
        <v>2</v>
      </c>
      <c r="F48" s="149">
        <v>1544.85</v>
      </c>
      <c r="G48" s="29"/>
    </row>
    <row r="49" spans="1:10" s="133" customFormat="1">
      <c r="A49" s="7"/>
      <c r="B49" s="37" t="s">
        <v>486</v>
      </c>
      <c r="C49" s="37" t="s">
        <v>454</v>
      </c>
      <c r="D49" s="37">
        <v>2027</v>
      </c>
      <c r="E49" s="58"/>
      <c r="F49" s="149">
        <v>555.28</v>
      </c>
      <c r="G49" s="29"/>
    </row>
    <row r="50" spans="1:10">
      <c r="A50" s="7"/>
      <c r="B50" s="29" t="s">
        <v>487</v>
      </c>
      <c r="C50" s="29" t="s">
        <v>516</v>
      </c>
      <c r="D50" s="37">
        <v>2060</v>
      </c>
      <c r="E50" s="58"/>
      <c r="F50" s="149">
        <v>827.82</v>
      </c>
      <c r="G50" s="29"/>
    </row>
    <row r="51" spans="1:10">
      <c r="A51" s="7"/>
      <c r="B51" s="29" t="s">
        <v>488</v>
      </c>
      <c r="C51" s="29" t="s">
        <v>517</v>
      </c>
      <c r="D51" s="37">
        <v>1649</v>
      </c>
      <c r="E51" s="58"/>
      <c r="F51" s="149">
        <v>1390.5</v>
      </c>
      <c r="G51" s="29"/>
    </row>
    <row r="52" spans="1:10">
      <c r="A52" s="7"/>
      <c r="B52" s="29" t="s">
        <v>489</v>
      </c>
      <c r="C52" s="29" t="s">
        <v>455</v>
      </c>
      <c r="D52" s="37">
        <v>2090</v>
      </c>
      <c r="E52" s="58"/>
      <c r="F52" s="149">
        <v>0</v>
      </c>
      <c r="G52" s="29" t="s">
        <v>634</v>
      </c>
    </row>
    <row r="53" spans="1:10">
      <c r="A53" s="7"/>
      <c r="B53" s="29" t="s">
        <v>490</v>
      </c>
      <c r="C53" s="29" t="s">
        <v>518</v>
      </c>
      <c r="D53" s="37">
        <v>1050</v>
      </c>
      <c r="E53" s="58"/>
      <c r="F53" s="149">
        <v>1390.5</v>
      </c>
      <c r="G53" s="29"/>
    </row>
    <row r="54" spans="1:10">
      <c r="A54" s="7"/>
      <c r="B54" s="29" t="s">
        <v>491</v>
      </c>
      <c r="C54" s="29" t="s">
        <v>456</v>
      </c>
      <c r="D54" s="37">
        <v>1964</v>
      </c>
      <c r="E54" s="58"/>
      <c r="F54" s="149">
        <v>669.3</v>
      </c>
      <c r="G54" s="29"/>
    </row>
    <row r="55" spans="1:10">
      <c r="A55" s="7"/>
      <c r="B55" s="37" t="s">
        <v>492</v>
      </c>
      <c r="C55" s="37" t="s">
        <v>519</v>
      </c>
      <c r="D55" s="37">
        <v>1981</v>
      </c>
      <c r="E55" s="58"/>
      <c r="F55" s="149">
        <v>573.82000000000005</v>
      </c>
      <c r="G55" s="29"/>
    </row>
    <row r="56" spans="1:10">
      <c r="A56" s="7"/>
      <c r="B56" s="29" t="s">
        <v>492</v>
      </c>
      <c r="C56" s="29" t="s">
        <v>520</v>
      </c>
      <c r="D56" s="37">
        <v>1662</v>
      </c>
      <c r="E56" s="58">
        <v>1</v>
      </c>
      <c r="F56" s="149">
        <v>1158.75</v>
      </c>
      <c r="G56" s="29"/>
    </row>
    <row r="57" spans="1:10">
      <c r="A57" s="7"/>
      <c r="B57" s="37" t="s">
        <v>493</v>
      </c>
      <c r="C57" s="37" t="s">
        <v>457</v>
      </c>
      <c r="D57" s="37">
        <v>1630</v>
      </c>
      <c r="E57" s="58">
        <v>1</v>
      </c>
      <c r="F57" s="149">
        <v>1409.05</v>
      </c>
      <c r="G57" s="29"/>
    </row>
    <row r="58" spans="1:10">
      <c r="A58" s="7"/>
      <c r="B58" s="37" t="s">
        <v>494</v>
      </c>
      <c r="C58" s="37" t="s">
        <v>522</v>
      </c>
      <c r="D58" s="37">
        <v>2212</v>
      </c>
      <c r="E58" s="7"/>
      <c r="F58" s="149">
        <v>548.32000000000005</v>
      </c>
      <c r="G58" s="29"/>
    </row>
    <row r="59" spans="1:10">
      <c r="A59" s="7"/>
      <c r="B59" s="29" t="s">
        <v>534</v>
      </c>
      <c r="C59" s="29" t="s">
        <v>533</v>
      </c>
      <c r="D59" s="37">
        <v>2010</v>
      </c>
      <c r="E59" s="58">
        <v>1</v>
      </c>
      <c r="F59" s="149">
        <v>1254.24</v>
      </c>
      <c r="G59" s="29"/>
    </row>
    <row r="60" spans="1:10">
      <c r="A60" s="7"/>
      <c r="B60" s="29" t="s">
        <v>534</v>
      </c>
      <c r="C60" s="29" t="s">
        <v>580</v>
      </c>
      <c r="D60" s="37">
        <v>2187</v>
      </c>
      <c r="E60" s="58">
        <v>2</v>
      </c>
      <c r="F60" s="149">
        <v>1526.49</v>
      </c>
      <c r="G60" s="29"/>
    </row>
    <row r="61" spans="1:10">
      <c r="A61" s="7"/>
      <c r="B61" s="37" t="s">
        <v>495</v>
      </c>
      <c r="C61" s="37" t="s">
        <v>459</v>
      </c>
      <c r="D61" s="37">
        <v>2095</v>
      </c>
      <c r="E61" s="7"/>
      <c r="F61" s="149">
        <v>537.20000000000005</v>
      </c>
      <c r="G61" s="29"/>
    </row>
    <row r="62" spans="1:10" s="159" customFormat="1">
      <c r="A62" s="153"/>
      <c r="B62" s="154" t="s">
        <v>495</v>
      </c>
      <c r="C62" s="154" t="s">
        <v>566</v>
      </c>
      <c r="D62" s="154">
        <v>2064</v>
      </c>
      <c r="E62" s="153">
        <v>3</v>
      </c>
      <c r="F62" s="181">
        <v>1910.73</v>
      </c>
      <c r="G62" s="158"/>
      <c r="H62" s="199">
        <f>301.74*2</f>
        <v>603.48</v>
      </c>
    </row>
    <row r="63" spans="1:10">
      <c r="A63" s="7"/>
      <c r="B63" s="37" t="s">
        <v>530</v>
      </c>
      <c r="C63" s="37" t="s">
        <v>529</v>
      </c>
      <c r="D63" s="37">
        <v>2089</v>
      </c>
      <c r="E63" s="58"/>
      <c r="F63" s="149">
        <v>537.20000000000005</v>
      </c>
      <c r="G63" s="29"/>
    </row>
    <row r="64" spans="1:10">
      <c r="A64" s="113"/>
      <c r="B64" s="102"/>
      <c r="C64" s="102"/>
      <c r="D64" s="102"/>
      <c r="E64" s="115"/>
      <c r="F64" s="117"/>
      <c r="G64" s="114"/>
      <c r="I64" s="15"/>
      <c r="J64" s="15"/>
    </row>
    <row r="65" spans="1:9">
      <c r="A65" s="458" t="s">
        <v>315</v>
      </c>
      <c r="B65" s="459"/>
      <c r="C65" s="459"/>
      <c r="D65" s="459"/>
      <c r="E65" s="460"/>
      <c r="F65" s="111">
        <v>59252.259999999987</v>
      </c>
      <c r="G65" s="112"/>
    </row>
    <row r="66" spans="1:9">
      <c r="A66" s="431" t="s">
        <v>258</v>
      </c>
      <c r="B66" s="432"/>
      <c r="C66" s="141"/>
      <c r="D66" s="141"/>
      <c r="E66" s="7">
        <v>57</v>
      </c>
      <c r="F66" s="52"/>
      <c r="G66" s="29"/>
    </row>
    <row r="67" spans="1:9">
      <c r="A67" s="431" t="s">
        <v>242</v>
      </c>
      <c r="B67" s="432"/>
      <c r="C67" s="141"/>
      <c r="D67" s="141"/>
      <c r="E67" s="58">
        <v>17</v>
      </c>
      <c r="F67" s="52"/>
      <c r="G67" s="29"/>
    </row>
    <row r="68" spans="1:9">
      <c r="A68" s="433" t="s">
        <v>246</v>
      </c>
      <c r="B68" s="434"/>
      <c r="C68" s="92"/>
      <c r="D68" s="92"/>
      <c r="E68" s="86">
        <v>74</v>
      </c>
      <c r="F68" s="52"/>
      <c r="G68" s="29"/>
    </row>
    <row r="69" spans="1:9">
      <c r="A69" s="455" t="s">
        <v>257</v>
      </c>
      <c r="B69" s="456"/>
      <c r="C69" s="456"/>
      <c r="D69" s="456"/>
      <c r="E69" s="457"/>
      <c r="F69" s="184">
        <v>-1267.9699999999998</v>
      </c>
      <c r="G69" s="185"/>
      <c r="I69" s="15"/>
    </row>
    <row r="70" spans="1:9" s="6" customFormat="1">
      <c r="A70" s="187"/>
      <c r="B70" s="131" t="s">
        <v>481</v>
      </c>
      <c r="C70" s="131" t="s">
        <v>450</v>
      </c>
      <c r="D70" s="134">
        <v>1975</v>
      </c>
      <c r="E70" s="58"/>
      <c r="F70" s="149">
        <v>737.14</v>
      </c>
      <c r="G70" s="29" t="s">
        <v>633</v>
      </c>
      <c r="H70" s="6">
        <f>SUM(H6:H69)</f>
        <v>1173.5999999999999</v>
      </c>
      <c r="I70" s="197"/>
    </row>
    <row r="71" spans="1:9" s="6" customFormat="1">
      <c r="A71" s="187"/>
      <c r="B71" s="61" t="s">
        <v>624</v>
      </c>
      <c r="C71" s="61" t="s">
        <v>625</v>
      </c>
      <c r="D71" s="37">
        <v>2275</v>
      </c>
      <c r="E71" s="62"/>
      <c r="F71" s="149">
        <v>-971.5</v>
      </c>
      <c r="G71" s="29" t="s">
        <v>631</v>
      </c>
      <c r="I71" s="197"/>
    </row>
    <row r="72" spans="1:9" s="6" customFormat="1">
      <c r="A72" s="187"/>
      <c r="B72" s="29" t="s">
        <v>489</v>
      </c>
      <c r="C72" s="29" t="s">
        <v>455</v>
      </c>
      <c r="D72" s="37">
        <v>2090</v>
      </c>
      <c r="E72" s="7"/>
      <c r="F72" s="149">
        <v>-1033.6099999999999</v>
      </c>
      <c r="G72" s="29" t="s">
        <v>635</v>
      </c>
      <c r="I72" s="197"/>
    </row>
    <row r="73" spans="1:9" s="6" customFormat="1">
      <c r="A73" s="187"/>
      <c r="B73" s="29"/>
      <c r="C73" s="29"/>
      <c r="D73" s="37"/>
      <c r="E73" s="7"/>
      <c r="F73" s="149"/>
      <c r="G73" s="29"/>
      <c r="I73" s="197"/>
    </row>
    <row r="74" spans="1:9" s="29" customFormat="1">
      <c r="A74" s="187"/>
      <c r="B74" s="131"/>
      <c r="C74" s="131"/>
      <c r="D74" s="134"/>
      <c r="E74" s="187"/>
      <c r="F74" s="52"/>
      <c r="I74" s="188"/>
    </row>
    <row r="75" spans="1:9" ht="12" customHeight="1">
      <c r="A75" s="458" t="s">
        <v>265</v>
      </c>
      <c r="B75" s="459"/>
      <c r="C75" s="459"/>
      <c r="D75" s="459"/>
      <c r="E75" s="460"/>
      <c r="F75" s="111"/>
      <c r="G75" s="186"/>
    </row>
    <row r="76" spans="1:9" ht="12" customHeight="1">
      <c r="A76" s="172"/>
      <c r="B76" s="173"/>
      <c r="C76" s="173"/>
      <c r="D76" s="429" t="s">
        <v>598</v>
      </c>
      <c r="E76" s="430"/>
      <c r="F76" s="83"/>
      <c r="G76" s="75"/>
    </row>
    <row r="77" spans="1:9">
      <c r="A77" s="422" t="s">
        <v>37</v>
      </c>
      <c r="B77" s="423"/>
      <c r="C77" s="423"/>
      <c r="D77" s="423"/>
      <c r="E77" s="424"/>
      <c r="F77" s="80">
        <v>57984.289999999986</v>
      </c>
      <c r="G77" s="84"/>
    </row>
    <row r="78" spans="1:9" ht="18">
      <c r="E78" s="151" t="s">
        <v>250</v>
      </c>
      <c r="F78" s="151"/>
      <c r="G78" s="118">
        <v>44747</v>
      </c>
    </row>
    <row r="79" spans="1:9" ht="18">
      <c r="E79" s="151" t="s">
        <v>251</v>
      </c>
      <c r="F79" s="151"/>
      <c r="G79" s="119" t="s">
        <v>337</v>
      </c>
    </row>
    <row r="84" spans="1:10" s="3" customFormat="1">
      <c r="A84"/>
      <c r="B84"/>
      <c r="C84"/>
      <c r="D84"/>
      <c r="F84" s="152"/>
      <c r="G84"/>
      <c r="H84"/>
      <c r="I84"/>
      <c r="J84"/>
    </row>
  </sheetData>
  <autoFilter ref="A4:G4" xr:uid="{EC283F26-1258-B84E-AE05-5C35489C3CC6}">
    <sortState xmlns:xlrd2="http://schemas.microsoft.com/office/spreadsheetml/2017/richdata2" ref="A5:G63">
      <sortCondition ref="B4:B63"/>
    </sortState>
  </autoFilter>
  <mergeCells count="9">
    <mergeCell ref="A75:E75"/>
    <mergeCell ref="D76:E76"/>
    <mergeCell ref="A77:E77"/>
    <mergeCell ref="F3:G3"/>
    <mergeCell ref="A65:E65"/>
    <mergeCell ref="A66:B66"/>
    <mergeCell ref="A67:B67"/>
    <mergeCell ref="A68:B68"/>
    <mergeCell ref="A69:E69"/>
  </mergeCells>
  <conditionalFormatting sqref="B81">
    <cfRule type="duplicateValues" dxfId="985" priority="38"/>
    <cfRule type="duplicateValues" dxfId="984" priority="39"/>
  </conditionalFormatting>
  <conditionalFormatting sqref="B82">
    <cfRule type="duplicateValues" dxfId="983" priority="36"/>
    <cfRule type="duplicateValues" dxfId="982" priority="37"/>
  </conditionalFormatting>
  <conditionalFormatting sqref="B84">
    <cfRule type="duplicateValues" dxfId="981" priority="34"/>
    <cfRule type="duplicateValues" dxfId="980" priority="35"/>
  </conditionalFormatting>
  <conditionalFormatting sqref="B86">
    <cfRule type="duplicateValues" dxfId="979" priority="32"/>
    <cfRule type="duplicateValues" dxfId="978" priority="33"/>
  </conditionalFormatting>
  <conditionalFormatting sqref="B16:C16">
    <cfRule type="duplicateValues" dxfId="977" priority="53"/>
  </conditionalFormatting>
  <conditionalFormatting sqref="B21:C21">
    <cfRule type="duplicateValues" dxfId="976" priority="54"/>
  </conditionalFormatting>
  <conditionalFormatting sqref="B63:C64 B14:C17 B9:C12 D7:D64 B52:C53 B42:C49 B55:C60 B38:C39 B20:C21 B24:C28 B35:C36 B30:C33">
    <cfRule type="duplicateValues" dxfId="975" priority="51"/>
  </conditionalFormatting>
  <conditionalFormatting sqref="B72:D72">
    <cfRule type="duplicateValues" dxfId="974" priority="1"/>
    <cfRule type="duplicateValues" dxfId="973" priority="2"/>
    <cfRule type="duplicateValues" dxfId="972" priority="3"/>
  </conditionalFormatting>
  <conditionalFormatting sqref="B74:D74">
    <cfRule type="duplicateValues" dxfId="971" priority="29"/>
    <cfRule type="duplicateValues" dxfId="970" priority="30"/>
    <cfRule type="duplicateValues" dxfId="969" priority="31"/>
  </conditionalFormatting>
  <conditionalFormatting sqref="B75:D79 B63:C69 D1:D3 B14:C17 B9:C12 B1:C6 D7:D69 B52:C53 B42:C49 B55:C60 B38:C39 B20:C21 B24:C28 B35:C36 B30:C33">
    <cfRule type="duplicateValues" dxfId="968" priority="50"/>
  </conditionalFormatting>
  <conditionalFormatting sqref="B75:D80 D1:D3 B9:C12 B14:C17 B1:C6 B63:C69 D7:D69 B52:C53 B42:C49 B55:C60 B38:C39 B20:C21 B24:C28 B35:C36 B30:C33 C82:D82 C84:D84 B83:D83 B87:D1048576 C86:D86 B85:D85">
    <cfRule type="duplicateValues" dxfId="967" priority="42"/>
  </conditionalFormatting>
  <conditionalFormatting sqref="B80:D80 C82:D82 C84:D84 B83:D83 B87:D1048576 C86:D86 B85:D85">
    <cfRule type="duplicateValues" dxfId="966" priority="52"/>
  </conditionalFormatting>
  <conditionalFormatting sqref="D4:D6">
    <cfRule type="duplicateValues" dxfId="965" priority="40"/>
    <cfRule type="duplicateValues" dxfId="964" priority="41"/>
  </conditionalFormatting>
  <conditionalFormatting sqref="D70">
    <cfRule type="duplicateValues" dxfId="963" priority="4"/>
    <cfRule type="duplicateValues" dxfId="962" priority="5"/>
    <cfRule type="duplicateValues" dxfId="961" priority="6"/>
  </conditionalFormatting>
  <conditionalFormatting sqref="D71">
    <cfRule type="duplicateValues" dxfId="960" priority="16"/>
    <cfRule type="duplicateValues" dxfId="959" priority="22"/>
    <cfRule type="duplicateValues" dxfId="958" priority="23"/>
  </conditionalFormatting>
  <conditionalFormatting sqref="D73">
    <cfRule type="duplicateValues" dxfId="957" priority="7"/>
    <cfRule type="duplicateValues" dxfId="956" priority="9"/>
    <cfRule type="duplicateValues" dxfId="955" priority="10"/>
  </conditionalFormatting>
  <conditionalFormatting sqref="E7:E63">
    <cfRule type="notContainsBlanks" dxfId="954" priority="44">
      <formula>LEN(TRIM(E7))&gt;0</formula>
    </cfRule>
  </conditionalFormatting>
  <conditionalFormatting sqref="E16 B16:C16">
    <cfRule type="duplicateValues" dxfId="953" priority="49"/>
  </conditionalFormatting>
  <conditionalFormatting sqref="E21 B21:C21">
    <cfRule type="duplicateValues" dxfId="952" priority="48"/>
  </conditionalFormatting>
  <conditionalFormatting sqref="E22:E23">
    <cfRule type="duplicateValues" dxfId="951" priority="45"/>
    <cfRule type="duplicateValues" dxfId="950" priority="46"/>
    <cfRule type="duplicateValues" dxfId="949" priority="47"/>
  </conditionalFormatting>
  <conditionalFormatting sqref="E70:E73">
    <cfRule type="notContainsBlanks" dxfId="948" priority="8">
      <formula>LEN(TRIM(E70))&gt;0</formula>
    </cfRule>
  </conditionalFormatting>
  <conditionalFormatting sqref="E71">
    <cfRule type="duplicateValues" dxfId="947" priority="19"/>
    <cfRule type="duplicateValues" dxfId="946" priority="20"/>
    <cfRule type="duplicateValues" dxfId="945" priority="21"/>
  </conditionalFormatting>
  <conditionalFormatting sqref="G7:G29">
    <cfRule type="notContainsBlanks" dxfId="944" priority="43">
      <formula>LEN(TRIM(G7))&gt;0</formula>
    </cfRule>
  </conditionalFormatting>
  <conditionalFormatting sqref="G31:G77">
    <cfRule type="notContainsBlanks" dxfId="943" priority="11">
      <formula>LEN(TRIM(G31))&gt;0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5C34-2455-0943-89C5-56D36EC1BBFD}">
  <sheetPr>
    <tabColor theme="8"/>
    <pageSetUpPr fitToPage="1"/>
  </sheetPr>
  <dimension ref="A1:J85"/>
  <sheetViews>
    <sheetView zoomScale="140" zoomScaleNormal="140" zoomScalePageLayoutView="14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18" sqref="H18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5" width="12.1640625" style="3" customWidth="1"/>
    <col min="6" max="6" width="16" style="152" customWidth="1"/>
    <col min="7" max="7" width="33.8320312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146" t="s">
        <v>342</v>
      </c>
      <c r="G1" s="68" t="s">
        <v>223</v>
      </c>
    </row>
    <row r="2" spans="1:7" ht="13.5" customHeight="1">
      <c r="A2" s="1" t="s">
        <v>249</v>
      </c>
      <c r="F2" s="51" t="s">
        <v>622</v>
      </c>
      <c r="G2" s="123">
        <v>44713</v>
      </c>
    </row>
    <row r="3" spans="1:7" ht="14" customHeight="1">
      <c r="F3" s="461" t="s">
        <v>562</v>
      </c>
      <c r="G3" s="461"/>
    </row>
    <row r="4" spans="1:7" ht="14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168" t="s">
        <v>584</v>
      </c>
      <c r="G4" s="50" t="s">
        <v>227</v>
      </c>
    </row>
    <row r="5" spans="1:7">
      <c r="A5" s="7"/>
      <c r="B5" s="161" t="s">
        <v>556</v>
      </c>
      <c r="C5" s="161" t="s">
        <v>557</v>
      </c>
      <c r="D5" s="66">
        <v>2247</v>
      </c>
      <c r="E5" s="7"/>
      <c r="F5" s="160">
        <v>463.5</v>
      </c>
      <c r="G5" s="7"/>
    </row>
    <row r="6" spans="1:7">
      <c r="A6" s="7"/>
      <c r="B6" s="161" t="s">
        <v>585</v>
      </c>
      <c r="C6" s="161" t="s">
        <v>586</v>
      </c>
      <c r="D6" s="66">
        <v>2261</v>
      </c>
      <c r="E6" s="7"/>
      <c r="F6" s="160">
        <v>1488.01</v>
      </c>
      <c r="G6" s="161"/>
    </row>
    <row r="7" spans="1:7">
      <c r="A7" s="7"/>
      <c r="B7" s="29" t="s">
        <v>462</v>
      </c>
      <c r="C7" s="29" t="s">
        <v>425</v>
      </c>
      <c r="D7" s="37">
        <v>2081</v>
      </c>
      <c r="E7" s="58"/>
      <c r="F7" s="149">
        <v>1016.08</v>
      </c>
      <c r="G7" s="29" t="s">
        <v>616</v>
      </c>
    </row>
    <row r="8" spans="1:7">
      <c r="A8" s="7"/>
      <c r="B8" s="29" t="s">
        <v>460</v>
      </c>
      <c r="C8" s="29" t="s">
        <v>426</v>
      </c>
      <c r="D8" s="37">
        <v>1593</v>
      </c>
      <c r="E8" s="7"/>
      <c r="F8" s="149">
        <v>1181.01</v>
      </c>
      <c r="G8" s="29"/>
    </row>
    <row r="9" spans="1:7">
      <c r="A9" s="7"/>
      <c r="B9" s="37" t="s">
        <v>463</v>
      </c>
      <c r="C9" s="37" t="s">
        <v>427</v>
      </c>
      <c r="D9" s="37">
        <v>2023</v>
      </c>
      <c r="E9" s="58"/>
      <c r="F9" s="149">
        <v>573.82000000000005</v>
      </c>
      <c r="G9" s="29"/>
    </row>
    <row r="10" spans="1:7" s="1" customFormat="1">
      <c r="A10" s="10"/>
      <c r="B10" s="61" t="s">
        <v>463</v>
      </c>
      <c r="C10" s="61" t="s">
        <v>608</v>
      </c>
      <c r="D10" s="37">
        <v>2131</v>
      </c>
      <c r="E10" s="62"/>
      <c r="F10" s="189">
        <v>537.20000000000005</v>
      </c>
      <c r="G10" s="29"/>
    </row>
    <row r="11" spans="1:7">
      <c r="A11" s="7"/>
      <c r="B11" s="29" t="s">
        <v>464</v>
      </c>
      <c r="C11" s="29" t="s">
        <v>428</v>
      </c>
      <c r="D11" s="37">
        <v>1721</v>
      </c>
      <c r="E11" s="7">
        <v>1</v>
      </c>
      <c r="F11" s="149">
        <v>1670</v>
      </c>
      <c r="G11" s="29"/>
    </row>
    <row r="12" spans="1:7">
      <c r="A12" s="7"/>
      <c r="B12" s="29" t="s">
        <v>464</v>
      </c>
      <c r="C12" s="29" t="s">
        <v>429</v>
      </c>
      <c r="D12" s="37">
        <v>2123</v>
      </c>
      <c r="E12" s="7"/>
      <c r="F12" s="149">
        <v>577.52</v>
      </c>
      <c r="G12" s="29"/>
    </row>
    <row r="13" spans="1:7" s="133" customFormat="1">
      <c r="A13" s="130"/>
      <c r="B13" s="134" t="s">
        <v>465</v>
      </c>
      <c r="C13" s="134" t="s">
        <v>430</v>
      </c>
      <c r="D13" s="134">
        <v>1970</v>
      </c>
      <c r="E13" s="136">
        <v>2</v>
      </c>
      <c r="F13" s="150">
        <v>923.85</v>
      </c>
      <c r="G13" s="131" t="s">
        <v>627</v>
      </c>
    </row>
    <row r="14" spans="1:7" s="1" customFormat="1">
      <c r="A14" s="10"/>
      <c r="B14" s="29" t="s">
        <v>466</v>
      </c>
      <c r="C14" s="29" t="s">
        <v>431</v>
      </c>
      <c r="D14" s="37">
        <v>1794</v>
      </c>
      <c r="E14" s="58">
        <v>2</v>
      </c>
      <c r="F14" s="189">
        <v>1717.74</v>
      </c>
      <c r="G14" s="29"/>
    </row>
    <row r="15" spans="1:7" s="159" customFormat="1">
      <c r="A15" s="7"/>
      <c r="B15" s="37" t="s">
        <v>467</v>
      </c>
      <c r="C15" s="37" t="s">
        <v>501</v>
      </c>
      <c r="D15" s="37">
        <v>2201</v>
      </c>
      <c r="E15" s="58"/>
      <c r="F15" s="149">
        <v>989.58</v>
      </c>
      <c r="G15" s="29"/>
    </row>
    <row r="16" spans="1:7" s="133" customFormat="1">
      <c r="A16" s="7"/>
      <c r="B16" s="37" t="s">
        <v>468</v>
      </c>
      <c r="C16" s="37" t="s">
        <v>432</v>
      </c>
      <c r="D16" s="37">
        <v>2194</v>
      </c>
      <c r="E16" s="58"/>
      <c r="F16" s="149">
        <v>485.75</v>
      </c>
      <c r="G16" s="29"/>
    </row>
    <row r="17" spans="1:8">
      <c r="A17" s="7"/>
      <c r="B17" s="37" t="s">
        <v>542</v>
      </c>
      <c r="C17" s="37" t="s">
        <v>543</v>
      </c>
      <c r="D17" s="37">
        <v>2182</v>
      </c>
      <c r="E17" s="58"/>
      <c r="F17" s="149">
        <v>1033.6099999999999</v>
      </c>
      <c r="G17" s="29"/>
    </row>
    <row r="18" spans="1:8">
      <c r="A18" s="7"/>
      <c r="B18" s="29" t="s">
        <v>469</v>
      </c>
      <c r="C18" s="29" t="s">
        <v>434</v>
      </c>
      <c r="D18" s="37">
        <v>1708</v>
      </c>
      <c r="E18" s="7"/>
      <c r="F18" s="149">
        <v>1368.26</v>
      </c>
      <c r="G18" s="29"/>
    </row>
    <row r="19" spans="1:8">
      <c r="A19" s="7"/>
      <c r="B19" s="29" t="s">
        <v>436</v>
      </c>
      <c r="C19" s="29" t="s">
        <v>572</v>
      </c>
      <c r="D19" s="37">
        <v>2250</v>
      </c>
      <c r="E19" s="7">
        <v>2</v>
      </c>
      <c r="F19" s="149">
        <v>1314.66</v>
      </c>
      <c r="G19" s="29"/>
    </row>
    <row r="20" spans="1:8">
      <c r="A20" s="7"/>
      <c r="B20" s="29" t="s">
        <v>436</v>
      </c>
      <c r="C20" s="29" t="s">
        <v>503</v>
      </c>
      <c r="D20" s="37">
        <v>2120</v>
      </c>
      <c r="E20" s="7">
        <v>1</v>
      </c>
      <c r="F20" s="149">
        <v>1285.46</v>
      </c>
      <c r="G20" s="29"/>
    </row>
    <row r="21" spans="1:8">
      <c r="A21" s="7"/>
      <c r="B21" s="29" t="s">
        <v>437</v>
      </c>
      <c r="C21" s="29" t="s">
        <v>504</v>
      </c>
      <c r="D21" s="37">
        <v>2193</v>
      </c>
      <c r="E21" s="7"/>
      <c r="F21" s="149">
        <v>555.28</v>
      </c>
      <c r="G21" s="29"/>
    </row>
    <row r="22" spans="1:8">
      <c r="A22" s="7"/>
      <c r="B22" s="61" t="s">
        <v>471</v>
      </c>
      <c r="C22" s="61" t="s">
        <v>438</v>
      </c>
      <c r="D22" s="37">
        <v>640</v>
      </c>
      <c r="E22" s="62"/>
      <c r="F22" s="149">
        <v>1081.3499999999999</v>
      </c>
      <c r="G22" s="29"/>
    </row>
    <row r="23" spans="1:8" s="133" customFormat="1">
      <c r="A23" s="130"/>
      <c r="B23" s="139" t="s">
        <v>624</v>
      </c>
      <c r="C23" s="139" t="s">
        <v>625</v>
      </c>
      <c r="D23" s="134">
        <v>2275</v>
      </c>
      <c r="E23" s="140"/>
      <c r="F23" s="150">
        <v>485.75</v>
      </c>
      <c r="G23" s="131" t="s">
        <v>620</v>
      </c>
    </row>
    <row r="24" spans="1:8">
      <c r="A24" s="7"/>
      <c r="B24" s="29" t="s">
        <v>439</v>
      </c>
      <c r="C24" s="29" t="s">
        <v>505</v>
      </c>
      <c r="D24" s="37">
        <v>901</v>
      </c>
      <c r="E24" s="62"/>
      <c r="F24" s="149">
        <v>1390.5</v>
      </c>
      <c r="G24" s="29"/>
    </row>
    <row r="25" spans="1:8">
      <c r="A25" s="7"/>
      <c r="B25" s="29" t="s">
        <v>472</v>
      </c>
      <c r="C25" s="29" t="s">
        <v>574</v>
      </c>
      <c r="D25" s="37">
        <v>2234</v>
      </c>
      <c r="E25" s="62"/>
      <c r="F25" s="149">
        <v>592.36</v>
      </c>
      <c r="G25" s="29"/>
    </row>
    <row r="26" spans="1:8">
      <c r="A26" s="7"/>
      <c r="B26" s="29" t="s">
        <v>472</v>
      </c>
      <c r="C26" s="29" t="s">
        <v>440</v>
      </c>
      <c r="D26" s="37">
        <v>1741</v>
      </c>
      <c r="E26" s="7"/>
      <c r="F26" s="149">
        <v>904.76</v>
      </c>
      <c r="G26" s="29"/>
    </row>
    <row r="27" spans="1:8">
      <c r="A27" s="7"/>
      <c r="B27" s="37" t="s">
        <v>472</v>
      </c>
      <c r="C27" s="37" t="s">
        <v>441</v>
      </c>
      <c r="D27" s="37">
        <v>1757</v>
      </c>
      <c r="E27" s="58">
        <v>2</v>
      </c>
      <c r="F27" s="149">
        <v>1550.59</v>
      </c>
      <c r="G27" s="29"/>
    </row>
    <row r="28" spans="1:8">
      <c r="A28" s="7"/>
      <c r="B28" s="37" t="s">
        <v>473</v>
      </c>
      <c r="C28" s="37" t="s">
        <v>442</v>
      </c>
      <c r="D28" s="37">
        <v>2057</v>
      </c>
      <c r="E28" s="58"/>
      <c r="F28" s="149">
        <v>1368.26</v>
      </c>
      <c r="G28" s="29"/>
    </row>
    <row r="29" spans="1:8">
      <c r="A29" s="7"/>
      <c r="B29" s="37" t="s">
        <v>473</v>
      </c>
      <c r="C29" s="37" t="s">
        <v>443</v>
      </c>
      <c r="D29" s="37">
        <v>1210</v>
      </c>
      <c r="E29" s="58"/>
      <c r="F29" s="149">
        <v>1302.44</v>
      </c>
      <c r="G29" s="29"/>
    </row>
    <row r="30" spans="1:8">
      <c r="A30" s="7"/>
      <c r="B30" s="29" t="s">
        <v>444</v>
      </c>
      <c r="C30" s="29" t="s">
        <v>506</v>
      </c>
      <c r="D30" s="37">
        <v>1460</v>
      </c>
      <c r="E30" s="7"/>
      <c r="F30" s="149">
        <v>757.83</v>
      </c>
    </row>
    <row r="31" spans="1:8">
      <c r="A31" s="7"/>
      <c r="B31" s="29" t="s">
        <v>474</v>
      </c>
      <c r="C31" s="29" t="s">
        <v>576</v>
      </c>
      <c r="D31" s="37">
        <v>2248</v>
      </c>
      <c r="E31" s="7">
        <v>3</v>
      </c>
      <c r="F31" s="149">
        <v>1862.53</v>
      </c>
      <c r="G31" s="29"/>
      <c r="H31" s="199">
        <f>285.06*2</f>
        <v>570.12</v>
      </c>
    </row>
    <row r="32" spans="1:8">
      <c r="A32" s="7"/>
      <c r="B32" s="29" t="s">
        <v>474</v>
      </c>
      <c r="C32" s="29" t="s">
        <v>507</v>
      </c>
      <c r="D32" s="37">
        <v>2062</v>
      </c>
      <c r="E32" s="7">
        <v>1</v>
      </c>
      <c r="F32" s="149">
        <v>931.26</v>
      </c>
      <c r="G32" s="29"/>
    </row>
    <row r="33" spans="1:7">
      <c r="A33" s="7"/>
      <c r="B33" s="29" t="s">
        <v>474</v>
      </c>
      <c r="C33" s="29" t="s">
        <v>508</v>
      </c>
      <c r="D33" s="37">
        <v>2121</v>
      </c>
      <c r="E33" s="7"/>
      <c r="F33" s="149">
        <v>548.32000000000005</v>
      </c>
      <c r="G33" s="29"/>
    </row>
    <row r="34" spans="1:7">
      <c r="A34" s="7"/>
      <c r="B34" s="37" t="s">
        <v>475</v>
      </c>
      <c r="C34" s="37" t="s">
        <v>446</v>
      </c>
      <c r="D34" s="37">
        <v>2003</v>
      </c>
      <c r="E34" s="58"/>
      <c r="F34" s="149">
        <v>566.4</v>
      </c>
      <c r="G34" s="29"/>
    </row>
    <row r="35" spans="1:7">
      <c r="A35" s="7"/>
      <c r="B35" s="29" t="s">
        <v>476</v>
      </c>
      <c r="C35" s="29" t="s">
        <v>447</v>
      </c>
      <c r="D35" s="37">
        <v>2019</v>
      </c>
      <c r="E35" s="58">
        <v>1</v>
      </c>
      <c r="F35" s="149">
        <v>972.05</v>
      </c>
      <c r="G35" s="29"/>
    </row>
    <row r="36" spans="1:7" s="133" customFormat="1">
      <c r="A36" s="7"/>
      <c r="B36" s="29" t="s">
        <v>478</v>
      </c>
      <c r="C36" s="29" t="s">
        <v>448</v>
      </c>
      <c r="D36" s="37">
        <v>2172</v>
      </c>
      <c r="E36" s="58"/>
      <c r="F36" s="149">
        <v>1368.26</v>
      </c>
      <c r="G36" s="29"/>
    </row>
    <row r="37" spans="1:7">
      <c r="A37" s="145"/>
      <c r="B37" s="37" t="s">
        <v>497</v>
      </c>
      <c r="C37" s="37" t="s">
        <v>461</v>
      </c>
      <c r="D37" s="37">
        <v>2082</v>
      </c>
      <c r="E37" s="58"/>
      <c r="F37" s="149">
        <v>555.28</v>
      </c>
      <c r="G37" s="29"/>
    </row>
    <row r="38" spans="1:7">
      <c r="A38" s="7"/>
      <c r="B38" s="29" t="s">
        <v>479</v>
      </c>
      <c r="C38" s="29" t="s">
        <v>449</v>
      </c>
      <c r="D38" s="37">
        <v>2119</v>
      </c>
      <c r="E38" s="7"/>
      <c r="F38" s="149">
        <v>465.36</v>
      </c>
      <c r="G38" s="29"/>
    </row>
    <row r="39" spans="1:7">
      <c r="A39" s="7"/>
      <c r="B39" s="29" t="s">
        <v>618</v>
      </c>
      <c r="C39" s="29" t="s">
        <v>619</v>
      </c>
      <c r="D39" s="37">
        <v>2273</v>
      </c>
      <c r="E39" s="7"/>
      <c r="F39" s="149">
        <v>485.75</v>
      </c>
      <c r="G39" s="29"/>
    </row>
    <row r="40" spans="1:7" ht="15">
      <c r="A40" s="7"/>
      <c r="B40" s="144" t="s">
        <v>480</v>
      </c>
      <c r="C40" s="144" t="s">
        <v>511</v>
      </c>
      <c r="D40" s="37">
        <v>2231</v>
      </c>
      <c r="E40" s="7">
        <v>3</v>
      </c>
      <c r="F40" s="149">
        <v>2311.58</v>
      </c>
      <c r="G40" s="29"/>
    </row>
    <row r="41" spans="1:7">
      <c r="A41" s="7"/>
      <c r="B41" s="29" t="s">
        <v>481</v>
      </c>
      <c r="C41" s="29" t="s">
        <v>450</v>
      </c>
      <c r="D41" s="37">
        <v>1975</v>
      </c>
      <c r="E41" s="7"/>
      <c r="F41" s="149">
        <v>570.11</v>
      </c>
      <c r="G41" s="29" t="s">
        <v>627</v>
      </c>
    </row>
    <row r="42" spans="1:7">
      <c r="A42" s="7"/>
      <c r="B42" s="29" t="s">
        <v>482</v>
      </c>
      <c r="C42" s="29" t="s">
        <v>512</v>
      </c>
      <c r="D42" s="37">
        <v>2203</v>
      </c>
      <c r="E42" s="7"/>
      <c r="F42" s="149">
        <v>562.69000000000005</v>
      </c>
      <c r="G42" s="29"/>
    </row>
    <row r="43" spans="1:7" s="133" customFormat="1">
      <c r="A43" s="7"/>
      <c r="B43" s="29" t="s">
        <v>547</v>
      </c>
      <c r="C43" s="29" t="s">
        <v>548</v>
      </c>
      <c r="D43" s="37">
        <v>2245</v>
      </c>
      <c r="E43" s="7"/>
      <c r="F43" s="149">
        <v>1273.33</v>
      </c>
      <c r="G43" s="29"/>
    </row>
    <row r="44" spans="1:7">
      <c r="A44" s="7"/>
      <c r="B44" s="37" t="s">
        <v>483</v>
      </c>
      <c r="C44" s="37" t="s">
        <v>452</v>
      </c>
      <c r="D44" s="37">
        <v>2001</v>
      </c>
      <c r="E44" s="58"/>
      <c r="F44" s="149">
        <v>1033.6099999999999</v>
      </c>
      <c r="G44" s="29"/>
    </row>
    <row r="45" spans="1:7">
      <c r="A45" s="7"/>
      <c r="B45" s="37" t="s">
        <v>484</v>
      </c>
      <c r="C45" s="37" t="s">
        <v>514</v>
      </c>
      <c r="D45" s="37">
        <v>2160</v>
      </c>
      <c r="E45" s="58">
        <v>1</v>
      </c>
      <c r="F45" s="149">
        <v>1544.85</v>
      </c>
      <c r="G45" s="29"/>
    </row>
    <row r="46" spans="1:7">
      <c r="A46" s="7"/>
      <c r="B46" s="29" t="s">
        <v>551</v>
      </c>
      <c r="C46" s="29" t="s">
        <v>552</v>
      </c>
      <c r="D46" s="37">
        <v>2246</v>
      </c>
      <c r="E46" s="58"/>
      <c r="F46" s="149">
        <v>537.20000000000005</v>
      </c>
      <c r="G46" s="29"/>
    </row>
    <row r="47" spans="1:7" s="133" customFormat="1">
      <c r="A47" s="7"/>
      <c r="B47" s="29" t="s">
        <v>485</v>
      </c>
      <c r="C47" s="29" t="s">
        <v>515</v>
      </c>
      <c r="D47" s="37">
        <v>2018</v>
      </c>
      <c r="E47" s="7"/>
      <c r="F47" s="149">
        <v>1331.64</v>
      </c>
      <c r="G47" s="29"/>
    </row>
    <row r="48" spans="1:7">
      <c r="A48" s="7"/>
      <c r="B48" s="37" t="s">
        <v>486</v>
      </c>
      <c r="C48" s="37" t="s">
        <v>453</v>
      </c>
      <c r="D48" s="37">
        <v>1692</v>
      </c>
      <c r="E48" s="58">
        <v>2</v>
      </c>
      <c r="F48" s="149">
        <v>1544.85</v>
      </c>
      <c r="G48" s="29"/>
    </row>
    <row r="49" spans="1:8" s="133" customFormat="1">
      <c r="A49" s="7"/>
      <c r="B49" s="37" t="s">
        <v>486</v>
      </c>
      <c r="C49" s="37" t="s">
        <v>454</v>
      </c>
      <c r="D49" s="37">
        <v>2027</v>
      </c>
      <c r="E49" s="58"/>
      <c r="F49" s="149">
        <v>555.28</v>
      </c>
      <c r="G49" s="29"/>
    </row>
    <row r="50" spans="1:8">
      <c r="A50" s="7"/>
      <c r="B50" s="29" t="s">
        <v>487</v>
      </c>
      <c r="C50" s="29" t="s">
        <v>516</v>
      </c>
      <c r="D50" s="37">
        <v>2060</v>
      </c>
      <c r="E50" s="58"/>
      <c r="F50" s="149">
        <v>827.82</v>
      </c>
      <c r="G50" s="29"/>
    </row>
    <row r="51" spans="1:8">
      <c r="A51" s="7"/>
      <c r="B51" s="29" t="s">
        <v>488</v>
      </c>
      <c r="C51" s="29" t="s">
        <v>517</v>
      </c>
      <c r="D51" s="37">
        <v>1649</v>
      </c>
      <c r="E51" s="58"/>
      <c r="F51" s="149">
        <v>1390.5</v>
      </c>
      <c r="G51" s="29"/>
    </row>
    <row r="52" spans="1:8">
      <c r="A52" s="7"/>
      <c r="B52" s="29" t="s">
        <v>489</v>
      </c>
      <c r="C52" s="29" t="s">
        <v>455</v>
      </c>
      <c r="D52" s="37">
        <v>2090</v>
      </c>
      <c r="E52" s="58"/>
      <c r="F52" s="149">
        <v>1033.6099999999999</v>
      </c>
      <c r="G52" s="29"/>
    </row>
    <row r="53" spans="1:8">
      <c r="A53" s="7"/>
      <c r="B53" s="29" t="s">
        <v>490</v>
      </c>
      <c r="C53" s="29" t="s">
        <v>518</v>
      </c>
      <c r="D53" s="37">
        <v>1050</v>
      </c>
      <c r="E53" s="58"/>
      <c r="F53" s="149">
        <v>1390.5</v>
      </c>
      <c r="G53" s="29"/>
    </row>
    <row r="54" spans="1:8">
      <c r="A54" s="7"/>
      <c r="B54" s="29" t="s">
        <v>491</v>
      </c>
      <c r="C54" s="29" t="s">
        <v>456</v>
      </c>
      <c r="D54" s="37">
        <v>1964</v>
      </c>
      <c r="E54" s="58"/>
      <c r="F54" s="149">
        <v>669.3</v>
      </c>
      <c r="G54" s="29"/>
    </row>
    <row r="55" spans="1:8">
      <c r="A55" s="7"/>
      <c r="B55" s="37" t="s">
        <v>492</v>
      </c>
      <c r="C55" s="37" t="s">
        <v>519</v>
      </c>
      <c r="D55" s="37">
        <v>1981</v>
      </c>
      <c r="E55" s="58"/>
      <c r="F55" s="149">
        <v>573.82000000000005</v>
      </c>
      <c r="G55" s="29"/>
    </row>
    <row r="56" spans="1:8">
      <c r="A56" s="7"/>
      <c r="B56" s="29" t="s">
        <v>492</v>
      </c>
      <c r="C56" s="29" t="s">
        <v>520</v>
      </c>
      <c r="D56" s="37">
        <v>1662</v>
      </c>
      <c r="E56" s="58">
        <v>1</v>
      </c>
      <c r="F56" s="149">
        <v>1158.75</v>
      </c>
      <c r="G56" s="29"/>
    </row>
    <row r="57" spans="1:8">
      <c r="A57" s="7"/>
      <c r="B57" s="37" t="s">
        <v>493</v>
      </c>
      <c r="C57" s="37" t="s">
        <v>457</v>
      </c>
      <c r="D57" s="37">
        <v>1630</v>
      </c>
      <c r="E57" s="58">
        <v>1</v>
      </c>
      <c r="F57" s="149">
        <v>1409.05</v>
      </c>
      <c r="G57" s="29"/>
    </row>
    <row r="58" spans="1:8">
      <c r="A58" s="7"/>
      <c r="B58" s="29" t="s">
        <v>458</v>
      </c>
      <c r="C58" s="29" t="s">
        <v>521</v>
      </c>
      <c r="D58" s="37">
        <v>2006</v>
      </c>
      <c r="E58" s="7"/>
      <c r="F58" s="149">
        <v>0</v>
      </c>
      <c r="G58" s="29" t="s">
        <v>629</v>
      </c>
    </row>
    <row r="59" spans="1:8">
      <c r="A59" s="7"/>
      <c r="B59" s="37" t="s">
        <v>494</v>
      </c>
      <c r="C59" s="37" t="s">
        <v>522</v>
      </c>
      <c r="D59" s="37">
        <v>2212</v>
      </c>
      <c r="E59" s="7"/>
      <c r="F59" s="149">
        <v>548.32000000000005</v>
      </c>
      <c r="G59" s="29"/>
    </row>
    <row r="60" spans="1:8">
      <c r="A60" s="7"/>
      <c r="B60" s="29" t="s">
        <v>534</v>
      </c>
      <c r="C60" s="29" t="s">
        <v>533</v>
      </c>
      <c r="D60" s="37">
        <v>2010</v>
      </c>
      <c r="E60" s="58">
        <v>1</v>
      </c>
      <c r="F60" s="149">
        <v>1254.24</v>
      </c>
      <c r="G60" s="29"/>
    </row>
    <row r="61" spans="1:8">
      <c r="A61" s="7"/>
      <c r="B61" s="29" t="s">
        <v>534</v>
      </c>
      <c r="C61" s="29" t="s">
        <v>580</v>
      </c>
      <c r="D61" s="37">
        <v>2187</v>
      </c>
      <c r="E61" s="58">
        <v>2</v>
      </c>
      <c r="F61" s="149">
        <v>1526.49</v>
      </c>
      <c r="G61" s="29"/>
    </row>
    <row r="62" spans="1:8">
      <c r="A62" s="7"/>
      <c r="B62" s="37" t="s">
        <v>495</v>
      </c>
      <c r="C62" s="37" t="s">
        <v>459</v>
      </c>
      <c r="D62" s="37">
        <v>2095</v>
      </c>
      <c r="E62" s="7"/>
      <c r="F62" s="149">
        <v>537.20000000000005</v>
      </c>
      <c r="G62" s="29"/>
    </row>
    <row r="63" spans="1:8" s="159" customFormat="1">
      <c r="A63" s="153"/>
      <c r="B63" s="154" t="s">
        <v>495</v>
      </c>
      <c r="C63" s="154" t="s">
        <v>566</v>
      </c>
      <c r="D63" s="154">
        <v>2064</v>
      </c>
      <c r="E63" s="153">
        <v>3</v>
      </c>
      <c r="F63" s="181">
        <v>1910.73</v>
      </c>
      <c r="G63" s="158"/>
      <c r="H63" s="199">
        <f>301.74*2</f>
        <v>603.48</v>
      </c>
    </row>
    <row r="64" spans="1:8">
      <c r="A64" s="7"/>
      <c r="B64" s="37" t="s">
        <v>530</v>
      </c>
      <c r="C64" s="37" t="s">
        <v>529</v>
      </c>
      <c r="D64" s="37">
        <v>2089</v>
      </c>
      <c r="E64" s="58"/>
      <c r="F64" s="149">
        <v>537.20000000000005</v>
      </c>
      <c r="G64" s="29"/>
    </row>
    <row r="65" spans="1:10">
      <c r="A65" s="113"/>
      <c r="B65" s="102"/>
      <c r="C65" s="102"/>
      <c r="D65" s="102"/>
      <c r="E65" s="115"/>
      <c r="F65" s="117"/>
      <c r="G65" s="114"/>
      <c r="I65" s="15"/>
      <c r="J65" s="15"/>
    </row>
    <row r="66" spans="1:10">
      <c r="A66" s="458" t="s">
        <v>315</v>
      </c>
      <c r="B66" s="459"/>
      <c r="C66" s="459"/>
      <c r="D66" s="459"/>
      <c r="E66" s="460"/>
      <c r="F66" s="111">
        <v>60403.049999999988</v>
      </c>
      <c r="G66" s="112"/>
    </row>
    <row r="67" spans="1:10">
      <c r="A67" s="431" t="s">
        <v>258</v>
      </c>
      <c r="B67" s="432"/>
      <c r="C67" s="141"/>
      <c r="D67" s="141"/>
      <c r="E67" s="7">
        <v>58</v>
      </c>
      <c r="F67" s="52"/>
      <c r="G67" s="29"/>
    </row>
    <row r="68" spans="1:10">
      <c r="A68" s="431" t="s">
        <v>242</v>
      </c>
      <c r="B68" s="432"/>
      <c r="C68" s="141"/>
      <c r="D68" s="141"/>
      <c r="E68" s="58">
        <v>17</v>
      </c>
      <c r="F68" s="52"/>
      <c r="G68" s="29"/>
    </row>
    <row r="69" spans="1:10">
      <c r="A69" s="433" t="s">
        <v>246</v>
      </c>
      <c r="B69" s="434"/>
      <c r="C69" s="92"/>
      <c r="D69" s="92"/>
      <c r="E69" s="86">
        <v>75</v>
      </c>
      <c r="F69" s="52"/>
      <c r="G69" s="29"/>
    </row>
    <row r="70" spans="1:10">
      <c r="A70" s="455" t="s">
        <v>257</v>
      </c>
      <c r="B70" s="456"/>
      <c r="C70" s="456"/>
      <c r="D70" s="456"/>
      <c r="E70" s="457"/>
      <c r="F70" s="184">
        <v>-1905</v>
      </c>
      <c r="G70" s="185"/>
      <c r="I70" s="15"/>
    </row>
    <row r="71" spans="1:10" s="6" customFormat="1">
      <c r="A71" s="187"/>
      <c r="B71" s="37" t="s">
        <v>465</v>
      </c>
      <c r="C71" s="37" t="s">
        <v>430</v>
      </c>
      <c r="D71" s="37">
        <v>1970</v>
      </c>
      <c r="E71" s="58">
        <v>1</v>
      </c>
      <c r="F71" s="149">
        <v>-1169.8800000000001</v>
      </c>
      <c r="G71" s="29" t="s">
        <v>623</v>
      </c>
      <c r="H71" s="6">
        <f>SUM(H5:H70)</f>
        <v>1173.5999999999999</v>
      </c>
      <c r="I71" s="197"/>
    </row>
    <row r="72" spans="1:10" s="6" customFormat="1">
      <c r="A72" s="187"/>
      <c r="B72" s="61" t="s">
        <v>624</v>
      </c>
      <c r="C72" s="61" t="s">
        <v>625</v>
      </c>
      <c r="D72" s="37">
        <v>2275</v>
      </c>
      <c r="E72" s="62"/>
      <c r="F72" s="149">
        <v>971.5</v>
      </c>
      <c r="G72" s="29" t="s">
        <v>626</v>
      </c>
      <c r="I72" s="197"/>
    </row>
    <row r="73" spans="1:10" s="6" customFormat="1">
      <c r="A73" s="187"/>
      <c r="B73" s="29" t="s">
        <v>481</v>
      </c>
      <c r="C73" s="29" t="s">
        <v>450</v>
      </c>
      <c r="D73" s="37">
        <v>1975</v>
      </c>
      <c r="E73" s="7"/>
      <c r="F73" s="149">
        <v>-1140.22</v>
      </c>
      <c r="G73" s="29" t="s">
        <v>623</v>
      </c>
      <c r="I73" s="197"/>
    </row>
    <row r="74" spans="1:10" s="6" customFormat="1">
      <c r="A74" s="187"/>
      <c r="B74" s="29" t="s">
        <v>458</v>
      </c>
      <c r="C74" s="29" t="s">
        <v>521</v>
      </c>
      <c r="D74" s="37">
        <v>2006</v>
      </c>
      <c r="E74" s="7"/>
      <c r="F74" s="149">
        <v>-566.4</v>
      </c>
      <c r="G74" s="29" t="s">
        <v>628</v>
      </c>
      <c r="I74" s="197"/>
    </row>
    <row r="75" spans="1:10" s="29" customFormat="1">
      <c r="A75" s="187"/>
      <c r="B75" s="131"/>
      <c r="C75" s="131"/>
      <c r="D75" s="134"/>
      <c r="E75" s="187"/>
      <c r="F75" s="52"/>
      <c r="I75" s="188"/>
    </row>
    <row r="76" spans="1:10" ht="12" customHeight="1">
      <c r="A76" s="458" t="s">
        <v>265</v>
      </c>
      <c r="B76" s="459"/>
      <c r="C76" s="459"/>
      <c r="D76" s="459"/>
      <c r="E76" s="460"/>
      <c r="F76" s="111"/>
      <c r="G76" s="186"/>
    </row>
    <row r="77" spans="1:10" ht="12" customHeight="1">
      <c r="A77" s="172"/>
      <c r="B77" s="173"/>
      <c r="C77" s="173"/>
      <c r="D77" s="429" t="s">
        <v>598</v>
      </c>
      <c r="E77" s="430"/>
      <c r="F77" s="83"/>
      <c r="G77" s="75"/>
    </row>
    <row r="78" spans="1:10">
      <c r="A78" s="422" t="s">
        <v>37</v>
      </c>
      <c r="B78" s="423"/>
      <c r="C78" s="423"/>
      <c r="D78" s="423"/>
      <c r="E78" s="424"/>
      <c r="F78" s="80">
        <f>F66+F70</f>
        <v>58498.049999999988</v>
      </c>
      <c r="G78" s="84"/>
    </row>
    <row r="79" spans="1:10" ht="18">
      <c r="E79" s="151" t="s">
        <v>250</v>
      </c>
      <c r="F79" s="151"/>
      <c r="G79" s="118">
        <v>44718</v>
      </c>
    </row>
    <row r="80" spans="1:10" ht="18">
      <c r="E80" s="151" t="s">
        <v>251</v>
      </c>
      <c r="F80" s="151"/>
      <c r="G80" s="119" t="s">
        <v>337</v>
      </c>
    </row>
    <row r="85" spans="1:10" s="3" customFormat="1">
      <c r="A85"/>
      <c r="B85"/>
      <c r="C85"/>
      <c r="D85"/>
      <c r="F85" s="152"/>
      <c r="G85"/>
      <c r="H85"/>
      <c r="I85"/>
      <c r="J85"/>
    </row>
  </sheetData>
  <autoFilter ref="A4:G4" xr:uid="{EC283F26-1258-B84E-AE05-5C35489C3CC6}">
    <sortState xmlns:xlrd2="http://schemas.microsoft.com/office/spreadsheetml/2017/richdata2" ref="A5:G64">
      <sortCondition ref="B4:B64"/>
    </sortState>
  </autoFilter>
  <mergeCells count="9">
    <mergeCell ref="A76:E76"/>
    <mergeCell ref="D77:E77"/>
    <mergeCell ref="A78:E78"/>
    <mergeCell ref="F3:G3"/>
    <mergeCell ref="A66:E66"/>
    <mergeCell ref="A67:B67"/>
    <mergeCell ref="A68:B68"/>
    <mergeCell ref="A69:B69"/>
    <mergeCell ref="A70:E70"/>
  </mergeCells>
  <conditionalFormatting sqref="B82">
    <cfRule type="duplicateValues" dxfId="942" priority="33"/>
    <cfRule type="duplicateValues" dxfId="941" priority="34"/>
  </conditionalFormatting>
  <conditionalFormatting sqref="B83">
    <cfRule type="duplicateValues" dxfId="940" priority="31"/>
    <cfRule type="duplicateValues" dxfId="939" priority="32"/>
  </conditionalFormatting>
  <conditionalFormatting sqref="B85">
    <cfRule type="duplicateValues" dxfId="938" priority="29"/>
    <cfRule type="duplicateValues" dxfId="937" priority="30"/>
  </conditionalFormatting>
  <conditionalFormatting sqref="B87">
    <cfRule type="duplicateValues" dxfId="936" priority="27"/>
    <cfRule type="duplicateValues" dxfId="935" priority="28"/>
  </conditionalFormatting>
  <conditionalFormatting sqref="B16:C16">
    <cfRule type="duplicateValues" dxfId="934" priority="52"/>
  </conditionalFormatting>
  <conditionalFormatting sqref="B21:C21">
    <cfRule type="duplicateValues" dxfId="933" priority="53"/>
  </conditionalFormatting>
  <conditionalFormatting sqref="B64:C65 B14:C17 B9:C12 D7:D65 B59:C61 B52:C53 B42:C49 B55:C57 B38:C39 B20:C21 B24:C28 B35:C36 B30:C33">
    <cfRule type="duplicateValues" dxfId="932" priority="50"/>
  </conditionalFormatting>
  <conditionalFormatting sqref="B75:D75">
    <cfRule type="duplicateValues" dxfId="931" priority="24"/>
    <cfRule type="duplicateValues" dxfId="930" priority="25"/>
    <cfRule type="duplicateValues" dxfId="929" priority="26"/>
  </conditionalFormatting>
  <conditionalFormatting sqref="B76:D80 B64:C70 D1:D3 B14:C17 B9:C12 B1:C6 D7:D70 B59:C61 B52:C53 B42:C49 B55:C57 B38:C39 B20:C21 B24:C28 B35:C36 B30:C33">
    <cfRule type="duplicateValues" dxfId="928" priority="49"/>
  </conditionalFormatting>
  <conditionalFormatting sqref="B76:D81 D1:D3 B9:C12 B14:C17 B1:C6 B64:C70 D7:D70 B59:C61 B52:C53 B42:C49 B55:C57 B38:C39 B20:C21 B24:C28 B35:C36 B30:C33 C83:D83 C85:D85 B84:D84 B88:D1048576 C87:D87 B86:D86">
    <cfRule type="duplicateValues" dxfId="927" priority="41"/>
  </conditionalFormatting>
  <conditionalFormatting sqref="B81:D81 C83:D83 C85:D85 B84:D84 B88:D1048576 C87:D87 B86:D86">
    <cfRule type="duplicateValues" dxfId="926" priority="51"/>
  </conditionalFormatting>
  <conditionalFormatting sqref="D4:D6">
    <cfRule type="duplicateValues" dxfId="925" priority="39"/>
    <cfRule type="duplicateValues" dxfId="924" priority="40"/>
  </conditionalFormatting>
  <conditionalFormatting sqref="D71">
    <cfRule type="duplicateValues" dxfId="923" priority="19"/>
    <cfRule type="duplicateValues" dxfId="922" priority="22"/>
    <cfRule type="duplicateValues" dxfId="921" priority="23"/>
  </conditionalFormatting>
  <conditionalFormatting sqref="D72">
    <cfRule type="duplicateValues" dxfId="920" priority="11"/>
    <cfRule type="duplicateValues" dxfId="919" priority="17"/>
    <cfRule type="duplicateValues" dxfId="918" priority="18"/>
  </conditionalFormatting>
  <conditionalFormatting sqref="D73">
    <cfRule type="duplicateValues" dxfId="917" priority="6"/>
    <cfRule type="duplicateValues" dxfId="916" priority="9"/>
    <cfRule type="duplicateValues" dxfId="915" priority="10"/>
  </conditionalFormatting>
  <conditionalFormatting sqref="D74">
    <cfRule type="duplicateValues" dxfId="914" priority="1"/>
    <cfRule type="duplicateValues" dxfId="913" priority="3"/>
    <cfRule type="duplicateValues" dxfId="912" priority="4"/>
  </conditionalFormatting>
  <conditionalFormatting sqref="E7:E64">
    <cfRule type="notContainsBlanks" dxfId="911" priority="43">
      <formula>LEN(TRIM(E7))&gt;0</formula>
    </cfRule>
  </conditionalFormatting>
  <conditionalFormatting sqref="E16 B16:C16">
    <cfRule type="duplicateValues" dxfId="910" priority="48"/>
  </conditionalFormatting>
  <conditionalFormatting sqref="E21 B21:C21">
    <cfRule type="duplicateValues" dxfId="909" priority="47"/>
  </conditionalFormatting>
  <conditionalFormatting sqref="E22:E23">
    <cfRule type="duplicateValues" dxfId="908" priority="44"/>
    <cfRule type="duplicateValues" dxfId="907" priority="45"/>
    <cfRule type="duplicateValues" dxfId="906" priority="46"/>
  </conditionalFormatting>
  <conditionalFormatting sqref="E71:E74">
    <cfRule type="notContainsBlanks" dxfId="905" priority="2">
      <formula>LEN(TRIM(E71))&gt;0</formula>
    </cfRule>
  </conditionalFormatting>
  <conditionalFormatting sqref="E72">
    <cfRule type="duplicateValues" dxfId="904" priority="14"/>
    <cfRule type="duplicateValues" dxfId="903" priority="15"/>
    <cfRule type="duplicateValues" dxfId="902" priority="16"/>
  </conditionalFormatting>
  <conditionalFormatting sqref="G7:G29">
    <cfRule type="notContainsBlanks" dxfId="901" priority="42">
      <formula>LEN(TRIM(G7))&gt;0</formula>
    </cfRule>
  </conditionalFormatting>
  <conditionalFormatting sqref="G31:G78">
    <cfRule type="notContainsBlanks" dxfId="900" priority="5">
      <formula>LEN(TRIM(G31))&gt;0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F6AA-E6A0-414C-9B7D-5A06C1A49A45}">
  <sheetPr>
    <tabColor theme="8"/>
    <pageSetUpPr fitToPage="1"/>
  </sheetPr>
  <dimension ref="A1:J81"/>
  <sheetViews>
    <sheetView zoomScale="140" zoomScaleNormal="140" zoomScalePageLayoutView="140" workbookViewId="0">
      <pane xSplit="3" ySplit="4" topLeftCell="D61" activePane="bottomRight" state="frozen"/>
      <selection pane="topRight" activeCell="D1" sqref="D1"/>
      <selection pane="bottomLeft" activeCell="A5" sqref="A5"/>
      <selection pane="bottomRight" activeCell="E29" sqref="E29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5" width="12.1640625" style="3" customWidth="1"/>
    <col min="6" max="6" width="16" style="152" customWidth="1"/>
    <col min="7" max="7" width="33.8320312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146" t="s">
        <v>342</v>
      </c>
      <c r="G1" s="68" t="s">
        <v>223</v>
      </c>
    </row>
    <row r="2" spans="1:7" ht="13.5" customHeight="1">
      <c r="A2" s="1" t="s">
        <v>249</v>
      </c>
      <c r="F2" s="51" t="s">
        <v>621</v>
      </c>
      <c r="G2" s="123">
        <v>44682</v>
      </c>
    </row>
    <row r="3" spans="1:7" ht="14" customHeight="1">
      <c r="F3" s="461" t="s">
        <v>562</v>
      </c>
      <c r="G3" s="461"/>
    </row>
    <row r="4" spans="1:7" ht="14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168" t="s">
        <v>584</v>
      </c>
      <c r="G4" s="50" t="s">
        <v>227</v>
      </c>
    </row>
    <row r="5" spans="1:7">
      <c r="A5" s="7"/>
      <c r="B5" s="161" t="s">
        <v>556</v>
      </c>
      <c r="C5" s="161" t="s">
        <v>557</v>
      </c>
      <c r="D5" s="66">
        <v>2247</v>
      </c>
      <c r="E5" s="7"/>
      <c r="F5" s="160">
        <v>463.5</v>
      </c>
      <c r="G5" s="7"/>
    </row>
    <row r="6" spans="1:7">
      <c r="A6" s="7"/>
      <c r="B6" s="161" t="s">
        <v>585</v>
      </c>
      <c r="C6" s="161" t="s">
        <v>586</v>
      </c>
      <c r="D6" s="66">
        <v>2261</v>
      </c>
      <c r="E6" s="7"/>
      <c r="F6" s="160">
        <v>1488.01</v>
      </c>
      <c r="G6" s="161"/>
    </row>
    <row r="7" spans="1:7">
      <c r="A7" s="7"/>
      <c r="B7" s="29" t="s">
        <v>462</v>
      </c>
      <c r="C7" s="29" t="s">
        <v>425</v>
      </c>
      <c r="D7" s="37">
        <v>2081</v>
      </c>
      <c r="E7" s="58"/>
      <c r="F7" s="149">
        <v>1016.08</v>
      </c>
      <c r="G7" s="29" t="s">
        <v>616</v>
      </c>
    </row>
    <row r="8" spans="1:7">
      <c r="A8" s="7"/>
      <c r="B8" s="29" t="s">
        <v>460</v>
      </c>
      <c r="C8" s="29" t="s">
        <v>426</v>
      </c>
      <c r="D8" s="37">
        <v>1593</v>
      </c>
      <c r="E8" s="7"/>
      <c r="F8" s="149">
        <v>1181.01</v>
      </c>
      <c r="G8" s="29"/>
    </row>
    <row r="9" spans="1:7">
      <c r="A9" s="7"/>
      <c r="B9" s="37" t="s">
        <v>463</v>
      </c>
      <c r="C9" s="37" t="s">
        <v>427</v>
      </c>
      <c r="D9" s="37">
        <v>2023</v>
      </c>
      <c r="E9" s="58"/>
      <c r="F9" s="149">
        <v>573.82000000000005</v>
      </c>
      <c r="G9" s="29"/>
    </row>
    <row r="10" spans="1:7" s="1" customFormat="1">
      <c r="A10" s="10"/>
      <c r="B10" s="61" t="s">
        <v>463</v>
      </c>
      <c r="C10" s="61" t="s">
        <v>608</v>
      </c>
      <c r="D10" s="37">
        <v>2131</v>
      </c>
      <c r="E10" s="62"/>
      <c r="F10" s="189">
        <v>537.20000000000005</v>
      </c>
      <c r="G10" s="29"/>
    </row>
    <row r="11" spans="1:7">
      <c r="A11" s="7"/>
      <c r="B11" s="29" t="s">
        <v>464</v>
      </c>
      <c r="C11" s="29" t="s">
        <v>428</v>
      </c>
      <c r="D11" s="37">
        <v>1721</v>
      </c>
      <c r="E11" s="7">
        <v>1</v>
      </c>
      <c r="F11" s="149">
        <v>1670</v>
      </c>
      <c r="G11" s="29"/>
    </row>
    <row r="12" spans="1:7">
      <c r="A12" s="7"/>
      <c r="B12" s="29" t="s">
        <v>464</v>
      </c>
      <c r="C12" s="29" t="s">
        <v>429</v>
      </c>
      <c r="D12" s="37">
        <v>2123</v>
      </c>
      <c r="E12" s="7"/>
      <c r="F12" s="149">
        <v>577.52</v>
      </c>
      <c r="G12" s="29"/>
    </row>
    <row r="13" spans="1:7">
      <c r="A13" s="7"/>
      <c r="B13" s="37" t="s">
        <v>465</v>
      </c>
      <c r="C13" s="37" t="s">
        <v>430</v>
      </c>
      <c r="D13" s="37">
        <v>1970</v>
      </c>
      <c r="E13" s="58">
        <v>2</v>
      </c>
      <c r="F13" s="149">
        <v>1508.79</v>
      </c>
      <c r="G13" s="29"/>
    </row>
    <row r="14" spans="1:7" s="1" customFormat="1">
      <c r="A14" s="10"/>
      <c r="B14" s="29" t="s">
        <v>466</v>
      </c>
      <c r="C14" s="29" t="s">
        <v>431</v>
      </c>
      <c r="D14" s="37">
        <v>1794</v>
      </c>
      <c r="E14" s="58">
        <v>2</v>
      </c>
      <c r="F14" s="189">
        <v>1717.74</v>
      </c>
      <c r="G14" s="29"/>
    </row>
    <row r="15" spans="1:7" s="159" customFormat="1">
      <c r="A15" s="7"/>
      <c r="B15" s="37" t="s">
        <v>467</v>
      </c>
      <c r="C15" s="37" t="s">
        <v>501</v>
      </c>
      <c r="D15" s="37">
        <v>2201</v>
      </c>
      <c r="E15" s="58"/>
      <c r="F15" s="149">
        <v>989.58</v>
      </c>
      <c r="G15" s="29"/>
    </row>
    <row r="16" spans="1:7" s="133" customFormat="1">
      <c r="A16" s="7"/>
      <c r="B16" s="37" t="s">
        <v>468</v>
      </c>
      <c r="C16" s="37" t="s">
        <v>432</v>
      </c>
      <c r="D16" s="37">
        <v>2194</v>
      </c>
      <c r="E16" s="58"/>
      <c r="F16" s="149">
        <v>485.75</v>
      </c>
      <c r="G16" s="29"/>
    </row>
    <row r="17" spans="1:7">
      <c r="A17" s="7"/>
      <c r="B17" s="37" t="s">
        <v>542</v>
      </c>
      <c r="C17" s="37" t="s">
        <v>543</v>
      </c>
      <c r="D17" s="37">
        <v>2182</v>
      </c>
      <c r="E17" s="58"/>
      <c r="F17" s="149">
        <v>1033.6099999999999</v>
      </c>
      <c r="G17" s="29"/>
    </row>
    <row r="18" spans="1:7">
      <c r="A18" s="7"/>
      <c r="B18" s="29" t="s">
        <v>469</v>
      </c>
      <c r="C18" s="29" t="s">
        <v>434</v>
      </c>
      <c r="D18" s="37">
        <v>1708</v>
      </c>
      <c r="E18" s="7"/>
      <c r="F18" s="149">
        <v>1368.26</v>
      </c>
      <c r="G18" s="29"/>
    </row>
    <row r="19" spans="1:7">
      <c r="A19" s="7"/>
      <c r="B19" s="29" t="s">
        <v>436</v>
      </c>
      <c r="C19" s="29" t="s">
        <v>572</v>
      </c>
      <c r="D19" s="37">
        <v>2250</v>
      </c>
      <c r="E19" s="7">
        <v>2</v>
      </c>
      <c r="F19" s="149">
        <v>1314.66</v>
      </c>
      <c r="G19" s="29"/>
    </row>
    <row r="20" spans="1:7">
      <c r="A20" s="7"/>
      <c r="B20" s="29" t="s">
        <v>436</v>
      </c>
      <c r="C20" s="29" t="s">
        <v>503</v>
      </c>
      <c r="D20" s="37">
        <v>2120</v>
      </c>
      <c r="E20" s="7">
        <v>1</v>
      </c>
      <c r="F20" s="149">
        <v>1285.46</v>
      </c>
      <c r="G20" s="29"/>
    </row>
    <row r="21" spans="1:7">
      <c r="A21" s="7"/>
      <c r="B21" s="29" t="s">
        <v>437</v>
      </c>
      <c r="C21" s="29" t="s">
        <v>504</v>
      </c>
      <c r="D21" s="37">
        <v>2193</v>
      </c>
      <c r="E21" s="7"/>
      <c r="F21" s="149">
        <v>555.28</v>
      </c>
      <c r="G21" s="29"/>
    </row>
    <row r="22" spans="1:7">
      <c r="A22" s="7"/>
      <c r="B22" s="61" t="s">
        <v>471</v>
      </c>
      <c r="C22" s="61" t="s">
        <v>438</v>
      </c>
      <c r="D22" s="37">
        <v>640</v>
      </c>
      <c r="E22" s="62"/>
      <c r="F22" s="149">
        <v>1081.3499999999999</v>
      </c>
      <c r="G22" s="29"/>
    </row>
    <row r="23" spans="1:7">
      <c r="A23" s="7"/>
      <c r="B23" s="29" t="s">
        <v>439</v>
      </c>
      <c r="C23" s="29" t="s">
        <v>505</v>
      </c>
      <c r="D23" s="37">
        <v>901</v>
      </c>
      <c r="E23" s="62"/>
      <c r="F23" s="149">
        <v>1390.5</v>
      </c>
      <c r="G23" s="29"/>
    </row>
    <row r="24" spans="1:7">
      <c r="A24" s="7"/>
      <c r="B24" s="29" t="s">
        <v>472</v>
      </c>
      <c r="C24" s="29" t="s">
        <v>574</v>
      </c>
      <c r="D24" s="37">
        <v>2234</v>
      </c>
      <c r="E24" s="62"/>
      <c r="F24" s="149">
        <v>592.36</v>
      </c>
      <c r="G24" s="29"/>
    </row>
    <row r="25" spans="1:7">
      <c r="A25" s="7"/>
      <c r="B25" s="29" t="s">
        <v>472</v>
      </c>
      <c r="C25" s="29" t="s">
        <v>440</v>
      </c>
      <c r="D25" s="37">
        <v>1741</v>
      </c>
      <c r="E25" s="7"/>
      <c r="F25" s="149">
        <v>904.76</v>
      </c>
      <c r="G25" s="29"/>
    </row>
    <row r="26" spans="1:7">
      <c r="A26" s="7"/>
      <c r="B26" s="37" t="s">
        <v>472</v>
      </c>
      <c r="C26" s="37" t="s">
        <v>441</v>
      </c>
      <c r="D26" s="37">
        <v>1757</v>
      </c>
      <c r="E26" s="58">
        <v>2</v>
      </c>
      <c r="F26" s="149">
        <v>1550.59</v>
      </c>
      <c r="G26" s="29"/>
    </row>
    <row r="27" spans="1:7">
      <c r="A27" s="7"/>
      <c r="B27" s="37" t="s">
        <v>473</v>
      </c>
      <c r="C27" s="37" t="s">
        <v>442</v>
      </c>
      <c r="D27" s="37">
        <v>2057</v>
      </c>
      <c r="E27" s="58"/>
      <c r="F27" s="149">
        <v>1368.26</v>
      </c>
      <c r="G27" s="29"/>
    </row>
    <row r="28" spans="1:7">
      <c r="A28" s="7"/>
      <c r="B28" s="37" t="s">
        <v>473</v>
      </c>
      <c r="C28" s="37" t="s">
        <v>443</v>
      </c>
      <c r="D28" s="37">
        <v>1210</v>
      </c>
      <c r="E28" s="58"/>
      <c r="F28" s="149">
        <v>1302.44</v>
      </c>
      <c r="G28" s="29"/>
    </row>
    <row r="29" spans="1:7">
      <c r="A29" s="7"/>
      <c r="B29" s="29" t="s">
        <v>444</v>
      </c>
      <c r="C29" s="29" t="s">
        <v>506</v>
      </c>
      <c r="D29" s="37">
        <v>1460</v>
      </c>
      <c r="E29" s="7"/>
      <c r="F29" s="149">
        <v>757.83</v>
      </c>
    </row>
    <row r="30" spans="1:7">
      <c r="A30" s="7"/>
      <c r="B30" s="29" t="s">
        <v>474</v>
      </c>
      <c r="C30" s="29" t="s">
        <v>576</v>
      </c>
      <c r="D30" s="37">
        <v>2248</v>
      </c>
      <c r="E30" s="7">
        <v>3</v>
      </c>
      <c r="F30" s="149">
        <v>1862.53</v>
      </c>
      <c r="G30" s="29"/>
    </row>
    <row r="31" spans="1:7">
      <c r="A31" s="7"/>
      <c r="B31" s="29" t="s">
        <v>474</v>
      </c>
      <c r="C31" s="29" t="s">
        <v>507</v>
      </c>
      <c r="D31" s="37">
        <v>2062</v>
      </c>
      <c r="E31" s="7">
        <v>1</v>
      </c>
      <c r="F31" s="149">
        <v>931.26</v>
      </c>
      <c r="G31" s="29"/>
    </row>
    <row r="32" spans="1:7">
      <c r="A32" s="7"/>
      <c r="B32" s="29" t="s">
        <v>474</v>
      </c>
      <c r="C32" s="29" t="s">
        <v>508</v>
      </c>
      <c r="D32" s="37">
        <v>2121</v>
      </c>
      <c r="E32" s="7"/>
      <c r="F32" s="149">
        <v>548.32000000000005</v>
      </c>
      <c r="G32" s="29"/>
    </row>
    <row r="33" spans="1:7">
      <c r="A33" s="7"/>
      <c r="B33" s="37" t="s">
        <v>475</v>
      </c>
      <c r="C33" s="37" t="s">
        <v>446</v>
      </c>
      <c r="D33" s="37">
        <v>2003</v>
      </c>
      <c r="E33" s="58"/>
      <c r="F33" s="149">
        <v>566.4</v>
      </c>
      <c r="G33" s="29"/>
    </row>
    <row r="34" spans="1:7">
      <c r="A34" s="7"/>
      <c r="B34" s="29" t="s">
        <v>476</v>
      </c>
      <c r="C34" s="29" t="s">
        <v>447</v>
      </c>
      <c r="D34" s="37">
        <v>2019</v>
      </c>
      <c r="E34" s="58">
        <v>1</v>
      </c>
      <c r="F34" s="149">
        <v>972.05</v>
      </c>
      <c r="G34" s="29"/>
    </row>
    <row r="35" spans="1:7" s="133" customFormat="1">
      <c r="A35" s="7"/>
      <c r="B35" s="29" t="s">
        <v>478</v>
      </c>
      <c r="C35" s="29" t="s">
        <v>448</v>
      </c>
      <c r="D35" s="37">
        <v>2172</v>
      </c>
      <c r="E35" s="58"/>
      <c r="F35" s="149">
        <v>1368.26</v>
      </c>
      <c r="G35" s="29"/>
    </row>
    <row r="36" spans="1:7">
      <c r="A36" s="145"/>
      <c r="B36" s="37" t="s">
        <v>497</v>
      </c>
      <c r="C36" s="37" t="s">
        <v>461</v>
      </c>
      <c r="D36" s="37">
        <v>2082</v>
      </c>
      <c r="E36" s="58"/>
      <c r="F36" s="149">
        <v>555.28</v>
      </c>
      <c r="G36" s="29"/>
    </row>
    <row r="37" spans="1:7">
      <c r="A37" s="7"/>
      <c r="B37" s="29" t="s">
        <v>479</v>
      </c>
      <c r="C37" s="29" t="s">
        <v>449</v>
      </c>
      <c r="D37" s="37">
        <v>2119</v>
      </c>
      <c r="E37" s="7"/>
      <c r="F37" s="149">
        <v>465.36</v>
      </c>
      <c r="G37" s="29"/>
    </row>
    <row r="38" spans="1:7" s="133" customFormat="1">
      <c r="A38" s="130"/>
      <c r="B38" s="131" t="s">
        <v>618</v>
      </c>
      <c r="C38" s="131" t="s">
        <v>619</v>
      </c>
      <c r="D38" s="134">
        <v>2273</v>
      </c>
      <c r="E38" s="130"/>
      <c r="F38" s="150">
        <v>485.75</v>
      </c>
      <c r="G38" s="131" t="s">
        <v>620</v>
      </c>
    </row>
    <row r="39" spans="1:7" ht="15">
      <c r="A39" s="7"/>
      <c r="B39" s="144" t="s">
        <v>480</v>
      </c>
      <c r="C39" s="144" t="s">
        <v>511</v>
      </c>
      <c r="D39" s="37">
        <v>2231</v>
      </c>
      <c r="E39" s="7">
        <v>3</v>
      </c>
      <c r="F39" s="149">
        <v>2311.58</v>
      </c>
      <c r="G39" s="29"/>
    </row>
    <row r="40" spans="1:7">
      <c r="A40" s="7"/>
      <c r="B40" s="29" t="s">
        <v>481</v>
      </c>
      <c r="C40" s="29" t="s">
        <v>450</v>
      </c>
      <c r="D40" s="37">
        <v>1975</v>
      </c>
      <c r="E40" s="7"/>
      <c r="F40" s="149">
        <v>1140.22</v>
      </c>
      <c r="G40" s="29"/>
    </row>
    <row r="41" spans="1:7">
      <c r="A41" s="7"/>
      <c r="B41" s="29" t="s">
        <v>482</v>
      </c>
      <c r="C41" s="29" t="s">
        <v>512</v>
      </c>
      <c r="D41" s="37">
        <v>2203</v>
      </c>
      <c r="E41" s="7"/>
      <c r="F41" s="149">
        <v>562.69000000000005</v>
      </c>
      <c r="G41" s="29"/>
    </row>
    <row r="42" spans="1:7" s="133" customFormat="1">
      <c r="A42" s="7"/>
      <c r="B42" s="29" t="s">
        <v>547</v>
      </c>
      <c r="C42" s="29" t="s">
        <v>548</v>
      </c>
      <c r="D42" s="37">
        <v>2245</v>
      </c>
      <c r="E42" s="7"/>
      <c r="F42" s="149">
        <v>1273.33</v>
      </c>
      <c r="G42" s="29"/>
    </row>
    <row r="43" spans="1:7">
      <c r="A43" s="7"/>
      <c r="B43" s="37" t="s">
        <v>483</v>
      </c>
      <c r="C43" s="37" t="s">
        <v>452</v>
      </c>
      <c r="D43" s="37">
        <v>2001</v>
      </c>
      <c r="E43" s="58"/>
      <c r="F43" s="149">
        <v>1033.6099999999999</v>
      </c>
      <c r="G43" s="29"/>
    </row>
    <row r="44" spans="1:7">
      <c r="A44" s="7"/>
      <c r="B44" s="37" t="s">
        <v>484</v>
      </c>
      <c r="C44" s="37" t="s">
        <v>514</v>
      </c>
      <c r="D44" s="37">
        <v>2160</v>
      </c>
      <c r="E44" s="58">
        <v>1</v>
      </c>
      <c r="F44" s="149">
        <v>1544.85</v>
      </c>
      <c r="G44" s="29"/>
    </row>
    <row r="45" spans="1:7">
      <c r="A45" s="7"/>
      <c r="B45" s="29" t="s">
        <v>551</v>
      </c>
      <c r="C45" s="29" t="s">
        <v>552</v>
      </c>
      <c r="D45" s="37">
        <v>2246</v>
      </c>
      <c r="E45" s="58"/>
      <c r="F45" s="149">
        <v>537.20000000000005</v>
      </c>
      <c r="G45" s="29"/>
    </row>
    <row r="46" spans="1:7" s="133" customFormat="1">
      <c r="A46" s="7"/>
      <c r="B46" s="29" t="s">
        <v>485</v>
      </c>
      <c r="C46" s="29" t="s">
        <v>515</v>
      </c>
      <c r="D46" s="37">
        <v>2018</v>
      </c>
      <c r="E46" s="7"/>
      <c r="F46" s="149">
        <v>1331.64</v>
      </c>
      <c r="G46" s="29"/>
    </row>
    <row r="47" spans="1:7">
      <c r="A47" s="7"/>
      <c r="B47" s="37" t="s">
        <v>486</v>
      </c>
      <c r="C47" s="37" t="s">
        <v>453</v>
      </c>
      <c r="D47" s="37">
        <v>1692</v>
      </c>
      <c r="E47" s="58">
        <v>2</v>
      </c>
      <c r="F47" s="149">
        <v>1544.85</v>
      </c>
      <c r="G47" s="29"/>
    </row>
    <row r="48" spans="1:7" s="133" customFormat="1">
      <c r="A48" s="7"/>
      <c r="B48" s="37" t="s">
        <v>486</v>
      </c>
      <c r="C48" s="37" t="s">
        <v>454</v>
      </c>
      <c r="D48" s="37">
        <v>2027</v>
      </c>
      <c r="E48" s="58"/>
      <c r="F48" s="149">
        <v>555.28</v>
      </c>
      <c r="G48" s="29"/>
    </row>
    <row r="49" spans="1:10">
      <c r="A49" s="7"/>
      <c r="B49" s="29" t="s">
        <v>487</v>
      </c>
      <c r="C49" s="29" t="s">
        <v>516</v>
      </c>
      <c r="D49" s="37">
        <v>2060</v>
      </c>
      <c r="E49" s="58"/>
      <c r="F49" s="149">
        <v>827.82</v>
      </c>
      <c r="G49" s="29"/>
    </row>
    <row r="50" spans="1:10">
      <c r="A50" s="7"/>
      <c r="B50" s="29" t="s">
        <v>488</v>
      </c>
      <c r="C50" s="29" t="s">
        <v>517</v>
      </c>
      <c r="D50" s="37">
        <v>1649</v>
      </c>
      <c r="E50" s="58"/>
      <c r="F50" s="149">
        <v>1390.5</v>
      </c>
      <c r="G50" s="29"/>
    </row>
    <row r="51" spans="1:10">
      <c r="A51" s="7"/>
      <c r="B51" s="29" t="s">
        <v>489</v>
      </c>
      <c r="C51" s="29" t="s">
        <v>455</v>
      </c>
      <c r="D51" s="37">
        <v>2090</v>
      </c>
      <c r="E51" s="58"/>
      <c r="F51" s="149">
        <v>1033.6099999999999</v>
      </c>
      <c r="G51" s="29"/>
    </row>
    <row r="52" spans="1:10">
      <c r="A52" s="7"/>
      <c r="B52" s="29" t="s">
        <v>490</v>
      </c>
      <c r="C52" s="29" t="s">
        <v>518</v>
      </c>
      <c r="D52" s="37">
        <v>1050</v>
      </c>
      <c r="E52" s="58"/>
      <c r="F52" s="149">
        <v>1390.5</v>
      </c>
      <c r="G52" s="29"/>
    </row>
    <row r="53" spans="1:10">
      <c r="A53" s="7"/>
      <c r="B53" s="29" t="s">
        <v>491</v>
      </c>
      <c r="C53" s="29" t="s">
        <v>456</v>
      </c>
      <c r="D53" s="37">
        <v>1964</v>
      </c>
      <c r="E53" s="58"/>
      <c r="F53" s="149">
        <v>669.3</v>
      </c>
      <c r="G53" s="29"/>
    </row>
    <row r="54" spans="1:10">
      <c r="A54" s="7"/>
      <c r="B54" s="37" t="s">
        <v>492</v>
      </c>
      <c r="C54" s="37" t="s">
        <v>519</v>
      </c>
      <c r="D54" s="37">
        <v>1981</v>
      </c>
      <c r="E54" s="58"/>
      <c r="F54" s="149">
        <v>573.82000000000005</v>
      </c>
      <c r="G54" s="29"/>
    </row>
    <row r="55" spans="1:10">
      <c r="A55" s="7"/>
      <c r="B55" s="29" t="s">
        <v>492</v>
      </c>
      <c r="C55" s="29" t="s">
        <v>520</v>
      </c>
      <c r="D55" s="37">
        <v>1662</v>
      </c>
      <c r="E55" s="58">
        <v>1</v>
      </c>
      <c r="F55" s="149">
        <v>1158.75</v>
      </c>
      <c r="G55" s="29"/>
    </row>
    <row r="56" spans="1:10">
      <c r="A56" s="7"/>
      <c r="B56" s="37" t="s">
        <v>493</v>
      </c>
      <c r="C56" s="37" t="s">
        <v>457</v>
      </c>
      <c r="D56" s="37">
        <v>1630</v>
      </c>
      <c r="E56" s="58">
        <v>1</v>
      </c>
      <c r="F56" s="149">
        <v>1409.05</v>
      </c>
      <c r="G56" s="29"/>
    </row>
    <row r="57" spans="1:10">
      <c r="A57" s="7"/>
      <c r="B57" s="29" t="s">
        <v>458</v>
      </c>
      <c r="C57" s="29" t="s">
        <v>521</v>
      </c>
      <c r="D57" s="37">
        <v>2006</v>
      </c>
      <c r="E57" s="7"/>
      <c r="F57" s="149">
        <v>566.4</v>
      </c>
      <c r="G57" s="29"/>
    </row>
    <row r="58" spans="1:10">
      <c r="A58" s="7"/>
      <c r="B58" s="37" t="s">
        <v>494</v>
      </c>
      <c r="C58" s="37" t="s">
        <v>522</v>
      </c>
      <c r="D58" s="37">
        <v>2212</v>
      </c>
      <c r="E58" s="7"/>
      <c r="F58" s="149">
        <v>548.32000000000005</v>
      </c>
      <c r="G58" s="29"/>
    </row>
    <row r="59" spans="1:10">
      <c r="A59" s="7"/>
      <c r="B59" s="29" t="s">
        <v>534</v>
      </c>
      <c r="C59" s="29" t="s">
        <v>533</v>
      </c>
      <c r="D59" s="37">
        <v>2010</v>
      </c>
      <c r="E59" s="58">
        <v>1</v>
      </c>
      <c r="F59" s="149">
        <v>1254.24</v>
      </c>
      <c r="G59" s="29"/>
    </row>
    <row r="60" spans="1:10">
      <c r="A60" s="7"/>
      <c r="B60" s="29" t="s">
        <v>534</v>
      </c>
      <c r="C60" s="29" t="s">
        <v>580</v>
      </c>
      <c r="D60" s="37">
        <v>2187</v>
      </c>
      <c r="E60" s="58">
        <v>2</v>
      </c>
      <c r="F60" s="149">
        <v>1526.49</v>
      </c>
      <c r="G60" s="29"/>
    </row>
    <row r="61" spans="1:10">
      <c r="A61" s="7"/>
      <c r="B61" s="37" t="s">
        <v>495</v>
      </c>
      <c r="C61" s="37" t="s">
        <v>459</v>
      </c>
      <c r="D61" s="37">
        <v>2095</v>
      </c>
      <c r="E61" s="7"/>
      <c r="F61" s="149">
        <v>537.20000000000005</v>
      </c>
      <c r="G61" s="29"/>
    </row>
    <row r="62" spans="1:10" s="159" customFormat="1">
      <c r="A62" s="153"/>
      <c r="B62" s="154" t="s">
        <v>495</v>
      </c>
      <c r="C62" s="154" t="s">
        <v>566</v>
      </c>
      <c r="D62" s="154">
        <v>2064</v>
      </c>
      <c r="E62" s="153">
        <v>3</v>
      </c>
      <c r="F62" s="181">
        <v>1910.73</v>
      </c>
      <c r="G62" s="158"/>
    </row>
    <row r="63" spans="1:10">
      <c r="A63" s="7"/>
      <c r="B63" s="37" t="s">
        <v>530</v>
      </c>
      <c r="C63" s="37" t="s">
        <v>529</v>
      </c>
      <c r="D63" s="37">
        <v>2089</v>
      </c>
      <c r="E63" s="58"/>
      <c r="F63" s="149">
        <v>537.20000000000005</v>
      </c>
      <c r="G63" s="29"/>
    </row>
    <row r="64" spans="1:10">
      <c r="A64" s="113"/>
      <c r="B64" s="102"/>
      <c r="C64" s="102"/>
      <c r="D64" s="102"/>
      <c r="E64" s="115"/>
      <c r="F64" s="117"/>
      <c r="G64" s="114"/>
      <c r="I64" s="15"/>
      <c r="J64" s="15"/>
    </row>
    <row r="65" spans="1:9">
      <c r="A65" s="458" t="s">
        <v>315</v>
      </c>
      <c r="B65" s="459"/>
      <c r="C65" s="459"/>
      <c r="D65" s="459"/>
      <c r="E65" s="460"/>
      <c r="F65" s="111">
        <v>61638.749999999993</v>
      </c>
      <c r="G65" s="112"/>
    </row>
    <row r="66" spans="1:9">
      <c r="A66" s="431" t="s">
        <v>258</v>
      </c>
      <c r="B66" s="432"/>
      <c r="C66" s="141"/>
      <c r="D66" s="141"/>
      <c r="E66" s="7">
        <f>COUNTA(B7:B64)</f>
        <v>57</v>
      </c>
      <c r="F66" s="52"/>
      <c r="G66" s="29"/>
    </row>
    <row r="67" spans="1:9">
      <c r="A67" s="431" t="s">
        <v>242</v>
      </c>
      <c r="B67" s="432"/>
      <c r="C67" s="141"/>
      <c r="D67" s="141"/>
      <c r="E67" s="58">
        <v>17</v>
      </c>
      <c r="F67" s="52"/>
      <c r="G67" s="29"/>
    </row>
    <row r="68" spans="1:9">
      <c r="A68" s="433" t="s">
        <v>246</v>
      </c>
      <c r="B68" s="434"/>
      <c r="C68" s="92"/>
      <c r="D68" s="92"/>
      <c r="E68" s="86">
        <f>E66+E67</f>
        <v>74</v>
      </c>
      <c r="F68" s="52"/>
      <c r="G68" s="29"/>
    </row>
    <row r="69" spans="1:9">
      <c r="A69" s="455" t="s">
        <v>257</v>
      </c>
      <c r="B69" s="456"/>
      <c r="C69" s="456"/>
      <c r="D69" s="456"/>
      <c r="E69" s="457"/>
      <c r="F69" s="184">
        <f>SUM(F70:F71)</f>
        <v>1561.99</v>
      </c>
      <c r="G69" s="185"/>
      <c r="I69" s="15"/>
    </row>
    <row r="70" spans="1:9" s="6" customFormat="1">
      <c r="A70" s="187"/>
      <c r="B70" s="6" t="s">
        <v>462</v>
      </c>
      <c r="C70" s="6" t="s">
        <v>425</v>
      </c>
      <c r="D70" s="42">
        <v>2081</v>
      </c>
      <c r="E70" s="86"/>
      <c r="F70" s="192">
        <v>1076.24</v>
      </c>
      <c r="G70" s="6" t="s">
        <v>617</v>
      </c>
      <c r="I70" s="197"/>
    </row>
    <row r="71" spans="1:9" s="29" customFormat="1">
      <c r="A71" s="187"/>
      <c r="B71" s="131" t="s">
        <v>618</v>
      </c>
      <c r="C71" s="131" t="s">
        <v>619</v>
      </c>
      <c r="D71" s="134">
        <v>2273</v>
      </c>
      <c r="E71" s="187"/>
      <c r="F71" s="52">
        <v>485.75</v>
      </c>
      <c r="I71" s="188"/>
    </row>
    <row r="72" spans="1:9" ht="12" customHeight="1">
      <c r="A72" s="458" t="s">
        <v>265</v>
      </c>
      <c r="B72" s="459"/>
      <c r="C72" s="459"/>
      <c r="D72" s="459"/>
      <c r="E72" s="460"/>
      <c r="F72" s="111"/>
      <c r="G72" s="186"/>
    </row>
    <row r="73" spans="1:9" ht="12" customHeight="1">
      <c r="A73" s="172"/>
      <c r="B73" s="173"/>
      <c r="C73" s="173"/>
      <c r="D73" s="429" t="s">
        <v>598</v>
      </c>
      <c r="E73" s="430"/>
      <c r="F73" s="83"/>
      <c r="G73" s="75"/>
    </row>
    <row r="74" spans="1:9">
      <c r="A74" s="422" t="s">
        <v>37</v>
      </c>
      <c r="B74" s="423"/>
      <c r="C74" s="423"/>
      <c r="D74" s="423"/>
      <c r="E74" s="424"/>
      <c r="F74" s="80">
        <f>F65+F69</f>
        <v>63200.739999999991</v>
      </c>
      <c r="G74" s="84"/>
    </row>
    <row r="75" spans="1:9" ht="18">
      <c r="E75" s="151" t="s">
        <v>250</v>
      </c>
      <c r="F75" s="151"/>
      <c r="G75" s="118">
        <v>44687</v>
      </c>
    </row>
    <row r="76" spans="1:9" ht="18">
      <c r="E76" s="151" t="s">
        <v>251</v>
      </c>
      <c r="F76" s="151"/>
      <c r="G76" s="119" t="s">
        <v>337</v>
      </c>
    </row>
    <row r="81" spans="1:10" s="3" customFormat="1">
      <c r="A81"/>
      <c r="B81"/>
      <c r="C81"/>
      <c r="D81"/>
      <c r="F81" s="152"/>
      <c r="G81"/>
      <c r="H81"/>
      <c r="I81"/>
      <c r="J81"/>
    </row>
  </sheetData>
  <autoFilter ref="A4:G4" xr:uid="{EC283F26-1258-B84E-AE05-5C35489C3CC6}">
    <sortState xmlns:xlrd2="http://schemas.microsoft.com/office/spreadsheetml/2017/richdata2" ref="A5:G63">
      <sortCondition ref="B4:B63"/>
    </sortState>
  </autoFilter>
  <mergeCells count="9">
    <mergeCell ref="A72:E72"/>
    <mergeCell ref="D73:E73"/>
    <mergeCell ref="A74:E74"/>
    <mergeCell ref="F3:G3"/>
    <mergeCell ref="A65:E65"/>
    <mergeCell ref="A66:B66"/>
    <mergeCell ref="A67:B67"/>
    <mergeCell ref="A68:B68"/>
    <mergeCell ref="A69:E69"/>
  </mergeCells>
  <conditionalFormatting sqref="B78">
    <cfRule type="duplicateValues" dxfId="899" priority="22"/>
    <cfRule type="duplicateValues" dxfId="898" priority="23"/>
  </conditionalFormatting>
  <conditionalFormatting sqref="B79">
    <cfRule type="duplicateValues" dxfId="897" priority="8"/>
    <cfRule type="duplicateValues" dxfId="896" priority="9"/>
  </conditionalFormatting>
  <conditionalFormatting sqref="B81">
    <cfRule type="duplicateValues" dxfId="895" priority="6"/>
    <cfRule type="duplicateValues" dxfId="894" priority="7"/>
  </conditionalFormatting>
  <conditionalFormatting sqref="B83">
    <cfRule type="duplicateValues" dxfId="893" priority="4"/>
    <cfRule type="duplicateValues" dxfId="892" priority="5"/>
  </conditionalFormatting>
  <conditionalFormatting sqref="B16:C16">
    <cfRule type="duplicateValues" dxfId="891" priority="56"/>
  </conditionalFormatting>
  <conditionalFormatting sqref="B21:C21">
    <cfRule type="duplicateValues" dxfId="890" priority="57"/>
  </conditionalFormatting>
  <conditionalFormatting sqref="B63:C64 B14:C17 B9:C12 D7:D64 B58:C60 B51:C52 B41:C48 B54:C56 B37:C38 B20:C21 B23:C27 B34:C35 B29:C32">
    <cfRule type="duplicateValues" dxfId="889" priority="54"/>
  </conditionalFormatting>
  <conditionalFormatting sqref="B71:D71">
    <cfRule type="duplicateValues" dxfId="888" priority="1"/>
    <cfRule type="duplicateValues" dxfId="887" priority="2"/>
    <cfRule type="duplicateValues" dxfId="886" priority="3"/>
  </conditionalFormatting>
  <conditionalFormatting sqref="B72:D76 B63:C69 D1:D3 B14:C17 B9:C12 B1:C6 D7:D69 B58:C60 B51:C52 B41:C48 B54:C56 B37:C38 B20:C21 B23:C27 B34:C35 B29:C32">
    <cfRule type="duplicateValues" dxfId="885" priority="53"/>
  </conditionalFormatting>
  <conditionalFormatting sqref="B72:D77 D1:D3 B9:C12 B14:C17 B1:C6 B63:C69 D7:D69 B58:C60 B51:C52 B41:C48 B54:C56 B37:C38 B20:C21 B23:C27 B34:C35 B29:C32 C79:D79 C81:D81 B80:D80 B84:D1048576 C83:D83 B82:D82">
    <cfRule type="duplicateValues" dxfId="884" priority="45"/>
  </conditionalFormatting>
  <conditionalFormatting sqref="B77:D77 C79:D79 C81:D81 B80:D80 B84:D1048576 C83:D83 B82:D82">
    <cfRule type="duplicateValues" dxfId="883" priority="55"/>
  </conditionalFormatting>
  <conditionalFormatting sqref="D4:D6">
    <cfRule type="duplicateValues" dxfId="882" priority="43"/>
    <cfRule type="duplicateValues" dxfId="881" priority="44"/>
  </conditionalFormatting>
  <conditionalFormatting sqref="D70">
    <cfRule type="duplicateValues" dxfId="880" priority="39"/>
    <cfRule type="duplicateValues" dxfId="879" priority="41"/>
    <cfRule type="duplicateValues" dxfId="878" priority="42"/>
  </conditionalFormatting>
  <conditionalFormatting sqref="E7:E63">
    <cfRule type="notContainsBlanks" dxfId="877" priority="47">
      <formula>LEN(TRIM(E7))&gt;0</formula>
    </cfRule>
  </conditionalFormatting>
  <conditionalFormatting sqref="E16 B16:C16">
    <cfRule type="duplicateValues" dxfId="876" priority="52"/>
  </conditionalFormatting>
  <conditionalFormatting sqref="E21 B21:C21">
    <cfRule type="duplicateValues" dxfId="875" priority="51"/>
  </conditionalFormatting>
  <conditionalFormatting sqref="E22">
    <cfRule type="duplicateValues" dxfId="874" priority="48"/>
    <cfRule type="duplicateValues" dxfId="873" priority="49"/>
    <cfRule type="duplicateValues" dxfId="872" priority="50"/>
  </conditionalFormatting>
  <conditionalFormatting sqref="E70">
    <cfRule type="notContainsBlanks" dxfId="871" priority="40">
      <formula>LEN(TRIM(E70))&gt;0</formula>
    </cfRule>
  </conditionalFormatting>
  <conditionalFormatting sqref="G7:G28 G30:G74">
    <cfRule type="notContainsBlanks" dxfId="870" priority="46">
      <formula>LEN(TRIM(G7))&gt;0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F983-8B2B-C648-9B0F-FB5B049A1326}">
  <sheetPr>
    <tabColor theme="8"/>
    <pageSetUpPr fitToPage="1"/>
  </sheetPr>
  <dimension ref="A1:J90"/>
  <sheetViews>
    <sheetView zoomScale="140" zoomScaleNormal="140" zoomScalePageLayoutView="140" workbookViewId="0">
      <pane xSplit="3" ySplit="4" topLeftCell="D58" activePane="bottomRight" state="frozen"/>
      <selection pane="topRight" activeCell="D1" sqref="D1"/>
      <selection pane="bottomLeft" activeCell="A5" sqref="A5"/>
      <selection pane="bottomRight" activeCell="G77" sqref="G77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5" width="12.1640625" style="3" customWidth="1"/>
    <col min="6" max="6" width="16" style="152" customWidth="1"/>
    <col min="7" max="7" width="33.8320312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146" t="s">
        <v>342</v>
      </c>
      <c r="G1" s="68" t="s">
        <v>223</v>
      </c>
    </row>
    <row r="2" spans="1:7" ht="13.5" customHeight="1">
      <c r="A2" s="1" t="s">
        <v>249</v>
      </c>
      <c r="F2" s="51" t="s">
        <v>604</v>
      </c>
      <c r="G2" s="123">
        <v>44652</v>
      </c>
    </row>
    <row r="3" spans="1:7" ht="14" customHeight="1">
      <c r="F3" s="461" t="s">
        <v>562</v>
      </c>
      <c r="G3" s="461"/>
    </row>
    <row r="4" spans="1:7" ht="14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168" t="s">
        <v>584</v>
      </c>
      <c r="G4" s="50" t="s">
        <v>227</v>
      </c>
    </row>
    <row r="5" spans="1:7">
      <c r="A5" s="7"/>
      <c r="B5" s="161" t="s">
        <v>556</v>
      </c>
      <c r="C5" s="161" t="s">
        <v>557</v>
      </c>
      <c r="D5" s="66">
        <v>2247</v>
      </c>
      <c r="E5" s="7"/>
      <c r="F5" s="160">
        <v>463.5</v>
      </c>
      <c r="G5" s="7"/>
    </row>
    <row r="6" spans="1:7">
      <c r="A6" s="7"/>
      <c r="B6" s="161" t="s">
        <v>585</v>
      </c>
      <c r="C6" s="161" t="s">
        <v>586</v>
      </c>
      <c r="D6" s="66">
        <v>2261</v>
      </c>
      <c r="E6" s="7"/>
      <c r="F6" s="160">
        <v>1488.01</v>
      </c>
      <c r="G6" s="161"/>
    </row>
    <row r="7" spans="1:7">
      <c r="A7" s="7"/>
      <c r="B7" s="29" t="s">
        <v>462</v>
      </c>
      <c r="C7" s="29" t="s">
        <v>425</v>
      </c>
      <c r="D7" s="37">
        <v>2081</v>
      </c>
      <c r="E7" s="58"/>
      <c r="F7" s="149">
        <v>647.51</v>
      </c>
      <c r="G7" s="29" t="s">
        <v>605</v>
      </c>
    </row>
    <row r="8" spans="1:7">
      <c r="A8" s="7"/>
      <c r="B8" s="29" t="s">
        <v>460</v>
      </c>
      <c r="C8" s="29" t="s">
        <v>426</v>
      </c>
      <c r="D8" s="37">
        <v>1593</v>
      </c>
      <c r="E8" s="7"/>
      <c r="F8" s="149">
        <v>1181.01</v>
      </c>
      <c r="G8" s="29"/>
    </row>
    <row r="9" spans="1:7">
      <c r="A9" s="7"/>
      <c r="B9" s="37" t="s">
        <v>463</v>
      </c>
      <c r="C9" s="37" t="s">
        <v>427</v>
      </c>
      <c r="D9" s="37">
        <v>2023</v>
      </c>
      <c r="E9" s="58"/>
      <c r="F9" s="149">
        <v>573.82000000000005</v>
      </c>
      <c r="G9" s="29"/>
    </row>
    <row r="10" spans="1:7" s="195" customFormat="1">
      <c r="A10" s="193"/>
      <c r="B10" s="139" t="s">
        <v>463</v>
      </c>
      <c r="C10" s="139" t="s">
        <v>608</v>
      </c>
      <c r="D10" s="134">
        <v>2131</v>
      </c>
      <c r="E10" s="140"/>
      <c r="F10" s="194">
        <v>537.20000000000005</v>
      </c>
      <c r="G10" s="131" t="s">
        <v>609</v>
      </c>
    </row>
    <row r="11" spans="1:7">
      <c r="A11" s="7"/>
      <c r="B11" s="29" t="s">
        <v>464</v>
      </c>
      <c r="C11" s="29" t="s">
        <v>428</v>
      </c>
      <c r="D11" s="37">
        <v>1721</v>
      </c>
      <c r="E11" s="7">
        <v>1</v>
      </c>
      <c r="F11" s="149">
        <v>1670</v>
      </c>
      <c r="G11" s="29"/>
    </row>
    <row r="12" spans="1:7">
      <c r="A12" s="7"/>
      <c r="B12" s="29" t="s">
        <v>464</v>
      </c>
      <c r="C12" s="29" t="s">
        <v>429</v>
      </c>
      <c r="D12" s="37">
        <v>2123</v>
      </c>
      <c r="E12" s="7"/>
      <c r="F12" s="149">
        <v>577.52</v>
      </c>
      <c r="G12" s="29"/>
    </row>
    <row r="13" spans="1:7">
      <c r="A13" s="7"/>
      <c r="B13" s="37" t="s">
        <v>465</v>
      </c>
      <c r="C13" s="37" t="s">
        <v>430</v>
      </c>
      <c r="D13" s="37">
        <v>1970</v>
      </c>
      <c r="E13" s="58">
        <v>2</v>
      </c>
      <c r="F13" s="149">
        <v>1508.79</v>
      </c>
      <c r="G13" s="29"/>
    </row>
    <row r="14" spans="1:7" s="195" customFormat="1">
      <c r="A14" s="193"/>
      <c r="B14" s="131" t="s">
        <v>466</v>
      </c>
      <c r="C14" s="131" t="s">
        <v>431</v>
      </c>
      <c r="D14" s="134">
        <v>1794</v>
      </c>
      <c r="E14" s="136">
        <v>2</v>
      </c>
      <c r="F14" s="194">
        <v>1717.74</v>
      </c>
      <c r="G14" s="131" t="s">
        <v>568</v>
      </c>
    </row>
    <row r="15" spans="1:7" s="159" customFormat="1">
      <c r="A15" s="7"/>
      <c r="B15" s="37" t="s">
        <v>467</v>
      </c>
      <c r="C15" s="37" t="s">
        <v>501</v>
      </c>
      <c r="D15" s="37">
        <v>2201</v>
      </c>
      <c r="E15" s="58"/>
      <c r="F15" s="149">
        <v>989.58</v>
      </c>
      <c r="G15" s="29"/>
    </row>
    <row r="16" spans="1:7" s="133" customFormat="1">
      <c r="A16" s="7"/>
      <c r="B16" s="37" t="s">
        <v>468</v>
      </c>
      <c r="C16" s="37" t="s">
        <v>432</v>
      </c>
      <c r="D16" s="37">
        <v>2194</v>
      </c>
      <c r="E16" s="58"/>
      <c r="F16" s="149">
        <v>485.75</v>
      </c>
      <c r="G16" s="29"/>
    </row>
    <row r="17" spans="1:7" s="133" customFormat="1">
      <c r="A17" s="130"/>
      <c r="B17" s="134" t="s">
        <v>542</v>
      </c>
      <c r="C17" s="134" t="s">
        <v>543</v>
      </c>
      <c r="D17" s="134">
        <v>2182</v>
      </c>
      <c r="E17" s="136"/>
      <c r="F17" s="150">
        <v>1033.6099999999999</v>
      </c>
      <c r="G17" s="131" t="s">
        <v>612</v>
      </c>
    </row>
    <row r="18" spans="1:7">
      <c r="A18" s="7"/>
      <c r="B18" s="29" t="s">
        <v>469</v>
      </c>
      <c r="C18" s="29" t="s">
        <v>434</v>
      </c>
      <c r="D18" s="37">
        <v>1708</v>
      </c>
      <c r="E18" s="7"/>
      <c r="F18" s="149">
        <v>1368.26</v>
      </c>
      <c r="G18" s="29"/>
    </row>
    <row r="19" spans="1:7">
      <c r="A19" s="7"/>
      <c r="B19" s="29" t="s">
        <v>436</v>
      </c>
      <c r="C19" s="29" t="s">
        <v>572</v>
      </c>
      <c r="D19" s="37">
        <v>2250</v>
      </c>
      <c r="E19" s="7">
        <v>2</v>
      </c>
      <c r="F19" s="149">
        <v>1314.66</v>
      </c>
      <c r="G19" s="29"/>
    </row>
    <row r="20" spans="1:7">
      <c r="A20" s="7"/>
      <c r="B20" s="29" t="s">
        <v>436</v>
      </c>
      <c r="C20" s="29" t="s">
        <v>503</v>
      </c>
      <c r="D20" s="37">
        <v>2120</v>
      </c>
      <c r="E20" s="7">
        <v>1</v>
      </c>
      <c r="F20" s="149">
        <v>1285.46</v>
      </c>
      <c r="G20" s="29"/>
    </row>
    <row r="21" spans="1:7">
      <c r="A21" s="7"/>
      <c r="B21" s="29" t="s">
        <v>437</v>
      </c>
      <c r="C21" s="29" t="s">
        <v>504</v>
      </c>
      <c r="D21" s="37">
        <v>2193</v>
      </c>
      <c r="E21" s="7"/>
      <c r="F21" s="149">
        <v>555.28</v>
      </c>
      <c r="G21" s="29"/>
    </row>
    <row r="22" spans="1:7">
      <c r="A22" s="7"/>
      <c r="B22" s="61" t="s">
        <v>471</v>
      </c>
      <c r="C22" s="61" t="s">
        <v>438</v>
      </c>
      <c r="D22" s="37">
        <v>640</v>
      </c>
      <c r="E22" s="62"/>
      <c r="F22" s="149">
        <v>1081.3499999999999</v>
      </c>
      <c r="G22" s="29"/>
    </row>
    <row r="23" spans="1:7">
      <c r="A23" s="7"/>
      <c r="B23" s="29" t="s">
        <v>439</v>
      </c>
      <c r="C23" s="29" t="s">
        <v>505</v>
      </c>
      <c r="D23" s="37">
        <v>901</v>
      </c>
      <c r="E23" s="62"/>
      <c r="F23" s="149">
        <v>1390.5</v>
      </c>
      <c r="G23" s="29"/>
    </row>
    <row r="24" spans="1:7">
      <c r="A24" s="7"/>
      <c r="B24" s="29" t="s">
        <v>472</v>
      </c>
      <c r="C24" s="29" t="s">
        <v>574</v>
      </c>
      <c r="D24" s="37">
        <v>2234</v>
      </c>
      <c r="E24" s="62"/>
      <c r="F24" s="149">
        <v>592.36</v>
      </c>
      <c r="G24" s="29"/>
    </row>
    <row r="25" spans="1:7">
      <c r="A25" s="7"/>
      <c r="B25" s="29" t="s">
        <v>472</v>
      </c>
      <c r="C25" s="29" t="s">
        <v>440</v>
      </c>
      <c r="D25" s="37">
        <v>1741</v>
      </c>
      <c r="E25" s="7"/>
      <c r="F25" s="149">
        <v>904.76</v>
      </c>
      <c r="G25" s="29"/>
    </row>
    <row r="26" spans="1:7">
      <c r="A26" s="7"/>
      <c r="B26" s="37" t="s">
        <v>472</v>
      </c>
      <c r="C26" s="37" t="s">
        <v>441</v>
      </c>
      <c r="D26" s="37">
        <v>1757</v>
      </c>
      <c r="E26" s="58">
        <v>2</v>
      </c>
      <c r="F26" s="150">
        <v>1550.59</v>
      </c>
      <c r="G26" s="29"/>
    </row>
    <row r="27" spans="1:7">
      <c r="A27" s="7"/>
      <c r="B27" s="37" t="s">
        <v>473</v>
      </c>
      <c r="C27" s="37" t="s">
        <v>442</v>
      </c>
      <c r="D27" s="37">
        <v>2057</v>
      </c>
      <c r="E27" s="58"/>
      <c r="F27" s="149">
        <v>1368.26</v>
      </c>
      <c r="G27" s="29"/>
    </row>
    <row r="28" spans="1:7">
      <c r="A28" s="7"/>
      <c r="B28" s="37" t="s">
        <v>473</v>
      </c>
      <c r="C28" s="37" t="s">
        <v>443</v>
      </c>
      <c r="D28" s="37">
        <v>1210</v>
      </c>
      <c r="E28" s="58"/>
      <c r="F28" s="149">
        <v>1302.44</v>
      </c>
      <c r="G28" s="29"/>
    </row>
    <row r="29" spans="1:7">
      <c r="A29" s="7"/>
      <c r="B29" s="29" t="s">
        <v>444</v>
      </c>
      <c r="C29" s="29" t="s">
        <v>506</v>
      </c>
      <c r="D29" s="37">
        <v>1460</v>
      </c>
      <c r="E29" s="7"/>
      <c r="F29" s="149">
        <v>757.83</v>
      </c>
    </row>
    <row r="30" spans="1:7">
      <c r="A30" s="7"/>
      <c r="B30" s="29" t="s">
        <v>474</v>
      </c>
      <c r="C30" s="29" t="s">
        <v>576</v>
      </c>
      <c r="D30" s="37">
        <v>2248</v>
      </c>
      <c r="E30" s="7">
        <v>3</v>
      </c>
      <c r="F30" s="149">
        <v>1862.53</v>
      </c>
      <c r="G30" s="29"/>
    </row>
    <row r="31" spans="1:7">
      <c r="A31" s="7"/>
      <c r="B31" s="29" t="s">
        <v>474</v>
      </c>
      <c r="C31" s="29" t="s">
        <v>507</v>
      </c>
      <c r="D31" s="37">
        <v>2062</v>
      </c>
      <c r="E31" s="7">
        <v>1</v>
      </c>
      <c r="F31" s="149">
        <v>931.26</v>
      </c>
      <c r="G31" s="29"/>
    </row>
    <row r="32" spans="1:7">
      <c r="A32" s="7"/>
      <c r="B32" s="29" t="s">
        <v>474</v>
      </c>
      <c r="C32" s="29" t="s">
        <v>508</v>
      </c>
      <c r="D32" s="37">
        <v>2121</v>
      </c>
      <c r="E32" s="7"/>
      <c r="F32" s="149">
        <v>548.32000000000005</v>
      </c>
      <c r="G32" s="29"/>
    </row>
    <row r="33" spans="1:7">
      <c r="A33" s="7"/>
      <c r="B33" s="29" t="s">
        <v>445</v>
      </c>
      <c r="C33" s="29" t="s">
        <v>509</v>
      </c>
      <c r="D33" s="37">
        <v>2030</v>
      </c>
      <c r="E33" s="58"/>
      <c r="F33" s="189">
        <v>0</v>
      </c>
      <c r="G33" s="29" t="s">
        <v>595</v>
      </c>
    </row>
    <row r="34" spans="1:7">
      <c r="A34" s="7"/>
      <c r="B34" s="37" t="s">
        <v>475</v>
      </c>
      <c r="C34" s="37" t="s">
        <v>446</v>
      </c>
      <c r="D34" s="37">
        <v>2003</v>
      </c>
      <c r="E34" s="58"/>
      <c r="F34" s="149">
        <v>566.4</v>
      </c>
      <c r="G34" s="29"/>
    </row>
    <row r="35" spans="1:7">
      <c r="A35" s="7"/>
      <c r="B35" s="29" t="s">
        <v>476</v>
      </c>
      <c r="C35" s="29" t="s">
        <v>447</v>
      </c>
      <c r="D35" s="37">
        <v>2019</v>
      </c>
      <c r="E35" s="58">
        <v>1</v>
      </c>
      <c r="F35" s="149">
        <v>972.05</v>
      </c>
      <c r="G35" s="29"/>
    </row>
    <row r="36" spans="1:7" s="133" customFormat="1">
      <c r="A36" s="7"/>
      <c r="B36" s="29" t="s">
        <v>478</v>
      </c>
      <c r="C36" s="29" t="s">
        <v>448</v>
      </c>
      <c r="D36" s="37">
        <v>2172</v>
      </c>
      <c r="E36" s="58"/>
      <c r="F36" s="149">
        <v>1368.26</v>
      </c>
      <c r="G36" s="29"/>
    </row>
    <row r="37" spans="1:7">
      <c r="A37" s="145"/>
      <c r="B37" s="37" t="s">
        <v>497</v>
      </c>
      <c r="C37" s="37" t="s">
        <v>461</v>
      </c>
      <c r="D37" s="37">
        <v>2082</v>
      </c>
      <c r="E37" s="58"/>
      <c r="F37" s="149">
        <v>555.28</v>
      </c>
      <c r="G37" s="29"/>
    </row>
    <row r="38" spans="1:7">
      <c r="A38" s="7"/>
      <c r="B38" s="29" t="s">
        <v>479</v>
      </c>
      <c r="C38" s="29" t="s">
        <v>449</v>
      </c>
      <c r="D38" s="37">
        <v>2119</v>
      </c>
      <c r="E38" s="7"/>
      <c r="F38" s="149">
        <v>465.36</v>
      </c>
      <c r="G38" s="29"/>
    </row>
    <row r="39" spans="1:7" ht="15">
      <c r="A39" s="7"/>
      <c r="B39" s="144" t="s">
        <v>480</v>
      </c>
      <c r="C39" s="144" t="s">
        <v>511</v>
      </c>
      <c r="D39" s="37">
        <v>2231</v>
      </c>
      <c r="E39" s="7">
        <v>3</v>
      </c>
      <c r="F39" s="149">
        <v>2311.58</v>
      </c>
      <c r="G39" s="29" t="s">
        <v>613</v>
      </c>
    </row>
    <row r="40" spans="1:7">
      <c r="A40" s="7"/>
      <c r="B40" s="29" t="s">
        <v>481</v>
      </c>
      <c r="C40" s="29" t="s">
        <v>450</v>
      </c>
      <c r="D40" s="37">
        <v>1975</v>
      </c>
      <c r="E40" s="7"/>
      <c r="F40" s="149">
        <v>1140.22</v>
      </c>
      <c r="G40" s="29"/>
    </row>
    <row r="41" spans="1:7">
      <c r="A41" s="7"/>
      <c r="B41" s="29" t="s">
        <v>482</v>
      </c>
      <c r="C41" s="29" t="s">
        <v>512</v>
      </c>
      <c r="D41" s="37">
        <v>2203</v>
      </c>
      <c r="E41" s="7"/>
      <c r="F41" s="149">
        <v>562.69000000000005</v>
      </c>
      <c r="G41" s="29"/>
    </row>
    <row r="42" spans="1:7" s="133" customFormat="1">
      <c r="A42" s="7"/>
      <c r="B42" s="29" t="s">
        <v>547</v>
      </c>
      <c r="C42" s="29" t="s">
        <v>548</v>
      </c>
      <c r="D42" s="37">
        <v>2245</v>
      </c>
      <c r="E42" s="7"/>
      <c r="F42" s="149">
        <v>1273.33</v>
      </c>
      <c r="G42" s="29"/>
    </row>
    <row r="43" spans="1:7">
      <c r="A43" s="7"/>
      <c r="B43" s="37" t="s">
        <v>483</v>
      </c>
      <c r="C43" s="37" t="s">
        <v>452</v>
      </c>
      <c r="D43" s="37">
        <v>2001</v>
      </c>
      <c r="E43" s="58"/>
      <c r="F43" s="149">
        <v>1033.6099999999999</v>
      </c>
      <c r="G43" s="29"/>
    </row>
    <row r="44" spans="1:7">
      <c r="A44" s="7"/>
      <c r="B44" s="37" t="s">
        <v>484</v>
      </c>
      <c r="C44" s="37" t="s">
        <v>514</v>
      </c>
      <c r="D44" s="37">
        <v>2160</v>
      </c>
      <c r="E44" s="58">
        <v>1</v>
      </c>
      <c r="F44" s="149">
        <v>1544.85</v>
      </c>
      <c r="G44" s="29"/>
    </row>
    <row r="45" spans="1:7">
      <c r="A45" s="7"/>
      <c r="B45" s="29" t="s">
        <v>551</v>
      </c>
      <c r="C45" s="29" t="s">
        <v>552</v>
      </c>
      <c r="D45" s="37">
        <v>2246</v>
      </c>
      <c r="E45" s="58"/>
      <c r="F45" s="149">
        <v>537.20000000000005</v>
      </c>
      <c r="G45" s="29"/>
    </row>
    <row r="46" spans="1:7" s="133" customFormat="1">
      <c r="A46" s="7"/>
      <c r="B46" s="29" t="s">
        <v>485</v>
      </c>
      <c r="C46" s="29" t="s">
        <v>515</v>
      </c>
      <c r="D46" s="37">
        <v>2018</v>
      </c>
      <c r="E46" s="7"/>
      <c r="F46" s="149">
        <v>1331.64</v>
      </c>
      <c r="G46" s="29"/>
    </row>
    <row r="47" spans="1:7">
      <c r="A47" s="7"/>
      <c r="B47" s="37" t="s">
        <v>486</v>
      </c>
      <c r="C47" s="37" t="s">
        <v>453</v>
      </c>
      <c r="D47" s="37">
        <v>1692</v>
      </c>
      <c r="E47" s="58">
        <v>2</v>
      </c>
      <c r="F47" s="149">
        <v>1544.85</v>
      </c>
      <c r="G47" s="29"/>
    </row>
    <row r="48" spans="1:7" s="133" customFormat="1">
      <c r="A48" s="7"/>
      <c r="B48" s="37" t="s">
        <v>486</v>
      </c>
      <c r="C48" s="37" t="s">
        <v>454</v>
      </c>
      <c r="D48" s="37">
        <v>2027</v>
      </c>
      <c r="E48" s="58"/>
      <c r="F48" s="149">
        <v>555.28</v>
      </c>
      <c r="G48" s="29"/>
    </row>
    <row r="49" spans="1:10">
      <c r="A49" s="7"/>
      <c r="B49" s="29" t="s">
        <v>487</v>
      </c>
      <c r="C49" s="29" t="s">
        <v>516</v>
      </c>
      <c r="D49" s="37">
        <v>2060</v>
      </c>
      <c r="E49" s="58"/>
      <c r="F49" s="149">
        <v>827.82</v>
      </c>
      <c r="G49" s="29"/>
    </row>
    <row r="50" spans="1:10">
      <c r="A50" s="7"/>
      <c r="B50" s="29" t="s">
        <v>488</v>
      </c>
      <c r="C50" s="29" t="s">
        <v>517</v>
      </c>
      <c r="D50" s="37">
        <v>1649</v>
      </c>
      <c r="E50" s="58"/>
      <c r="F50" s="149">
        <v>1390.5</v>
      </c>
      <c r="G50" s="29"/>
    </row>
    <row r="51" spans="1:10">
      <c r="A51" s="7"/>
      <c r="B51" s="29" t="s">
        <v>489</v>
      </c>
      <c r="C51" s="29" t="s">
        <v>455</v>
      </c>
      <c r="D51" s="37">
        <v>2090</v>
      </c>
      <c r="E51" s="58"/>
      <c r="F51" s="149">
        <v>1033.6099999999999</v>
      </c>
      <c r="G51" s="29"/>
    </row>
    <row r="52" spans="1:10">
      <c r="A52" s="7"/>
      <c r="B52" s="29" t="s">
        <v>490</v>
      </c>
      <c r="C52" s="29" t="s">
        <v>518</v>
      </c>
      <c r="D52" s="37">
        <v>1050</v>
      </c>
      <c r="E52" s="58"/>
      <c r="F52" s="149">
        <v>1390.5</v>
      </c>
      <c r="G52" s="29"/>
    </row>
    <row r="53" spans="1:10">
      <c r="A53" s="7"/>
      <c r="B53" s="29" t="s">
        <v>491</v>
      </c>
      <c r="C53" s="29" t="s">
        <v>456</v>
      </c>
      <c r="D53" s="37">
        <v>1964</v>
      </c>
      <c r="E53" s="58"/>
      <c r="F53" s="149">
        <v>669.3</v>
      </c>
      <c r="G53" s="29"/>
    </row>
    <row r="54" spans="1:10">
      <c r="A54" s="7"/>
      <c r="B54" s="37" t="s">
        <v>492</v>
      </c>
      <c r="C54" s="37" t="s">
        <v>519</v>
      </c>
      <c r="D54" s="37">
        <v>1981</v>
      </c>
      <c r="E54" s="58"/>
      <c r="F54" s="149">
        <v>573.82000000000005</v>
      </c>
      <c r="G54" s="29"/>
    </row>
    <row r="55" spans="1:10">
      <c r="A55" s="7"/>
      <c r="B55" s="29" t="s">
        <v>492</v>
      </c>
      <c r="C55" s="29" t="s">
        <v>520</v>
      </c>
      <c r="D55" s="37">
        <v>1662</v>
      </c>
      <c r="E55" s="58">
        <v>1</v>
      </c>
      <c r="F55" s="149">
        <v>1158.75</v>
      </c>
      <c r="G55" s="29"/>
    </row>
    <row r="56" spans="1:10">
      <c r="A56" s="7"/>
      <c r="B56" s="37" t="s">
        <v>493</v>
      </c>
      <c r="C56" s="37" t="s">
        <v>457</v>
      </c>
      <c r="D56" s="37">
        <v>1630</v>
      </c>
      <c r="E56" s="58">
        <v>1</v>
      </c>
      <c r="F56" s="149">
        <v>1409.05</v>
      </c>
      <c r="G56" s="29"/>
    </row>
    <row r="57" spans="1:10">
      <c r="A57" s="7"/>
      <c r="B57" s="29" t="s">
        <v>458</v>
      </c>
      <c r="C57" s="29" t="s">
        <v>521</v>
      </c>
      <c r="D57" s="37">
        <v>2006</v>
      </c>
      <c r="E57" s="7"/>
      <c r="F57" s="149">
        <v>566.4</v>
      </c>
      <c r="G57" s="29"/>
    </row>
    <row r="58" spans="1:10">
      <c r="A58" s="7"/>
      <c r="B58" s="37" t="s">
        <v>494</v>
      </c>
      <c r="C58" s="37" t="s">
        <v>522</v>
      </c>
      <c r="D58" s="37">
        <v>2212</v>
      </c>
      <c r="E58" s="7"/>
      <c r="F58" s="149">
        <v>548.32000000000005</v>
      </c>
      <c r="G58" s="29"/>
    </row>
    <row r="59" spans="1:10">
      <c r="A59" s="7"/>
      <c r="B59" s="29" t="s">
        <v>534</v>
      </c>
      <c r="C59" s="29" t="s">
        <v>533</v>
      </c>
      <c r="D59" s="37">
        <v>2010</v>
      </c>
      <c r="E59" s="58">
        <v>1</v>
      </c>
      <c r="F59" s="149">
        <v>1254.24</v>
      </c>
      <c r="G59" s="29"/>
    </row>
    <row r="60" spans="1:10">
      <c r="A60" s="7"/>
      <c r="B60" s="29" t="s">
        <v>534</v>
      </c>
      <c r="C60" s="29" t="s">
        <v>580</v>
      </c>
      <c r="D60" s="37">
        <v>2187</v>
      </c>
      <c r="E60" s="58">
        <v>2</v>
      </c>
      <c r="F60" s="149">
        <v>1526.49</v>
      </c>
      <c r="G60" s="29"/>
    </row>
    <row r="61" spans="1:10">
      <c r="A61" s="7"/>
      <c r="B61" s="37" t="s">
        <v>495</v>
      </c>
      <c r="C61" s="37" t="s">
        <v>459</v>
      </c>
      <c r="D61" s="37">
        <v>2095</v>
      </c>
      <c r="E61" s="7"/>
      <c r="F61" s="149">
        <v>537.20000000000005</v>
      </c>
      <c r="G61" s="29"/>
    </row>
    <row r="62" spans="1:10" s="159" customFormat="1">
      <c r="A62" s="153"/>
      <c r="B62" s="154" t="s">
        <v>495</v>
      </c>
      <c r="C62" s="154" t="s">
        <v>566</v>
      </c>
      <c r="D62" s="154">
        <v>2064</v>
      </c>
      <c r="E62" s="153">
        <v>3</v>
      </c>
      <c r="F62" s="181">
        <v>1910.73</v>
      </c>
      <c r="G62" s="158"/>
    </row>
    <row r="63" spans="1:10">
      <c r="A63" s="7"/>
      <c r="B63" s="37" t="s">
        <v>530</v>
      </c>
      <c r="C63" s="37" t="s">
        <v>529</v>
      </c>
      <c r="D63" s="37">
        <v>2089</v>
      </c>
      <c r="E63" s="58"/>
      <c r="F63" s="149">
        <v>537.20000000000005</v>
      </c>
      <c r="G63" s="29"/>
    </row>
    <row r="64" spans="1:10">
      <c r="A64" s="113"/>
      <c r="B64" s="102"/>
      <c r="C64" s="102"/>
      <c r="D64" s="102"/>
      <c r="E64" s="115"/>
      <c r="F64" s="117"/>
      <c r="G64" s="114"/>
      <c r="I64" s="15"/>
      <c r="J64" s="15"/>
    </row>
    <row r="65" spans="1:9">
      <c r="A65" s="458" t="s">
        <v>315</v>
      </c>
      <c r="B65" s="459"/>
      <c r="C65" s="459"/>
      <c r="D65" s="459"/>
      <c r="E65" s="460"/>
      <c r="F65" s="111">
        <v>60784.429999999993</v>
      </c>
      <c r="G65" s="112"/>
    </row>
    <row r="66" spans="1:9">
      <c r="A66" s="431" t="s">
        <v>258</v>
      </c>
      <c r="B66" s="432"/>
      <c r="C66" s="141"/>
      <c r="D66" s="141"/>
      <c r="E66" s="7">
        <v>57</v>
      </c>
      <c r="F66" s="52"/>
      <c r="G66" s="29"/>
    </row>
    <row r="67" spans="1:9">
      <c r="A67" s="431" t="s">
        <v>242</v>
      </c>
      <c r="B67" s="432"/>
      <c r="C67" s="141"/>
      <c r="D67" s="141"/>
      <c r="E67" s="58">
        <v>17</v>
      </c>
      <c r="F67" s="52"/>
      <c r="G67" s="29"/>
    </row>
    <row r="68" spans="1:9">
      <c r="A68" s="433" t="s">
        <v>246</v>
      </c>
      <c r="B68" s="434"/>
      <c r="C68" s="92"/>
      <c r="D68" s="92"/>
      <c r="E68" s="86">
        <v>74</v>
      </c>
      <c r="F68" s="52"/>
      <c r="G68" s="29"/>
    </row>
    <row r="69" spans="1:9">
      <c r="A69" s="455" t="s">
        <v>257</v>
      </c>
      <c r="B69" s="456"/>
      <c r="C69" s="456"/>
      <c r="D69" s="456"/>
      <c r="E69" s="457"/>
      <c r="F69" s="184">
        <v>-12495.42</v>
      </c>
      <c r="G69" s="185"/>
      <c r="I69" s="15"/>
    </row>
    <row r="70" spans="1:9" s="6" customFormat="1">
      <c r="A70" s="187"/>
      <c r="B70" s="6" t="s">
        <v>462</v>
      </c>
      <c r="C70" s="6" t="s">
        <v>425</v>
      </c>
      <c r="D70" s="42">
        <v>2081</v>
      </c>
      <c r="E70" s="86"/>
      <c r="F70" s="192">
        <v>-1105.71</v>
      </c>
      <c r="G70" s="6" t="s">
        <v>606</v>
      </c>
      <c r="I70" s="197"/>
    </row>
    <row r="71" spans="1:9" s="6" customFormat="1">
      <c r="A71" s="187"/>
      <c r="B71" s="6" t="s">
        <v>570</v>
      </c>
      <c r="C71" s="6" t="s">
        <v>569</v>
      </c>
      <c r="D71" s="42">
        <v>2259</v>
      </c>
      <c r="E71" s="187"/>
      <c r="F71" s="94">
        <v>-3589.17</v>
      </c>
      <c r="G71" s="6" t="s">
        <v>607</v>
      </c>
      <c r="I71" s="197"/>
    </row>
    <row r="72" spans="1:9" s="6" customFormat="1">
      <c r="A72" s="187"/>
      <c r="B72" s="190" t="s">
        <v>536</v>
      </c>
      <c r="C72" s="190" t="s">
        <v>537</v>
      </c>
      <c r="D72" s="42">
        <v>2238</v>
      </c>
      <c r="E72" s="191"/>
      <c r="F72" s="192">
        <v>-1699.2</v>
      </c>
      <c r="G72" s="6" t="s">
        <v>607</v>
      </c>
      <c r="I72" s="197"/>
    </row>
    <row r="73" spans="1:9" s="6" customFormat="1">
      <c r="A73" s="187"/>
      <c r="B73" s="190" t="s">
        <v>463</v>
      </c>
      <c r="C73" s="190" t="s">
        <v>608</v>
      </c>
      <c r="D73" s="42">
        <v>2131</v>
      </c>
      <c r="E73" s="191"/>
      <c r="F73" s="192">
        <v>1074.4000000000001</v>
      </c>
      <c r="G73" s="6" t="s">
        <v>614</v>
      </c>
      <c r="I73" s="197"/>
    </row>
    <row r="74" spans="1:9" s="29" customFormat="1">
      <c r="A74" s="187"/>
      <c r="B74" s="158" t="s">
        <v>466</v>
      </c>
      <c r="C74" s="158" t="s">
        <v>431</v>
      </c>
      <c r="D74" s="154">
        <v>1794</v>
      </c>
      <c r="E74" s="62"/>
      <c r="F74" s="189">
        <v>-1396.08</v>
      </c>
      <c r="G74" s="29" t="s">
        <v>610</v>
      </c>
      <c r="I74" s="188"/>
    </row>
    <row r="75" spans="1:9" s="29" customFormat="1">
      <c r="A75" s="187"/>
      <c r="B75" s="37" t="s">
        <v>542</v>
      </c>
      <c r="C75" s="37" t="s">
        <v>543</v>
      </c>
      <c r="D75" s="37">
        <v>2182</v>
      </c>
      <c r="E75" s="62"/>
      <c r="F75" s="189">
        <v>-927</v>
      </c>
      <c r="G75" s="29" t="s">
        <v>611</v>
      </c>
      <c r="I75" s="188"/>
    </row>
    <row r="76" spans="1:9" s="29" customFormat="1">
      <c r="A76" s="196"/>
      <c r="B76" s="29" t="s">
        <v>445</v>
      </c>
      <c r="C76" s="29" t="s">
        <v>509</v>
      </c>
      <c r="D76" s="37">
        <v>2030</v>
      </c>
      <c r="E76" s="196"/>
      <c r="F76" s="52">
        <v>-3100.83</v>
      </c>
      <c r="G76" s="29" t="s">
        <v>610</v>
      </c>
      <c r="I76" s="188"/>
    </row>
    <row r="77" spans="1:9" s="29" customFormat="1" ht="15">
      <c r="A77" s="196"/>
      <c r="B77" s="144" t="s">
        <v>480</v>
      </c>
      <c r="C77" s="144" t="s">
        <v>511</v>
      </c>
      <c r="D77" s="37">
        <v>2231</v>
      </c>
      <c r="E77" s="196"/>
      <c r="F77" s="52">
        <v>-864.43</v>
      </c>
      <c r="I77" s="188"/>
    </row>
    <row r="78" spans="1:9" s="29" customFormat="1">
      <c r="A78" s="196"/>
      <c r="B78" s="37" t="s">
        <v>493</v>
      </c>
      <c r="C78" s="37" t="s">
        <v>457</v>
      </c>
      <c r="D78" s="37">
        <v>1630</v>
      </c>
      <c r="E78" s="196"/>
      <c r="F78" s="52">
        <v>-22.88</v>
      </c>
      <c r="I78" s="188"/>
    </row>
    <row r="79" spans="1:9" s="29" customFormat="1">
      <c r="A79" s="196"/>
      <c r="B79" s="37" t="s">
        <v>615</v>
      </c>
      <c r="C79" s="37"/>
      <c r="D79" s="37"/>
      <c r="E79" s="196"/>
      <c r="F79" s="52">
        <v>-864.52</v>
      </c>
      <c r="I79" s="188"/>
    </row>
    <row r="80" spans="1:9" s="29" customFormat="1">
      <c r="A80" s="187"/>
      <c r="B80" s="187"/>
      <c r="C80" s="187"/>
      <c r="D80" s="187"/>
      <c r="E80" s="187"/>
      <c r="F80" s="52"/>
      <c r="I80" s="188"/>
    </row>
    <row r="81" spans="1:10" ht="12" customHeight="1">
      <c r="A81" s="458" t="s">
        <v>265</v>
      </c>
      <c r="B81" s="459"/>
      <c r="C81" s="459"/>
      <c r="D81" s="459"/>
      <c r="E81" s="460"/>
      <c r="F81" s="111"/>
      <c r="G81" s="186"/>
    </row>
    <row r="82" spans="1:10" ht="12" customHeight="1">
      <c r="A82" s="172"/>
      <c r="B82" s="173"/>
      <c r="C82" s="173"/>
      <c r="D82" s="429" t="s">
        <v>598</v>
      </c>
      <c r="E82" s="430"/>
      <c r="F82" s="83"/>
      <c r="G82" s="75"/>
    </row>
    <row r="83" spans="1:10">
      <c r="A83" s="422" t="s">
        <v>37</v>
      </c>
      <c r="B83" s="423"/>
      <c r="C83" s="423"/>
      <c r="D83" s="423"/>
      <c r="E83" s="424"/>
      <c r="F83" s="80">
        <v>48289.009999999995</v>
      </c>
      <c r="G83" s="84"/>
    </row>
    <row r="84" spans="1:10" ht="18">
      <c r="E84" s="151" t="s">
        <v>250</v>
      </c>
      <c r="F84" s="151"/>
      <c r="G84" s="118">
        <v>44655</v>
      </c>
    </row>
    <row r="85" spans="1:10" ht="18">
      <c r="E85" s="151" t="s">
        <v>251</v>
      </c>
      <c r="F85" s="151"/>
      <c r="G85" s="119" t="s">
        <v>337</v>
      </c>
    </row>
    <row r="90" spans="1:10" s="3" customFormat="1">
      <c r="A90"/>
      <c r="B90"/>
      <c r="C90"/>
      <c r="D90"/>
      <c r="F90" s="152"/>
      <c r="G90"/>
      <c r="H90"/>
      <c r="I90"/>
      <c r="J90"/>
    </row>
  </sheetData>
  <autoFilter ref="A4:G4" xr:uid="{EC283F26-1258-B84E-AE05-5C35489C3CC6}">
    <sortState xmlns:xlrd2="http://schemas.microsoft.com/office/spreadsheetml/2017/richdata2" ref="A5:G63">
      <sortCondition ref="B4:B63"/>
    </sortState>
  </autoFilter>
  <mergeCells count="9">
    <mergeCell ref="A81:E81"/>
    <mergeCell ref="D82:E82"/>
    <mergeCell ref="A83:E83"/>
    <mergeCell ref="F3:G3"/>
    <mergeCell ref="A65:E65"/>
    <mergeCell ref="A66:B66"/>
    <mergeCell ref="A67:B67"/>
    <mergeCell ref="A68:B68"/>
    <mergeCell ref="A69:E69"/>
  </mergeCells>
  <conditionalFormatting sqref="B87">
    <cfRule type="duplicateValues" dxfId="869" priority="21"/>
    <cfRule type="duplicateValues" dxfId="868" priority="22"/>
  </conditionalFormatting>
  <conditionalFormatting sqref="B88">
    <cfRule type="duplicateValues" dxfId="867" priority="7"/>
    <cfRule type="duplicateValues" dxfId="866" priority="8"/>
  </conditionalFormatting>
  <conditionalFormatting sqref="B90">
    <cfRule type="duplicateValues" dxfId="865" priority="3"/>
    <cfRule type="duplicateValues" dxfId="864" priority="4"/>
  </conditionalFormatting>
  <conditionalFormatting sqref="B92">
    <cfRule type="duplicateValues" dxfId="863" priority="1"/>
    <cfRule type="duplicateValues" dxfId="862" priority="2"/>
  </conditionalFormatting>
  <conditionalFormatting sqref="B16:C16">
    <cfRule type="duplicateValues" dxfId="861" priority="55"/>
  </conditionalFormatting>
  <conditionalFormatting sqref="B21:C21">
    <cfRule type="duplicateValues" dxfId="860" priority="56"/>
  </conditionalFormatting>
  <conditionalFormatting sqref="B63:C64 B14:C17 B9:C12 D7:D64 B58:C60 B51:C52 B41:C48 B54:C56 B38:C38 B20:C21 B23:C27 B35:C36 B29:C33">
    <cfRule type="duplicateValues" dxfId="859" priority="53"/>
  </conditionalFormatting>
  <conditionalFormatting sqref="B63:C69 D1:D3 B14:C17 B9:C12 B1:C6 D7:D69 B58:C60 B51:C52 B41:C48 B54:C56 B38:C38 B20:C21 B23:C27 B35:C36 B29:C33 B80:D85">
    <cfRule type="duplicateValues" dxfId="858" priority="52"/>
  </conditionalFormatting>
  <conditionalFormatting sqref="B72:D72">
    <cfRule type="duplicateValues" dxfId="857" priority="31"/>
    <cfRule type="duplicateValues" dxfId="856" priority="33"/>
    <cfRule type="duplicateValues" dxfId="855" priority="34"/>
  </conditionalFormatting>
  <conditionalFormatting sqref="B73:D73">
    <cfRule type="duplicateValues" dxfId="854" priority="26"/>
    <cfRule type="duplicateValues" dxfId="853" priority="28"/>
    <cfRule type="duplicateValues" dxfId="852" priority="29"/>
  </conditionalFormatting>
  <conditionalFormatting sqref="B74:D74">
    <cfRule type="duplicateValues" dxfId="851" priority="23"/>
    <cfRule type="duplicateValues" dxfId="850" priority="24"/>
    <cfRule type="duplicateValues" dxfId="849" priority="25"/>
  </conditionalFormatting>
  <conditionalFormatting sqref="B75:D75">
    <cfRule type="duplicateValues" dxfId="848" priority="18"/>
    <cfRule type="duplicateValues" dxfId="847" priority="19"/>
    <cfRule type="duplicateValues" dxfId="846" priority="20"/>
  </conditionalFormatting>
  <conditionalFormatting sqref="B76:D76">
    <cfRule type="duplicateValues" dxfId="845" priority="15"/>
    <cfRule type="duplicateValues" dxfId="844" priority="16"/>
    <cfRule type="duplicateValues" dxfId="843" priority="17"/>
  </conditionalFormatting>
  <conditionalFormatting sqref="B78:D79">
    <cfRule type="duplicateValues" dxfId="842" priority="9"/>
    <cfRule type="duplicateValues" dxfId="841" priority="10"/>
    <cfRule type="duplicateValues" dxfId="840" priority="11"/>
  </conditionalFormatting>
  <conditionalFormatting sqref="B80:D86 D1:D3 B9:C12 B14:C17 B1:C6 B63:C69 D7:D69 B58:C60 B51:C52 B41:C48 B54:C56 B38:C38 B20:C21 B23:C27 B35:C36 B29:C33 C88:D88 C90:D90 B89:D89 B93:D1048576 C92:D92 B91:D91">
    <cfRule type="duplicateValues" dxfId="839" priority="44"/>
  </conditionalFormatting>
  <conditionalFormatting sqref="B86:D86 C88:D88 C90:D90 B89:D89 B93:D1048576 C92:D92 B91:D91">
    <cfRule type="duplicateValues" dxfId="838" priority="54"/>
  </conditionalFormatting>
  <conditionalFormatting sqref="D4:D6">
    <cfRule type="duplicateValues" dxfId="837" priority="42"/>
    <cfRule type="duplicateValues" dxfId="836" priority="43"/>
  </conditionalFormatting>
  <conditionalFormatting sqref="D70">
    <cfRule type="duplicateValues" dxfId="835" priority="38"/>
    <cfRule type="duplicateValues" dxfId="834" priority="40"/>
    <cfRule type="duplicateValues" dxfId="833" priority="41"/>
  </conditionalFormatting>
  <conditionalFormatting sqref="D71">
    <cfRule type="duplicateValues" dxfId="832" priority="35"/>
    <cfRule type="duplicateValues" dxfId="831" priority="36"/>
    <cfRule type="duplicateValues" dxfId="830" priority="37"/>
  </conditionalFormatting>
  <conditionalFormatting sqref="D77">
    <cfRule type="duplicateValues" dxfId="829" priority="12"/>
    <cfRule type="duplicateValues" dxfId="828" priority="13"/>
    <cfRule type="duplicateValues" dxfId="827" priority="14"/>
  </conditionalFormatting>
  <conditionalFormatting sqref="E7:E63">
    <cfRule type="notContainsBlanks" dxfId="826" priority="46">
      <formula>LEN(TRIM(E7))&gt;0</formula>
    </cfRule>
  </conditionalFormatting>
  <conditionalFormatting sqref="E16 B16:C16">
    <cfRule type="duplicateValues" dxfId="825" priority="51"/>
  </conditionalFormatting>
  <conditionalFormatting sqref="E21 B21:C21">
    <cfRule type="duplicateValues" dxfId="824" priority="50"/>
  </conditionalFormatting>
  <conditionalFormatting sqref="E22">
    <cfRule type="duplicateValues" dxfId="823" priority="47"/>
    <cfRule type="duplicateValues" dxfId="822" priority="48"/>
    <cfRule type="duplicateValues" dxfId="821" priority="49"/>
  </conditionalFormatting>
  <conditionalFormatting sqref="E70">
    <cfRule type="notContainsBlanks" dxfId="820" priority="39">
      <formula>LEN(TRIM(E70))&gt;0</formula>
    </cfRule>
  </conditionalFormatting>
  <conditionalFormatting sqref="E72:E75">
    <cfRule type="notContainsBlanks" dxfId="819" priority="27">
      <formula>LEN(TRIM(E72))&gt;0</formula>
    </cfRule>
  </conditionalFormatting>
  <conditionalFormatting sqref="G7:G28">
    <cfRule type="notContainsBlanks" dxfId="818" priority="45">
      <formula>LEN(TRIM(G7))&gt;0</formula>
    </cfRule>
  </conditionalFormatting>
  <conditionalFormatting sqref="G30:G83">
    <cfRule type="notContainsBlanks" dxfId="817" priority="30">
      <formula>LEN(TRIM(G30))&gt;0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A09A-56FD-6D4B-81F3-DBF34ECB9328}">
  <sheetPr>
    <tabColor theme="8"/>
    <pageSetUpPr fitToPage="1"/>
  </sheetPr>
  <dimension ref="A1:J81"/>
  <sheetViews>
    <sheetView zoomScale="140" zoomScaleNormal="140" zoomScalePageLayoutView="140" workbookViewId="0">
      <pane xSplit="3" ySplit="4" topLeftCell="D51" activePane="bottomRight" state="frozen"/>
      <selection pane="topRight" activeCell="D1" sqref="D1"/>
      <selection pane="bottomLeft" activeCell="A5" sqref="A5"/>
      <selection pane="bottomRight" activeCell="G29" sqref="G29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5" width="12.1640625" style="3" customWidth="1"/>
    <col min="6" max="6" width="16" style="152" customWidth="1"/>
    <col min="7" max="7" width="33.8320312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146" t="s">
        <v>342</v>
      </c>
      <c r="G1" s="68" t="s">
        <v>223</v>
      </c>
    </row>
    <row r="2" spans="1:7" ht="13.5" customHeight="1">
      <c r="A2" s="1" t="s">
        <v>249</v>
      </c>
      <c r="F2" s="51" t="s">
        <v>599</v>
      </c>
      <c r="G2" s="123">
        <v>44621</v>
      </c>
    </row>
    <row r="3" spans="1:7" ht="14" customHeight="1">
      <c r="F3" s="461" t="s">
        <v>562</v>
      </c>
      <c r="G3" s="461"/>
    </row>
    <row r="4" spans="1:7" ht="14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168" t="s">
        <v>584</v>
      </c>
      <c r="G4" s="50" t="s">
        <v>227</v>
      </c>
    </row>
    <row r="5" spans="1:7">
      <c r="A5" s="7"/>
      <c r="B5" s="161" t="s">
        <v>556</v>
      </c>
      <c r="C5" s="161" t="s">
        <v>557</v>
      </c>
      <c r="D5" s="66">
        <v>2247</v>
      </c>
      <c r="E5" s="7"/>
      <c r="F5" s="160">
        <v>463.5</v>
      </c>
      <c r="G5" s="7"/>
    </row>
    <row r="6" spans="1:7">
      <c r="A6" s="7"/>
      <c r="B6" s="161" t="s">
        <v>585</v>
      </c>
      <c r="C6" s="161" t="s">
        <v>586</v>
      </c>
      <c r="D6" s="66">
        <v>2261</v>
      </c>
      <c r="E6" s="7"/>
      <c r="F6" s="160">
        <v>1488.01</v>
      </c>
      <c r="G6" s="161" t="s">
        <v>587</v>
      </c>
    </row>
    <row r="7" spans="1:7" s="159" customFormat="1">
      <c r="A7" s="153"/>
      <c r="B7" s="158" t="s">
        <v>462</v>
      </c>
      <c r="C7" s="158" t="s">
        <v>425</v>
      </c>
      <c r="D7" s="154">
        <v>2081</v>
      </c>
      <c r="E7" s="155">
        <v>1</v>
      </c>
      <c r="F7" s="156">
        <v>1016.08</v>
      </c>
      <c r="G7" s="158" t="s">
        <v>600</v>
      </c>
    </row>
    <row r="8" spans="1:7" s="159" customFormat="1">
      <c r="A8" s="153"/>
      <c r="B8" s="158" t="s">
        <v>570</v>
      </c>
      <c r="C8" s="158" t="s">
        <v>569</v>
      </c>
      <c r="D8" s="154">
        <v>2259</v>
      </c>
      <c r="E8" s="155">
        <v>1</v>
      </c>
      <c r="F8" s="156">
        <v>1196.3900000000001</v>
      </c>
      <c r="G8" s="158" t="s">
        <v>601</v>
      </c>
    </row>
    <row r="9" spans="1:7">
      <c r="A9" s="7"/>
      <c r="B9" s="29" t="s">
        <v>460</v>
      </c>
      <c r="C9" s="29" t="s">
        <v>426</v>
      </c>
      <c r="D9" s="37">
        <v>1593</v>
      </c>
      <c r="E9" s="7"/>
      <c r="F9" s="149">
        <v>1181.01</v>
      </c>
      <c r="G9" s="29"/>
    </row>
    <row r="10" spans="1:7">
      <c r="A10" s="7"/>
      <c r="B10" s="37" t="s">
        <v>463</v>
      </c>
      <c r="C10" s="37" t="s">
        <v>427</v>
      </c>
      <c r="D10" s="37">
        <v>2023</v>
      </c>
      <c r="E10" s="58"/>
      <c r="F10" s="149">
        <v>573.82000000000005</v>
      </c>
      <c r="G10" s="29"/>
    </row>
    <row r="11" spans="1:7" s="180" customFormat="1">
      <c r="A11" s="175"/>
      <c r="B11" s="182" t="s">
        <v>536</v>
      </c>
      <c r="C11" s="182" t="s">
        <v>537</v>
      </c>
      <c r="D11" s="177">
        <v>2238</v>
      </c>
      <c r="E11" s="183"/>
      <c r="F11" s="179">
        <v>566.4</v>
      </c>
      <c r="G11" s="176" t="s">
        <v>602</v>
      </c>
    </row>
    <row r="12" spans="1:7">
      <c r="A12" s="7"/>
      <c r="B12" s="29" t="s">
        <v>464</v>
      </c>
      <c r="C12" s="29" t="s">
        <v>428</v>
      </c>
      <c r="D12" s="37">
        <v>1721</v>
      </c>
      <c r="E12" s="7">
        <v>1</v>
      </c>
      <c r="F12" s="149">
        <v>1670</v>
      </c>
      <c r="G12" s="29"/>
    </row>
    <row r="13" spans="1:7">
      <c r="A13" s="7"/>
      <c r="B13" s="29" t="s">
        <v>464</v>
      </c>
      <c r="C13" s="29" t="s">
        <v>429</v>
      </c>
      <c r="D13" s="37">
        <v>2123</v>
      </c>
      <c r="E13" s="7"/>
      <c r="F13" s="149">
        <v>577.52</v>
      </c>
      <c r="G13" s="29"/>
    </row>
    <row r="14" spans="1:7">
      <c r="A14" s="7"/>
      <c r="B14" s="37" t="s">
        <v>465</v>
      </c>
      <c r="C14" s="37" t="s">
        <v>430</v>
      </c>
      <c r="D14" s="37">
        <v>1970</v>
      </c>
      <c r="E14" s="58">
        <v>2</v>
      </c>
      <c r="F14" s="149">
        <v>1508.79</v>
      </c>
      <c r="G14" s="29"/>
    </row>
    <row r="15" spans="1:7" s="180" customFormat="1">
      <c r="A15" s="175"/>
      <c r="B15" s="176" t="s">
        <v>466</v>
      </c>
      <c r="C15" s="176" t="s">
        <v>431</v>
      </c>
      <c r="D15" s="177">
        <v>1794</v>
      </c>
      <c r="E15" s="178">
        <v>3</v>
      </c>
      <c r="F15" s="179">
        <v>2183.1</v>
      </c>
      <c r="G15" s="176" t="s">
        <v>603</v>
      </c>
    </row>
    <row r="16" spans="1:7" s="159" customFormat="1">
      <c r="A16" s="7"/>
      <c r="B16" s="37" t="s">
        <v>467</v>
      </c>
      <c r="C16" s="37" t="s">
        <v>501</v>
      </c>
      <c r="D16" s="37">
        <v>2201</v>
      </c>
      <c r="E16" s="58"/>
      <c r="F16" s="149">
        <v>989.58</v>
      </c>
      <c r="G16" s="29"/>
    </row>
    <row r="17" spans="1:7" s="133" customFormat="1">
      <c r="A17" s="7"/>
      <c r="B17" s="37" t="s">
        <v>468</v>
      </c>
      <c r="C17" s="37" t="s">
        <v>432</v>
      </c>
      <c r="D17" s="37">
        <v>2194</v>
      </c>
      <c r="E17" s="58"/>
      <c r="F17" s="149">
        <v>485.75</v>
      </c>
      <c r="G17" s="29"/>
    </row>
    <row r="18" spans="1:7">
      <c r="A18" s="7"/>
      <c r="B18" s="37" t="s">
        <v>542</v>
      </c>
      <c r="C18" s="37" t="s">
        <v>543</v>
      </c>
      <c r="D18" s="37">
        <v>2182</v>
      </c>
      <c r="E18" s="58">
        <v>1</v>
      </c>
      <c r="F18" s="149">
        <v>1497.11</v>
      </c>
      <c r="G18" s="29"/>
    </row>
    <row r="19" spans="1:7">
      <c r="A19" s="7"/>
      <c r="B19" s="29" t="s">
        <v>469</v>
      </c>
      <c r="C19" s="29" t="s">
        <v>434</v>
      </c>
      <c r="D19" s="37">
        <v>1708</v>
      </c>
      <c r="E19" s="7"/>
      <c r="F19" s="149">
        <v>1368.26</v>
      </c>
      <c r="G19" s="29"/>
    </row>
    <row r="20" spans="1:7">
      <c r="A20" s="7"/>
      <c r="B20" s="29" t="s">
        <v>436</v>
      </c>
      <c r="C20" s="29" t="s">
        <v>572</v>
      </c>
      <c r="D20" s="37">
        <v>2250</v>
      </c>
      <c r="E20" s="7">
        <v>2</v>
      </c>
      <c r="F20" s="149">
        <v>1314.66</v>
      </c>
      <c r="G20" s="29" t="s">
        <v>593</v>
      </c>
    </row>
    <row r="21" spans="1:7">
      <c r="A21" s="7"/>
      <c r="B21" s="29" t="s">
        <v>436</v>
      </c>
      <c r="C21" s="29" t="s">
        <v>503</v>
      </c>
      <c r="D21" s="37">
        <v>2120</v>
      </c>
      <c r="E21" s="7">
        <v>1</v>
      </c>
      <c r="F21" s="149">
        <v>1285.46</v>
      </c>
      <c r="G21" s="29"/>
    </row>
    <row r="22" spans="1:7">
      <c r="A22" s="7"/>
      <c r="B22" s="29" t="s">
        <v>437</v>
      </c>
      <c r="C22" s="29" t="s">
        <v>504</v>
      </c>
      <c r="D22" s="37">
        <v>2193</v>
      </c>
      <c r="E22" s="7"/>
      <c r="F22" s="149">
        <v>555.28</v>
      </c>
      <c r="G22" s="29"/>
    </row>
    <row r="23" spans="1:7">
      <c r="A23" s="7"/>
      <c r="B23" s="61" t="s">
        <v>471</v>
      </c>
      <c r="C23" s="61" t="s">
        <v>438</v>
      </c>
      <c r="D23" s="37">
        <v>640</v>
      </c>
      <c r="E23" s="62"/>
      <c r="F23" s="149">
        <v>1081.3499999999999</v>
      </c>
      <c r="G23" s="29"/>
    </row>
    <row r="24" spans="1:7">
      <c r="A24" s="7"/>
      <c r="B24" s="29" t="s">
        <v>439</v>
      </c>
      <c r="C24" s="29" t="s">
        <v>505</v>
      </c>
      <c r="D24" s="37">
        <v>901</v>
      </c>
      <c r="E24" s="62"/>
      <c r="F24" s="149">
        <v>1390.5</v>
      </c>
      <c r="G24" s="29"/>
    </row>
    <row r="25" spans="1:7" s="159" customFormat="1">
      <c r="A25" s="153"/>
      <c r="B25" s="158" t="s">
        <v>472</v>
      </c>
      <c r="C25" s="158" t="s">
        <v>574</v>
      </c>
      <c r="D25" s="154">
        <v>2234</v>
      </c>
      <c r="E25" s="171"/>
      <c r="F25" s="156">
        <v>592.36</v>
      </c>
      <c r="G25" s="29" t="s">
        <v>593</v>
      </c>
    </row>
    <row r="26" spans="1:7">
      <c r="A26" s="7"/>
      <c r="B26" s="29" t="s">
        <v>472</v>
      </c>
      <c r="C26" s="29" t="s">
        <v>440</v>
      </c>
      <c r="D26" s="37">
        <v>1741</v>
      </c>
      <c r="E26" s="7"/>
      <c r="F26" s="149">
        <v>904.76</v>
      </c>
      <c r="G26" s="29"/>
    </row>
    <row r="27" spans="1:7">
      <c r="A27" s="7"/>
      <c r="B27" s="37" t="s">
        <v>472</v>
      </c>
      <c r="C27" s="37" t="s">
        <v>441</v>
      </c>
      <c r="D27" s="37">
        <v>1757</v>
      </c>
      <c r="E27" s="58">
        <v>2</v>
      </c>
      <c r="F27" s="150">
        <v>1550.59</v>
      </c>
      <c r="G27" s="29"/>
    </row>
    <row r="28" spans="1:7">
      <c r="A28" s="7"/>
      <c r="B28" s="37" t="s">
        <v>473</v>
      </c>
      <c r="C28" s="37" t="s">
        <v>442</v>
      </c>
      <c r="D28" s="37">
        <v>2057</v>
      </c>
      <c r="E28" s="58"/>
      <c r="F28" s="149">
        <v>1368.26</v>
      </c>
      <c r="G28" s="29"/>
    </row>
    <row r="29" spans="1:7">
      <c r="A29" s="7"/>
      <c r="B29" s="37" t="s">
        <v>473</v>
      </c>
      <c r="C29" s="37" t="s">
        <v>443</v>
      </c>
      <c r="D29" s="37">
        <v>1210</v>
      </c>
      <c r="E29" s="58"/>
      <c r="F29" s="149">
        <v>1302.44</v>
      </c>
      <c r="G29" s="29"/>
    </row>
    <row r="30" spans="1:7">
      <c r="A30" s="7"/>
      <c r="B30" s="29" t="s">
        <v>444</v>
      </c>
      <c r="C30" s="29" t="s">
        <v>506</v>
      </c>
      <c r="D30" s="37">
        <v>1460</v>
      </c>
      <c r="E30" s="7"/>
      <c r="F30" s="149">
        <v>757.83</v>
      </c>
    </row>
    <row r="31" spans="1:7" s="159" customFormat="1">
      <c r="A31" s="153"/>
      <c r="B31" s="158" t="s">
        <v>474</v>
      </c>
      <c r="C31" s="158" t="s">
        <v>576</v>
      </c>
      <c r="D31" s="154">
        <v>2248</v>
      </c>
      <c r="E31" s="153">
        <v>3</v>
      </c>
      <c r="F31" s="156">
        <v>1862.53</v>
      </c>
      <c r="G31" s="29" t="s">
        <v>593</v>
      </c>
    </row>
    <row r="32" spans="1:7">
      <c r="A32" s="7"/>
      <c r="B32" s="29" t="s">
        <v>474</v>
      </c>
      <c r="C32" s="29" t="s">
        <v>507</v>
      </c>
      <c r="D32" s="37">
        <v>2062</v>
      </c>
      <c r="E32" s="7">
        <v>1</v>
      </c>
      <c r="F32" s="149">
        <v>931.26</v>
      </c>
      <c r="G32" s="29"/>
    </row>
    <row r="33" spans="1:7">
      <c r="A33" s="7"/>
      <c r="B33" s="29" t="s">
        <v>474</v>
      </c>
      <c r="C33" s="29" t="s">
        <v>508</v>
      </c>
      <c r="D33" s="37">
        <v>2121</v>
      </c>
      <c r="E33" s="7"/>
      <c r="F33" s="149">
        <v>548.32000000000005</v>
      </c>
      <c r="G33" s="29"/>
    </row>
    <row r="34" spans="1:7" s="180" customFormat="1">
      <c r="A34" s="175"/>
      <c r="B34" s="176" t="s">
        <v>445</v>
      </c>
      <c r="C34" s="176" t="s">
        <v>509</v>
      </c>
      <c r="D34" s="177">
        <v>2030</v>
      </c>
      <c r="E34" s="178"/>
      <c r="F34" s="179">
        <v>1033.6099999999999</v>
      </c>
      <c r="G34" s="176" t="s">
        <v>595</v>
      </c>
    </row>
    <row r="35" spans="1:7">
      <c r="A35" s="7"/>
      <c r="B35" s="37" t="s">
        <v>475</v>
      </c>
      <c r="C35" s="37" t="s">
        <v>446</v>
      </c>
      <c r="D35" s="37">
        <v>2003</v>
      </c>
      <c r="E35" s="58"/>
      <c r="F35" s="149">
        <v>566.4</v>
      </c>
      <c r="G35" s="29"/>
    </row>
    <row r="36" spans="1:7">
      <c r="A36" s="7"/>
      <c r="B36" s="29" t="s">
        <v>476</v>
      </c>
      <c r="C36" s="29" t="s">
        <v>447</v>
      </c>
      <c r="D36" s="37">
        <v>2019</v>
      </c>
      <c r="E36" s="58">
        <v>1</v>
      </c>
      <c r="F36" s="149">
        <v>972.05</v>
      </c>
      <c r="G36" s="29"/>
    </row>
    <row r="37" spans="1:7" s="133" customFormat="1">
      <c r="A37" s="7"/>
      <c r="B37" s="29" t="s">
        <v>478</v>
      </c>
      <c r="C37" s="29" t="s">
        <v>448</v>
      </c>
      <c r="D37" s="37">
        <v>2172</v>
      </c>
      <c r="E37" s="58"/>
      <c r="F37" s="149">
        <v>1368.26</v>
      </c>
      <c r="G37" s="29"/>
    </row>
    <row r="38" spans="1:7">
      <c r="A38" s="145"/>
      <c r="B38" s="37" t="s">
        <v>497</v>
      </c>
      <c r="C38" s="37" t="s">
        <v>461</v>
      </c>
      <c r="D38" s="37">
        <v>2082</v>
      </c>
      <c r="E38" s="58"/>
      <c r="F38" s="149">
        <v>555.28</v>
      </c>
      <c r="G38" s="29"/>
    </row>
    <row r="39" spans="1:7">
      <c r="A39" s="7"/>
      <c r="B39" s="29" t="s">
        <v>479</v>
      </c>
      <c r="C39" s="29" t="s">
        <v>449</v>
      </c>
      <c r="D39" s="37">
        <v>2119</v>
      </c>
      <c r="E39" s="7"/>
      <c r="F39" s="149">
        <v>465.36</v>
      </c>
      <c r="G39" s="29"/>
    </row>
    <row r="40" spans="1:7" ht="15">
      <c r="A40" s="7"/>
      <c r="B40" s="144" t="s">
        <v>480</v>
      </c>
      <c r="C40" s="144" t="s">
        <v>511</v>
      </c>
      <c r="D40" s="37">
        <v>2231</v>
      </c>
      <c r="E40" s="7">
        <v>3</v>
      </c>
      <c r="F40" s="149">
        <v>3176.01</v>
      </c>
      <c r="G40" s="29"/>
    </row>
    <row r="41" spans="1:7">
      <c r="A41" s="7"/>
      <c r="B41" s="29" t="s">
        <v>481</v>
      </c>
      <c r="C41" s="29" t="s">
        <v>450</v>
      </c>
      <c r="D41" s="37">
        <v>1975</v>
      </c>
      <c r="E41" s="7"/>
      <c r="F41" s="149">
        <v>1140.22</v>
      </c>
      <c r="G41" s="29"/>
    </row>
    <row r="42" spans="1:7">
      <c r="A42" s="7"/>
      <c r="B42" s="29" t="s">
        <v>482</v>
      </c>
      <c r="C42" s="29" t="s">
        <v>512</v>
      </c>
      <c r="D42" s="37">
        <v>2203</v>
      </c>
      <c r="E42" s="7"/>
      <c r="F42" s="149">
        <v>562.69000000000005</v>
      </c>
      <c r="G42" s="29"/>
    </row>
    <row r="43" spans="1:7" s="133" customFormat="1">
      <c r="A43" s="7"/>
      <c r="B43" s="29" t="s">
        <v>547</v>
      </c>
      <c r="C43" s="29" t="s">
        <v>548</v>
      </c>
      <c r="D43" s="37">
        <v>2245</v>
      </c>
      <c r="E43" s="7"/>
      <c r="F43" s="149">
        <v>1273.33</v>
      </c>
      <c r="G43" s="29"/>
    </row>
    <row r="44" spans="1:7">
      <c r="A44" s="7"/>
      <c r="B44" s="37" t="s">
        <v>483</v>
      </c>
      <c r="C44" s="37" t="s">
        <v>452</v>
      </c>
      <c r="D44" s="37">
        <v>2001</v>
      </c>
      <c r="E44" s="58"/>
      <c r="F44" s="149">
        <v>1033.6099999999999</v>
      </c>
      <c r="G44" s="29"/>
    </row>
    <row r="45" spans="1:7">
      <c r="A45" s="7"/>
      <c r="B45" s="37" t="s">
        <v>484</v>
      </c>
      <c r="C45" s="37" t="s">
        <v>514</v>
      </c>
      <c r="D45" s="37">
        <v>2160</v>
      </c>
      <c r="E45" s="58">
        <v>1</v>
      </c>
      <c r="F45" s="149">
        <v>1544.85</v>
      </c>
      <c r="G45" s="29"/>
    </row>
    <row r="46" spans="1:7">
      <c r="A46" s="7"/>
      <c r="B46" s="29" t="s">
        <v>551</v>
      </c>
      <c r="C46" s="29" t="s">
        <v>552</v>
      </c>
      <c r="D46" s="37">
        <v>2246</v>
      </c>
      <c r="E46" s="58"/>
      <c r="F46" s="149">
        <v>537.20000000000005</v>
      </c>
      <c r="G46" s="29"/>
    </row>
    <row r="47" spans="1:7" s="133" customFormat="1">
      <c r="A47" s="7"/>
      <c r="B47" s="29" t="s">
        <v>485</v>
      </c>
      <c r="C47" s="29" t="s">
        <v>515</v>
      </c>
      <c r="D47" s="37">
        <v>2018</v>
      </c>
      <c r="E47" s="7"/>
      <c r="F47" s="149">
        <v>1331.64</v>
      </c>
      <c r="G47" s="29"/>
    </row>
    <row r="48" spans="1:7">
      <c r="A48" s="7"/>
      <c r="B48" s="37" t="s">
        <v>486</v>
      </c>
      <c r="C48" s="37" t="s">
        <v>453</v>
      </c>
      <c r="D48" s="37">
        <v>1692</v>
      </c>
      <c r="E48" s="58">
        <v>2</v>
      </c>
      <c r="F48" s="149">
        <v>1544.85</v>
      </c>
      <c r="G48" s="29"/>
    </row>
    <row r="49" spans="1:7" s="133" customFormat="1">
      <c r="A49" s="7"/>
      <c r="B49" s="37" t="s">
        <v>486</v>
      </c>
      <c r="C49" s="37" t="s">
        <v>454</v>
      </c>
      <c r="D49" s="37">
        <v>2027</v>
      </c>
      <c r="E49" s="58"/>
      <c r="F49" s="149">
        <v>555.28</v>
      </c>
      <c r="G49" s="29"/>
    </row>
    <row r="50" spans="1:7">
      <c r="A50" s="7"/>
      <c r="B50" s="29" t="s">
        <v>487</v>
      </c>
      <c r="C50" s="29" t="s">
        <v>516</v>
      </c>
      <c r="D50" s="37">
        <v>2060</v>
      </c>
      <c r="E50" s="58"/>
      <c r="F50" s="149">
        <v>827.82</v>
      </c>
      <c r="G50" s="29"/>
    </row>
    <row r="51" spans="1:7">
      <c r="A51" s="7"/>
      <c r="B51" s="29" t="s">
        <v>488</v>
      </c>
      <c r="C51" s="29" t="s">
        <v>517</v>
      </c>
      <c r="D51" s="37">
        <v>1649</v>
      </c>
      <c r="E51" s="58"/>
      <c r="F51" s="149">
        <v>1390.5</v>
      </c>
      <c r="G51" s="29"/>
    </row>
    <row r="52" spans="1:7">
      <c r="A52" s="7"/>
      <c r="B52" s="29" t="s">
        <v>489</v>
      </c>
      <c r="C52" s="29" t="s">
        <v>455</v>
      </c>
      <c r="D52" s="37">
        <v>2090</v>
      </c>
      <c r="E52" s="58"/>
      <c r="F52" s="149">
        <v>1033.6099999999999</v>
      </c>
      <c r="G52" s="29"/>
    </row>
    <row r="53" spans="1:7">
      <c r="A53" s="7"/>
      <c r="B53" s="29" t="s">
        <v>490</v>
      </c>
      <c r="C53" s="29" t="s">
        <v>518</v>
      </c>
      <c r="D53" s="37">
        <v>1050</v>
      </c>
      <c r="E53" s="58"/>
      <c r="F53" s="149">
        <v>1390.5</v>
      </c>
      <c r="G53" s="29"/>
    </row>
    <row r="54" spans="1:7">
      <c r="A54" s="7"/>
      <c r="B54" s="29" t="s">
        <v>491</v>
      </c>
      <c r="C54" s="29" t="s">
        <v>456</v>
      </c>
      <c r="D54" s="37">
        <v>1964</v>
      </c>
      <c r="E54" s="58"/>
      <c r="F54" s="149">
        <v>669.3</v>
      </c>
      <c r="G54" s="29"/>
    </row>
    <row r="55" spans="1:7">
      <c r="A55" s="7"/>
      <c r="B55" s="37" t="s">
        <v>492</v>
      </c>
      <c r="C55" s="37" t="s">
        <v>519</v>
      </c>
      <c r="D55" s="37">
        <v>1981</v>
      </c>
      <c r="E55" s="58"/>
      <c r="F55" s="149">
        <v>573.82000000000005</v>
      </c>
      <c r="G55" s="29"/>
    </row>
    <row r="56" spans="1:7">
      <c r="A56" s="7"/>
      <c r="B56" s="29" t="s">
        <v>492</v>
      </c>
      <c r="C56" s="29" t="s">
        <v>520</v>
      </c>
      <c r="D56" s="37">
        <v>1662</v>
      </c>
      <c r="E56" s="58">
        <v>1</v>
      </c>
      <c r="F56" s="149">
        <v>1158.75</v>
      </c>
      <c r="G56" s="29"/>
    </row>
    <row r="57" spans="1:7">
      <c r="A57" s="7"/>
      <c r="B57" s="37" t="s">
        <v>493</v>
      </c>
      <c r="C57" s="37" t="s">
        <v>457</v>
      </c>
      <c r="D57" s="37">
        <v>1630</v>
      </c>
      <c r="E57" s="58">
        <v>1</v>
      </c>
      <c r="F57" s="149">
        <v>1409.05</v>
      </c>
      <c r="G57" s="29"/>
    </row>
    <row r="58" spans="1:7">
      <c r="A58" s="7"/>
      <c r="B58" s="29" t="s">
        <v>458</v>
      </c>
      <c r="C58" s="29" t="s">
        <v>521</v>
      </c>
      <c r="D58" s="37">
        <v>2006</v>
      </c>
      <c r="E58" s="7"/>
      <c r="F58" s="149">
        <v>566.4</v>
      </c>
      <c r="G58" s="29"/>
    </row>
    <row r="59" spans="1:7">
      <c r="A59" s="7"/>
      <c r="B59" s="37" t="s">
        <v>494</v>
      </c>
      <c r="C59" s="37" t="s">
        <v>522</v>
      </c>
      <c r="D59" s="37">
        <v>2212</v>
      </c>
      <c r="E59" s="7"/>
      <c r="F59" s="149">
        <v>548.32000000000005</v>
      </c>
      <c r="G59" s="29"/>
    </row>
    <row r="60" spans="1:7">
      <c r="A60" s="7"/>
      <c r="B60" s="29" t="s">
        <v>534</v>
      </c>
      <c r="C60" s="29" t="s">
        <v>533</v>
      </c>
      <c r="D60" s="37">
        <v>2010</v>
      </c>
      <c r="E60" s="58">
        <v>1</v>
      </c>
      <c r="F60" s="149">
        <v>1254.24</v>
      </c>
      <c r="G60" s="29"/>
    </row>
    <row r="61" spans="1:7">
      <c r="A61" s="7"/>
      <c r="B61" s="29" t="s">
        <v>534</v>
      </c>
      <c r="C61" s="29" t="s">
        <v>580</v>
      </c>
      <c r="D61" s="37">
        <v>2187</v>
      </c>
      <c r="E61" s="58">
        <v>2</v>
      </c>
      <c r="F61" s="149">
        <v>1526.49</v>
      </c>
      <c r="G61" s="29"/>
    </row>
    <row r="62" spans="1:7">
      <c r="A62" s="7"/>
      <c r="B62" s="37" t="s">
        <v>495</v>
      </c>
      <c r="C62" s="37" t="s">
        <v>459</v>
      </c>
      <c r="D62" s="37">
        <v>2095</v>
      </c>
      <c r="E62" s="7"/>
      <c r="F62" s="149">
        <v>537.20000000000005</v>
      </c>
      <c r="G62" s="29"/>
    </row>
    <row r="63" spans="1:7" s="159" customFormat="1">
      <c r="A63" s="153"/>
      <c r="B63" s="154" t="s">
        <v>495</v>
      </c>
      <c r="C63" s="154" t="s">
        <v>566</v>
      </c>
      <c r="D63" s="154">
        <v>2064</v>
      </c>
      <c r="E63" s="153">
        <v>3</v>
      </c>
      <c r="F63" s="181">
        <v>1910.73</v>
      </c>
      <c r="G63" s="158" t="s">
        <v>597</v>
      </c>
    </row>
    <row r="64" spans="1:7">
      <c r="A64" s="7"/>
      <c r="B64" s="37" t="s">
        <v>530</v>
      </c>
      <c r="C64" s="37" t="s">
        <v>529</v>
      </c>
      <c r="D64" s="37">
        <v>2089</v>
      </c>
      <c r="E64" s="58"/>
      <c r="F64" s="149">
        <v>537.20000000000005</v>
      </c>
      <c r="G64" s="29"/>
    </row>
    <row r="65" spans="1:10">
      <c r="A65" s="113"/>
      <c r="B65" s="102"/>
      <c r="C65" s="102"/>
      <c r="D65" s="102"/>
      <c r="E65" s="115"/>
      <c r="F65" s="117"/>
      <c r="G65" s="114"/>
      <c r="I65" s="15"/>
      <c r="J65" s="15"/>
    </row>
    <row r="66" spans="1:10">
      <c r="A66" s="458" t="s">
        <v>315</v>
      </c>
      <c r="B66" s="459"/>
      <c r="C66" s="459"/>
      <c r="D66" s="459"/>
      <c r="E66" s="460"/>
      <c r="F66" s="111">
        <f>SUM(F5:F64)</f>
        <v>65205.49</v>
      </c>
      <c r="G66" s="112"/>
    </row>
    <row r="67" spans="1:10">
      <c r="A67" s="431" t="s">
        <v>258</v>
      </c>
      <c r="B67" s="432"/>
      <c r="C67" s="141"/>
      <c r="D67" s="141"/>
      <c r="E67" s="7">
        <f>COUNTA(B7:B65)</f>
        <v>58</v>
      </c>
      <c r="F67" s="52"/>
      <c r="G67" s="29"/>
    </row>
    <row r="68" spans="1:10">
      <c r="A68" s="431" t="s">
        <v>242</v>
      </c>
      <c r="B68" s="432"/>
      <c r="C68" s="141"/>
      <c r="D68" s="141"/>
      <c r="E68" s="58">
        <v>17</v>
      </c>
      <c r="F68" s="52"/>
      <c r="G68" s="29"/>
    </row>
    <row r="69" spans="1:10">
      <c r="A69" s="433" t="s">
        <v>246</v>
      </c>
      <c r="B69" s="434"/>
      <c r="C69" s="92"/>
      <c r="D69" s="92"/>
      <c r="E69" s="86">
        <f>E67+E68</f>
        <v>75</v>
      </c>
      <c r="F69" s="52"/>
      <c r="G69" s="29"/>
    </row>
    <row r="70" spans="1:10">
      <c r="A70" s="425" t="s">
        <v>257</v>
      </c>
      <c r="B70" s="426"/>
      <c r="C70" s="426"/>
      <c r="D70" s="426"/>
      <c r="E70" s="427"/>
      <c r="F70" s="77"/>
      <c r="G70" s="75"/>
      <c r="I70" s="15"/>
    </row>
    <row r="71" spans="1:10">
      <c r="A71" s="165"/>
      <c r="B71" s="166"/>
      <c r="C71" s="166"/>
      <c r="D71" s="166"/>
      <c r="E71" s="167"/>
      <c r="F71" s="77"/>
      <c r="G71" s="75"/>
      <c r="I71" s="15"/>
    </row>
    <row r="72" spans="1:10" ht="12" customHeight="1">
      <c r="A72" s="428" t="s">
        <v>265</v>
      </c>
      <c r="B72" s="429"/>
      <c r="C72" s="429"/>
      <c r="D72" s="429"/>
      <c r="E72" s="430"/>
      <c r="F72" s="83"/>
      <c r="G72" s="75"/>
    </row>
    <row r="73" spans="1:10" ht="12" customHeight="1">
      <c r="A73" s="172"/>
      <c r="B73" s="173"/>
      <c r="C73" s="173"/>
      <c r="D73" s="429" t="s">
        <v>598</v>
      </c>
      <c r="E73" s="430"/>
      <c r="F73" s="83"/>
      <c r="G73" s="75"/>
    </row>
    <row r="74" spans="1:10">
      <c r="A74" s="422" t="s">
        <v>37</v>
      </c>
      <c r="B74" s="423"/>
      <c r="C74" s="423"/>
      <c r="D74" s="423"/>
      <c r="E74" s="424"/>
      <c r="F74" s="80">
        <f>F66+F72+F73</f>
        <v>65205.49</v>
      </c>
      <c r="G74" s="84"/>
    </row>
    <row r="75" spans="1:10" ht="18">
      <c r="E75" s="151" t="s">
        <v>250</v>
      </c>
      <c r="F75" s="151"/>
      <c r="G75" s="118">
        <v>44624</v>
      </c>
    </row>
    <row r="76" spans="1:10" ht="18">
      <c r="E76" s="151" t="s">
        <v>251</v>
      </c>
      <c r="F76" s="151"/>
      <c r="G76" s="119" t="s">
        <v>337</v>
      </c>
    </row>
    <row r="81" spans="1:10" s="3" customFormat="1">
      <c r="A81"/>
      <c r="B81"/>
      <c r="C81"/>
      <c r="D81"/>
      <c r="F81" s="152"/>
      <c r="G81"/>
      <c r="H81"/>
      <c r="I81"/>
      <c r="J81"/>
    </row>
  </sheetData>
  <autoFilter ref="A4:G4" xr:uid="{EC283F26-1258-B84E-AE05-5C35489C3CC6}">
    <sortState xmlns:xlrd2="http://schemas.microsoft.com/office/spreadsheetml/2017/richdata2" ref="A5:G64">
      <sortCondition ref="B4:B64"/>
    </sortState>
  </autoFilter>
  <mergeCells count="9">
    <mergeCell ref="A72:E72"/>
    <mergeCell ref="D73:E73"/>
    <mergeCell ref="A74:E74"/>
    <mergeCell ref="F3:G3"/>
    <mergeCell ref="A66:E66"/>
    <mergeCell ref="A67:B67"/>
    <mergeCell ref="A68:B68"/>
    <mergeCell ref="A69:B69"/>
    <mergeCell ref="A70:E70"/>
  </mergeCells>
  <conditionalFormatting sqref="B17:C17">
    <cfRule type="duplicateValues" dxfId="816" priority="59"/>
  </conditionalFormatting>
  <conditionalFormatting sqref="B22:C22">
    <cfRule type="duplicateValues" dxfId="815" priority="60"/>
  </conditionalFormatting>
  <conditionalFormatting sqref="B64:C65 B15:C18 B10:C13 D7:D65 B59:C61 B52:C53 B42:C49 B55:C57 B39:C39 B21:C22 B24:C28 B36:C37 B30:C34">
    <cfRule type="duplicateValues" dxfId="814" priority="57"/>
  </conditionalFormatting>
  <conditionalFormatting sqref="B72:D76 B64:C71 D1:D3 B15:C18 B10:C13 B1:C6 D7:D71 B59:C61 B52:C53 B42:C49 B55:C57 B39:C39 B21:C22 B24:C28 B36:C37 B30:C34">
    <cfRule type="duplicateValues" dxfId="813" priority="56"/>
  </conditionalFormatting>
  <conditionalFormatting sqref="B77:D77 B79:D1048576">
    <cfRule type="duplicateValues" dxfId="812" priority="58"/>
  </conditionalFormatting>
  <conditionalFormatting sqref="B79:D1048576 B72:D77 D1:D3 B10:C13 B15:C18 B1:C6 B64:C71 D7:D71 B59:C61 B52:C53 B42:C49 B55:C57 B39:C39 B21:C22 B24:C28 B36:C37 B30:C34">
    <cfRule type="duplicateValues" dxfId="811" priority="48"/>
  </conditionalFormatting>
  <conditionalFormatting sqref="D4:D6">
    <cfRule type="duplicateValues" dxfId="810" priority="46"/>
    <cfRule type="duplicateValues" dxfId="809" priority="47"/>
  </conditionalFormatting>
  <conditionalFormatting sqref="E7:E64">
    <cfRule type="notContainsBlanks" dxfId="808" priority="50">
      <formula>LEN(TRIM(E7))&gt;0</formula>
    </cfRule>
  </conditionalFormatting>
  <conditionalFormatting sqref="E17 B17:C17">
    <cfRule type="duplicateValues" dxfId="807" priority="55"/>
  </conditionalFormatting>
  <conditionalFormatting sqref="E22 B22:C22">
    <cfRule type="duplicateValues" dxfId="806" priority="54"/>
  </conditionalFormatting>
  <conditionalFormatting sqref="E23">
    <cfRule type="duplicateValues" dxfId="805" priority="51"/>
    <cfRule type="duplicateValues" dxfId="804" priority="52"/>
    <cfRule type="duplicateValues" dxfId="803" priority="53"/>
  </conditionalFormatting>
  <conditionalFormatting sqref="G7:G29 G31:G74">
    <cfRule type="notContainsBlanks" dxfId="802" priority="49">
      <formula>LEN(TRIM(G7))&gt;0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E283-AEA4-C845-AE63-AAEC541D27D6}">
  <sheetPr>
    <tabColor theme="8"/>
    <pageSetUpPr fitToPage="1"/>
  </sheetPr>
  <dimension ref="A1:J91"/>
  <sheetViews>
    <sheetView zoomScale="150" zoomScaleNormal="150" zoomScalePageLayoutView="140" workbookViewId="0">
      <pane xSplit="3" ySplit="4" topLeftCell="D56" activePane="bottomRight" state="frozen"/>
      <selection pane="topRight" activeCell="D1" sqref="D1"/>
      <selection pane="bottomLeft" activeCell="A5" sqref="A5"/>
      <selection pane="bottomRight" activeCell="D83" sqref="D83:F83"/>
    </sheetView>
  </sheetViews>
  <sheetFormatPr baseColWidth="10" defaultColWidth="8.83203125" defaultRowHeight="13"/>
  <cols>
    <col min="1" max="1" width="5.6640625" customWidth="1"/>
    <col min="2" max="2" width="18.33203125" customWidth="1"/>
    <col min="3" max="3" width="17.1640625" customWidth="1"/>
    <col min="4" max="4" width="10.83203125" customWidth="1"/>
    <col min="5" max="5" width="12.1640625" style="3" customWidth="1"/>
    <col min="6" max="6" width="16" style="152" customWidth="1"/>
    <col min="7" max="7" width="33.8320312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146" t="s">
        <v>342</v>
      </c>
      <c r="G1" s="68" t="s">
        <v>223</v>
      </c>
    </row>
    <row r="2" spans="1:7" ht="13.5" customHeight="1">
      <c r="A2" s="1" t="s">
        <v>249</v>
      </c>
      <c r="F2" s="51" t="s">
        <v>583</v>
      </c>
      <c r="G2" s="123">
        <v>44593</v>
      </c>
    </row>
    <row r="3" spans="1:7" ht="14" customHeight="1">
      <c r="F3" s="461" t="s">
        <v>562</v>
      </c>
      <c r="G3" s="461"/>
    </row>
    <row r="4" spans="1:7" ht="14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168" t="s">
        <v>584</v>
      </c>
      <c r="G4" s="50" t="s">
        <v>227</v>
      </c>
    </row>
    <row r="5" spans="1:7">
      <c r="A5" s="7"/>
      <c r="B5" s="161" t="s">
        <v>556</v>
      </c>
      <c r="C5" s="161" t="s">
        <v>557</v>
      </c>
      <c r="D5" s="66">
        <v>2247</v>
      </c>
      <c r="E5" s="7"/>
      <c r="F5" s="160">
        <v>463.5</v>
      </c>
      <c r="G5" s="7"/>
    </row>
    <row r="6" spans="1:7" s="133" customFormat="1">
      <c r="A6" s="130"/>
      <c r="B6" s="162" t="s">
        <v>585</v>
      </c>
      <c r="C6" s="162" t="s">
        <v>586</v>
      </c>
      <c r="D6" s="163">
        <v>2261</v>
      </c>
      <c r="E6" s="130"/>
      <c r="F6" s="164">
        <v>1488.01</v>
      </c>
      <c r="G6" s="162" t="s">
        <v>587</v>
      </c>
    </row>
    <row r="7" spans="1:7" s="159" customFormat="1">
      <c r="A7" s="153"/>
      <c r="B7" s="158" t="s">
        <v>462</v>
      </c>
      <c r="C7" s="158" t="s">
        <v>425</v>
      </c>
      <c r="D7" s="154">
        <v>2081</v>
      </c>
      <c r="E7" s="155">
        <v>1</v>
      </c>
      <c r="F7" s="156">
        <v>1016.08</v>
      </c>
      <c r="G7" s="158" t="s">
        <v>589</v>
      </c>
    </row>
    <row r="8" spans="1:7" s="159" customFormat="1">
      <c r="A8" s="153"/>
      <c r="B8" s="158" t="s">
        <v>570</v>
      </c>
      <c r="C8" s="158" t="s">
        <v>569</v>
      </c>
      <c r="D8" s="154">
        <v>2259</v>
      </c>
      <c r="E8" s="155">
        <v>1</v>
      </c>
      <c r="F8" s="156">
        <v>1196.3900000000001</v>
      </c>
      <c r="G8" s="158" t="s">
        <v>590</v>
      </c>
    </row>
    <row r="9" spans="1:7">
      <c r="A9" s="7"/>
      <c r="B9" s="29" t="s">
        <v>460</v>
      </c>
      <c r="C9" s="29" t="s">
        <v>426</v>
      </c>
      <c r="D9" s="37">
        <v>1593</v>
      </c>
      <c r="E9" s="7"/>
      <c r="F9" s="149">
        <v>1181.01</v>
      </c>
      <c r="G9" s="29"/>
    </row>
    <row r="10" spans="1:7">
      <c r="A10" s="7"/>
      <c r="B10" s="37" t="s">
        <v>463</v>
      </c>
      <c r="C10" s="37" t="s">
        <v>427</v>
      </c>
      <c r="D10" s="37">
        <v>2023</v>
      </c>
      <c r="E10" s="58"/>
      <c r="F10" s="149">
        <v>573.82000000000005</v>
      </c>
      <c r="G10" s="29"/>
    </row>
    <row r="11" spans="1:7" s="180" customFormat="1">
      <c r="A11" s="175"/>
      <c r="B11" s="182" t="s">
        <v>536</v>
      </c>
      <c r="C11" s="182" t="s">
        <v>537</v>
      </c>
      <c r="D11" s="177">
        <v>2238</v>
      </c>
      <c r="E11" s="183"/>
      <c r="F11" s="179">
        <v>566.4</v>
      </c>
      <c r="G11" s="176" t="s">
        <v>592</v>
      </c>
    </row>
    <row r="12" spans="1:7">
      <c r="A12" s="7"/>
      <c r="B12" s="29" t="s">
        <v>464</v>
      </c>
      <c r="C12" s="29" t="s">
        <v>428</v>
      </c>
      <c r="D12" s="37">
        <v>1721</v>
      </c>
      <c r="E12" s="7">
        <v>1</v>
      </c>
      <c r="F12" s="149">
        <v>1670</v>
      </c>
      <c r="G12" s="29"/>
    </row>
    <row r="13" spans="1:7">
      <c r="A13" s="7"/>
      <c r="B13" s="29" t="s">
        <v>464</v>
      </c>
      <c r="C13" s="29" t="s">
        <v>429</v>
      </c>
      <c r="D13" s="37">
        <v>2123</v>
      </c>
      <c r="E13" s="7"/>
      <c r="F13" s="149">
        <v>577.52</v>
      </c>
      <c r="G13" s="29"/>
    </row>
    <row r="14" spans="1:7">
      <c r="A14" s="7"/>
      <c r="B14" s="37" t="s">
        <v>465</v>
      </c>
      <c r="C14" s="37" t="s">
        <v>430</v>
      </c>
      <c r="D14" s="37">
        <v>1970</v>
      </c>
      <c r="E14" s="58">
        <v>2</v>
      </c>
      <c r="F14" s="149">
        <v>1508.79</v>
      </c>
      <c r="G14" s="29"/>
    </row>
    <row r="15" spans="1:7" s="180" customFormat="1">
      <c r="A15" s="175"/>
      <c r="B15" s="176" t="s">
        <v>466</v>
      </c>
      <c r="C15" s="176" t="s">
        <v>431</v>
      </c>
      <c r="D15" s="177">
        <v>1794</v>
      </c>
      <c r="E15" s="178">
        <v>3</v>
      </c>
      <c r="F15" s="179">
        <v>2183.1</v>
      </c>
      <c r="G15" s="176" t="s">
        <v>568</v>
      </c>
    </row>
    <row r="16" spans="1:7" s="159" customFormat="1">
      <c r="A16" s="7"/>
      <c r="B16" s="37" t="s">
        <v>467</v>
      </c>
      <c r="C16" s="37" t="s">
        <v>501</v>
      </c>
      <c r="D16" s="37">
        <v>2201</v>
      </c>
      <c r="E16" s="58"/>
      <c r="F16" s="149">
        <v>989.58</v>
      </c>
      <c r="G16" s="29"/>
    </row>
    <row r="17" spans="1:7" s="133" customFormat="1">
      <c r="A17" s="7"/>
      <c r="B17" s="37" t="s">
        <v>468</v>
      </c>
      <c r="C17" s="37" t="s">
        <v>432</v>
      </c>
      <c r="D17" s="37">
        <v>2194</v>
      </c>
      <c r="E17" s="58"/>
      <c r="F17" s="149">
        <v>485.75</v>
      </c>
      <c r="G17" s="29"/>
    </row>
    <row r="18" spans="1:7">
      <c r="A18" s="7"/>
      <c r="B18" s="37" t="s">
        <v>542</v>
      </c>
      <c r="C18" s="37" t="s">
        <v>543</v>
      </c>
      <c r="D18" s="37">
        <v>2182</v>
      </c>
      <c r="E18" s="58">
        <v>1</v>
      </c>
      <c r="F18" s="149">
        <v>1497.11</v>
      </c>
      <c r="G18" s="29"/>
    </row>
    <row r="19" spans="1:7">
      <c r="A19" s="7"/>
      <c r="B19" s="29" t="s">
        <v>469</v>
      </c>
      <c r="C19" s="29" t="s">
        <v>434</v>
      </c>
      <c r="D19" s="37">
        <v>1708</v>
      </c>
      <c r="E19" s="7"/>
      <c r="F19" s="149">
        <v>1368.26</v>
      </c>
      <c r="G19" s="29"/>
    </row>
    <row r="20" spans="1:7">
      <c r="A20" s="7"/>
      <c r="B20" s="29" t="s">
        <v>436</v>
      </c>
      <c r="C20" s="29" t="s">
        <v>572</v>
      </c>
      <c r="D20" s="37">
        <v>2250</v>
      </c>
      <c r="E20" s="7">
        <v>2</v>
      </c>
      <c r="F20" s="149">
        <v>1314.66</v>
      </c>
      <c r="G20" s="29" t="s">
        <v>593</v>
      </c>
    </row>
    <row r="21" spans="1:7">
      <c r="A21" s="7"/>
      <c r="B21" s="29" t="s">
        <v>436</v>
      </c>
      <c r="C21" s="29" t="s">
        <v>503</v>
      </c>
      <c r="D21" s="37">
        <v>2120</v>
      </c>
      <c r="E21" s="7">
        <v>1</v>
      </c>
      <c r="F21" s="149">
        <v>1285.46</v>
      </c>
      <c r="G21" s="29"/>
    </row>
    <row r="22" spans="1:7">
      <c r="A22" s="7"/>
      <c r="B22" s="29" t="s">
        <v>437</v>
      </c>
      <c r="C22" s="29" t="s">
        <v>504</v>
      </c>
      <c r="D22" s="37">
        <v>2193</v>
      </c>
      <c r="E22" s="7"/>
      <c r="F22" s="149">
        <v>555.28</v>
      </c>
      <c r="G22" s="29"/>
    </row>
    <row r="23" spans="1:7">
      <c r="A23" s="7"/>
      <c r="B23" s="61" t="s">
        <v>471</v>
      </c>
      <c r="C23" s="61" t="s">
        <v>438</v>
      </c>
      <c r="D23" s="37">
        <v>640</v>
      </c>
      <c r="E23" s="62"/>
      <c r="F23" s="149">
        <v>1081.3499999999999</v>
      </c>
      <c r="G23" s="29"/>
    </row>
    <row r="24" spans="1:7">
      <c r="A24" s="7"/>
      <c r="B24" s="29" t="s">
        <v>439</v>
      </c>
      <c r="C24" s="29" t="s">
        <v>505</v>
      </c>
      <c r="D24" s="37">
        <v>901</v>
      </c>
      <c r="E24" s="62"/>
      <c r="F24" s="149">
        <v>1390.5</v>
      </c>
      <c r="G24" s="29"/>
    </row>
    <row r="25" spans="1:7" s="159" customFormat="1">
      <c r="A25" s="153"/>
      <c r="B25" s="158" t="s">
        <v>472</v>
      </c>
      <c r="C25" s="158" t="s">
        <v>574</v>
      </c>
      <c r="D25" s="154">
        <v>2234</v>
      </c>
      <c r="E25" s="171"/>
      <c r="F25" s="156">
        <v>592.36</v>
      </c>
      <c r="G25" s="29" t="s">
        <v>593</v>
      </c>
    </row>
    <row r="26" spans="1:7">
      <c r="A26" s="7"/>
      <c r="B26" s="29" t="s">
        <v>472</v>
      </c>
      <c r="C26" s="29" t="s">
        <v>440</v>
      </c>
      <c r="D26" s="37">
        <v>1741</v>
      </c>
      <c r="E26" s="7"/>
      <c r="F26" s="149">
        <v>904.76</v>
      </c>
      <c r="G26" s="29"/>
    </row>
    <row r="27" spans="1:7">
      <c r="A27" s="7"/>
      <c r="B27" s="37" t="s">
        <v>472</v>
      </c>
      <c r="C27" s="37" t="s">
        <v>441</v>
      </c>
      <c r="D27" s="37">
        <v>1757</v>
      </c>
      <c r="E27" s="58">
        <v>2</v>
      </c>
      <c r="F27" s="150">
        <v>1550.59</v>
      </c>
      <c r="G27" s="29"/>
    </row>
    <row r="28" spans="1:7">
      <c r="A28" s="7"/>
      <c r="B28" s="37" t="s">
        <v>473</v>
      </c>
      <c r="C28" s="37" t="s">
        <v>442</v>
      </c>
      <c r="D28" s="37">
        <v>2057</v>
      </c>
      <c r="E28" s="58"/>
      <c r="F28" s="149">
        <v>1368.26</v>
      </c>
      <c r="G28" s="29"/>
    </row>
    <row r="29" spans="1:7">
      <c r="A29" s="7"/>
      <c r="B29" s="37" t="s">
        <v>473</v>
      </c>
      <c r="C29" s="37" t="s">
        <v>443</v>
      </c>
      <c r="D29" s="37">
        <v>1210</v>
      </c>
      <c r="E29" s="58"/>
      <c r="F29" s="149">
        <v>1302.44</v>
      </c>
      <c r="G29" s="29"/>
    </row>
    <row r="30" spans="1:7">
      <c r="A30" s="7"/>
      <c r="B30" s="29" t="s">
        <v>444</v>
      </c>
      <c r="C30" s="29" t="s">
        <v>506</v>
      </c>
      <c r="D30" s="37">
        <v>1460</v>
      </c>
      <c r="E30" s="7"/>
      <c r="F30" s="149">
        <v>757.83</v>
      </c>
    </row>
    <row r="31" spans="1:7" s="159" customFormat="1">
      <c r="A31" s="153"/>
      <c r="B31" s="158" t="s">
        <v>474</v>
      </c>
      <c r="C31" s="158" t="s">
        <v>576</v>
      </c>
      <c r="D31" s="154">
        <v>2248</v>
      </c>
      <c r="E31" s="153">
        <v>3</v>
      </c>
      <c r="F31" s="156">
        <v>1862.53</v>
      </c>
      <c r="G31" s="29" t="s">
        <v>593</v>
      </c>
    </row>
    <row r="32" spans="1:7">
      <c r="A32" s="7"/>
      <c r="B32" s="29" t="s">
        <v>474</v>
      </c>
      <c r="C32" s="29" t="s">
        <v>507</v>
      </c>
      <c r="D32" s="37">
        <v>2062</v>
      </c>
      <c r="E32" s="7">
        <v>1</v>
      </c>
      <c r="F32" s="149">
        <v>931.26</v>
      </c>
      <c r="G32" s="29"/>
    </row>
    <row r="33" spans="1:7">
      <c r="A33" s="7"/>
      <c r="B33" s="29" t="s">
        <v>474</v>
      </c>
      <c r="C33" s="29" t="s">
        <v>508</v>
      </c>
      <c r="D33" s="37">
        <v>2121</v>
      </c>
      <c r="E33" s="7"/>
      <c r="F33" s="149">
        <v>548.32000000000005</v>
      </c>
      <c r="G33" s="29"/>
    </row>
    <row r="34" spans="1:7" s="180" customFormat="1">
      <c r="A34" s="175"/>
      <c r="B34" s="176" t="s">
        <v>445</v>
      </c>
      <c r="C34" s="176" t="s">
        <v>509</v>
      </c>
      <c r="D34" s="177">
        <v>2030</v>
      </c>
      <c r="E34" s="178"/>
      <c r="F34" s="179">
        <v>1033.6099999999999</v>
      </c>
      <c r="G34" s="176" t="s">
        <v>595</v>
      </c>
    </row>
    <row r="35" spans="1:7">
      <c r="A35" s="7"/>
      <c r="B35" s="37" t="s">
        <v>475</v>
      </c>
      <c r="C35" s="37" t="s">
        <v>446</v>
      </c>
      <c r="D35" s="37">
        <v>2003</v>
      </c>
      <c r="E35" s="58"/>
      <c r="F35" s="149">
        <v>566.4</v>
      </c>
      <c r="G35" s="29"/>
    </row>
    <row r="36" spans="1:7">
      <c r="A36" s="7"/>
      <c r="B36" s="29" t="s">
        <v>476</v>
      </c>
      <c r="C36" s="29" t="s">
        <v>447</v>
      </c>
      <c r="D36" s="37">
        <v>2019</v>
      </c>
      <c r="E36" s="58">
        <v>1</v>
      </c>
      <c r="F36" s="149">
        <v>972.05</v>
      </c>
      <c r="G36" s="29"/>
    </row>
    <row r="37" spans="1:7" s="133" customFormat="1">
      <c r="A37" s="7"/>
      <c r="B37" s="29" t="s">
        <v>478</v>
      </c>
      <c r="C37" s="29" t="s">
        <v>448</v>
      </c>
      <c r="D37" s="37">
        <v>2172</v>
      </c>
      <c r="E37" s="58"/>
      <c r="F37" s="149">
        <v>1368.26</v>
      </c>
      <c r="G37" s="29"/>
    </row>
    <row r="38" spans="1:7">
      <c r="A38" s="145"/>
      <c r="B38" s="37" t="s">
        <v>497</v>
      </c>
      <c r="C38" s="37" t="s">
        <v>461</v>
      </c>
      <c r="D38" s="37">
        <v>2082</v>
      </c>
      <c r="E38" s="58"/>
      <c r="F38" s="149">
        <v>555.28</v>
      </c>
      <c r="G38" s="29"/>
    </row>
    <row r="39" spans="1:7">
      <c r="A39" s="7"/>
      <c r="B39" s="29" t="s">
        <v>479</v>
      </c>
      <c r="C39" s="29" t="s">
        <v>449</v>
      </c>
      <c r="D39" s="37">
        <v>2119</v>
      </c>
      <c r="E39" s="7"/>
      <c r="F39" s="149">
        <v>465.36</v>
      </c>
      <c r="G39" s="29"/>
    </row>
    <row r="40" spans="1:7" s="159" customFormat="1" ht="15">
      <c r="A40" s="153"/>
      <c r="B40" s="170" t="s">
        <v>480</v>
      </c>
      <c r="C40" s="170" t="s">
        <v>511</v>
      </c>
      <c r="D40" s="154">
        <v>2231</v>
      </c>
      <c r="E40" s="153">
        <v>3</v>
      </c>
      <c r="F40" s="156">
        <v>3176.01</v>
      </c>
      <c r="G40" s="158" t="s">
        <v>596</v>
      </c>
    </row>
    <row r="41" spans="1:7" s="159" customFormat="1">
      <c r="A41" s="153"/>
      <c r="B41" s="158" t="s">
        <v>481</v>
      </c>
      <c r="C41" s="158" t="s">
        <v>450</v>
      </c>
      <c r="D41" s="154">
        <v>1975</v>
      </c>
      <c r="E41" s="153"/>
      <c r="F41" s="156">
        <v>1140.22</v>
      </c>
      <c r="G41" s="158" t="s">
        <v>579</v>
      </c>
    </row>
    <row r="42" spans="1:7">
      <c r="A42" s="7"/>
      <c r="B42" s="29" t="s">
        <v>482</v>
      </c>
      <c r="C42" s="29" t="s">
        <v>512</v>
      </c>
      <c r="D42" s="37">
        <v>2203</v>
      </c>
      <c r="E42" s="7"/>
      <c r="F42" s="149">
        <v>562.69000000000005</v>
      </c>
      <c r="G42" s="29"/>
    </row>
    <row r="43" spans="1:7" s="133" customFormat="1">
      <c r="A43" s="7"/>
      <c r="B43" s="29" t="s">
        <v>547</v>
      </c>
      <c r="C43" s="29" t="s">
        <v>548</v>
      </c>
      <c r="D43" s="37">
        <v>2245</v>
      </c>
      <c r="E43" s="7"/>
      <c r="F43" s="149">
        <v>1273.33</v>
      </c>
      <c r="G43" s="29"/>
    </row>
    <row r="44" spans="1:7">
      <c r="A44" s="7"/>
      <c r="B44" s="37" t="s">
        <v>483</v>
      </c>
      <c r="C44" s="37" t="s">
        <v>452</v>
      </c>
      <c r="D44" s="37">
        <v>2001</v>
      </c>
      <c r="E44" s="58"/>
      <c r="F44" s="149">
        <v>1033.6099999999999</v>
      </c>
      <c r="G44" s="29"/>
    </row>
    <row r="45" spans="1:7">
      <c r="A45" s="7"/>
      <c r="B45" s="37" t="s">
        <v>484</v>
      </c>
      <c r="C45" s="37" t="s">
        <v>514</v>
      </c>
      <c r="D45" s="37">
        <v>2160</v>
      </c>
      <c r="E45" s="58">
        <v>1</v>
      </c>
      <c r="F45" s="149">
        <v>1544.85</v>
      </c>
      <c r="G45" s="29"/>
    </row>
    <row r="46" spans="1:7">
      <c r="A46" s="7"/>
      <c r="B46" s="29" t="s">
        <v>551</v>
      </c>
      <c r="C46" s="29" t="s">
        <v>552</v>
      </c>
      <c r="D46" s="37">
        <v>2246</v>
      </c>
      <c r="E46" s="58"/>
      <c r="F46" s="149">
        <v>537.20000000000005</v>
      </c>
      <c r="G46" s="29"/>
    </row>
    <row r="47" spans="1:7" s="133" customFormat="1">
      <c r="A47" s="7"/>
      <c r="B47" s="29" t="s">
        <v>485</v>
      </c>
      <c r="C47" s="29" t="s">
        <v>515</v>
      </c>
      <c r="D47" s="37">
        <v>2018</v>
      </c>
      <c r="E47" s="7"/>
      <c r="F47" s="149">
        <v>1331.64</v>
      </c>
      <c r="G47" s="29"/>
    </row>
    <row r="48" spans="1:7">
      <c r="A48" s="7"/>
      <c r="B48" s="37" t="s">
        <v>486</v>
      </c>
      <c r="C48" s="37" t="s">
        <v>453</v>
      </c>
      <c r="D48" s="37">
        <v>1692</v>
      </c>
      <c r="E48" s="58">
        <v>2</v>
      </c>
      <c r="F48" s="149">
        <v>1544.85</v>
      </c>
      <c r="G48" s="29"/>
    </row>
    <row r="49" spans="1:7" s="133" customFormat="1">
      <c r="A49" s="7"/>
      <c r="B49" s="37" t="s">
        <v>486</v>
      </c>
      <c r="C49" s="37" t="s">
        <v>454</v>
      </c>
      <c r="D49" s="37">
        <v>2027</v>
      </c>
      <c r="E49" s="58"/>
      <c r="F49" s="149">
        <v>555.28</v>
      </c>
      <c r="G49" s="29"/>
    </row>
    <row r="50" spans="1:7">
      <c r="A50" s="7"/>
      <c r="B50" s="29" t="s">
        <v>487</v>
      </c>
      <c r="C50" s="29" t="s">
        <v>516</v>
      </c>
      <c r="D50" s="37">
        <v>2060</v>
      </c>
      <c r="E50" s="58"/>
      <c r="F50" s="149">
        <v>827.82</v>
      </c>
      <c r="G50" s="29"/>
    </row>
    <row r="51" spans="1:7">
      <c r="A51" s="7"/>
      <c r="B51" s="29" t="s">
        <v>488</v>
      </c>
      <c r="C51" s="29" t="s">
        <v>517</v>
      </c>
      <c r="D51" s="37">
        <v>1649</v>
      </c>
      <c r="E51" s="58"/>
      <c r="F51" s="149">
        <v>1390.5</v>
      </c>
      <c r="G51" s="29"/>
    </row>
    <row r="52" spans="1:7">
      <c r="A52" s="7"/>
      <c r="B52" s="29" t="s">
        <v>489</v>
      </c>
      <c r="C52" s="29" t="s">
        <v>455</v>
      </c>
      <c r="D52" s="37">
        <v>2090</v>
      </c>
      <c r="E52" s="58"/>
      <c r="F52" s="149">
        <v>1033.6099999999999</v>
      </c>
      <c r="G52" s="29"/>
    </row>
    <row r="53" spans="1:7">
      <c r="A53" s="7"/>
      <c r="B53" s="29" t="s">
        <v>490</v>
      </c>
      <c r="C53" s="29" t="s">
        <v>518</v>
      </c>
      <c r="D53" s="37">
        <v>1050</v>
      </c>
      <c r="E53" s="58"/>
      <c r="F53" s="149">
        <v>1390.5</v>
      </c>
      <c r="G53" s="29"/>
    </row>
    <row r="54" spans="1:7">
      <c r="A54" s="7"/>
      <c r="B54" s="29" t="s">
        <v>491</v>
      </c>
      <c r="C54" s="29" t="s">
        <v>456</v>
      </c>
      <c r="D54" s="37">
        <v>1964</v>
      </c>
      <c r="E54" s="58"/>
      <c r="F54" s="149">
        <v>669.3</v>
      </c>
      <c r="G54" s="29"/>
    </row>
    <row r="55" spans="1:7">
      <c r="A55" s="7"/>
      <c r="B55" s="37" t="s">
        <v>492</v>
      </c>
      <c r="C55" s="37" t="s">
        <v>519</v>
      </c>
      <c r="D55" s="37">
        <v>1981</v>
      </c>
      <c r="E55" s="58"/>
      <c r="F55" s="149">
        <v>573.82000000000005</v>
      </c>
      <c r="G55" s="29"/>
    </row>
    <row r="56" spans="1:7">
      <c r="A56" s="7"/>
      <c r="B56" s="29" t="s">
        <v>492</v>
      </c>
      <c r="C56" s="29" t="s">
        <v>520</v>
      </c>
      <c r="D56" s="37">
        <v>1662</v>
      </c>
      <c r="E56" s="58">
        <v>1</v>
      </c>
      <c r="F56" s="149">
        <v>1158.75</v>
      </c>
      <c r="G56" s="29"/>
    </row>
    <row r="57" spans="1:7">
      <c r="A57" s="7"/>
      <c r="B57" s="37" t="s">
        <v>493</v>
      </c>
      <c r="C57" s="37" t="s">
        <v>457</v>
      </c>
      <c r="D57" s="37">
        <v>1630</v>
      </c>
      <c r="E57" s="58">
        <v>1</v>
      </c>
      <c r="F57" s="149">
        <v>1409.05</v>
      </c>
      <c r="G57" s="29"/>
    </row>
    <row r="58" spans="1:7">
      <c r="A58" s="7"/>
      <c r="B58" s="29" t="s">
        <v>458</v>
      </c>
      <c r="C58" s="29" t="s">
        <v>521</v>
      </c>
      <c r="D58" s="37">
        <v>2006</v>
      </c>
      <c r="E58" s="7"/>
      <c r="F58" s="149">
        <v>566.4</v>
      </c>
      <c r="G58" s="29"/>
    </row>
    <row r="59" spans="1:7">
      <c r="A59" s="7"/>
      <c r="B59" s="37" t="s">
        <v>494</v>
      </c>
      <c r="C59" s="37" t="s">
        <v>522</v>
      </c>
      <c r="D59" s="37">
        <v>2212</v>
      </c>
      <c r="E59" s="7"/>
      <c r="F59" s="149">
        <v>548.32000000000005</v>
      </c>
      <c r="G59" s="29"/>
    </row>
    <row r="60" spans="1:7">
      <c r="A60" s="7"/>
      <c r="B60" s="29" t="s">
        <v>534</v>
      </c>
      <c r="C60" s="29" t="s">
        <v>533</v>
      </c>
      <c r="D60" s="37">
        <v>2010</v>
      </c>
      <c r="E60" s="58">
        <v>1</v>
      </c>
      <c r="F60" s="149">
        <v>1254.24</v>
      </c>
      <c r="G60" s="29"/>
    </row>
    <row r="61" spans="1:7">
      <c r="A61" s="7"/>
      <c r="B61" s="29" t="s">
        <v>534</v>
      </c>
      <c r="C61" s="29" t="s">
        <v>580</v>
      </c>
      <c r="D61" s="37">
        <v>2187</v>
      </c>
      <c r="E61" s="58">
        <v>2</v>
      </c>
      <c r="F61" s="149">
        <v>1526.49</v>
      </c>
      <c r="G61" s="29" t="s">
        <v>593</v>
      </c>
    </row>
    <row r="62" spans="1:7">
      <c r="A62" s="7"/>
      <c r="B62" s="37" t="s">
        <v>495</v>
      </c>
      <c r="C62" s="37" t="s">
        <v>459</v>
      </c>
      <c r="D62" s="37">
        <v>2095</v>
      </c>
      <c r="E62" s="7"/>
      <c r="F62" s="149">
        <v>537.20000000000005</v>
      </c>
      <c r="G62" s="29"/>
    </row>
    <row r="63" spans="1:7" s="159" customFormat="1">
      <c r="A63" s="153"/>
      <c r="B63" s="154" t="s">
        <v>495</v>
      </c>
      <c r="C63" s="154" t="s">
        <v>566</v>
      </c>
      <c r="D63" s="154">
        <v>2064</v>
      </c>
      <c r="E63" s="153">
        <v>3</v>
      </c>
      <c r="F63" s="181">
        <v>1910.73</v>
      </c>
      <c r="G63" s="158" t="s">
        <v>597</v>
      </c>
    </row>
    <row r="64" spans="1:7">
      <c r="A64" s="7"/>
      <c r="B64" s="37" t="s">
        <v>530</v>
      </c>
      <c r="C64" s="37" t="s">
        <v>529</v>
      </c>
      <c r="D64" s="37">
        <v>2089</v>
      </c>
      <c r="E64" s="58"/>
      <c r="F64" s="149">
        <v>537.20000000000005</v>
      </c>
      <c r="G64" s="29"/>
    </row>
    <row r="65" spans="1:10">
      <c r="A65" s="113"/>
      <c r="B65" s="102"/>
      <c r="C65" s="102"/>
      <c r="D65" s="102"/>
      <c r="E65" s="115"/>
      <c r="F65" s="117"/>
      <c r="G65" s="114"/>
      <c r="I65" s="15"/>
      <c r="J65" s="15"/>
    </row>
    <row r="66" spans="1:10">
      <c r="A66" s="458" t="s">
        <v>315</v>
      </c>
      <c r="B66" s="459"/>
      <c r="C66" s="459"/>
      <c r="D66" s="459"/>
      <c r="E66" s="460"/>
      <c r="F66" s="111">
        <f>SUM(F5:F64)</f>
        <v>65205.49</v>
      </c>
      <c r="G66" s="112"/>
    </row>
    <row r="67" spans="1:10">
      <c r="A67" s="431" t="s">
        <v>258</v>
      </c>
      <c r="B67" s="432"/>
      <c r="C67" s="141"/>
      <c r="D67" s="141"/>
      <c r="E67" s="7">
        <f>COUNTA(B7:B65)</f>
        <v>58</v>
      </c>
      <c r="F67" s="52"/>
      <c r="G67" s="29"/>
    </row>
    <row r="68" spans="1:10">
      <c r="A68" s="431" t="s">
        <v>242</v>
      </c>
      <c r="B68" s="432"/>
      <c r="C68" s="141"/>
      <c r="D68" s="141"/>
      <c r="E68" s="58">
        <v>17</v>
      </c>
      <c r="F68" s="52"/>
      <c r="G68" s="29"/>
    </row>
    <row r="69" spans="1:10">
      <c r="A69" s="433" t="s">
        <v>246</v>
      </c>
      <c r="B69" s="434"/>
      <c r="C69" s="92"/>
      <c r="D69" s="92"/>
      <c r="E69" s="86">
        <f>E67+E68</f>
        <v>75</v>
      </c>
      <c r="F69" s="52"/>
      <c r="G69" s="29"/>
    </row>
    <row r="70" spans="1:10">
      <c r="A70" s="425" t="s">
        <v>257</v>
      </c>
      <c r="B70" s="426"/>
      <c r="C70" s="426"/>
      <c r="D70" s="426"/>
      <c r="E70" s="427"/>
      <c r="F70" s="77"/>
      <c r="G70" s="75"/>
      <c r="I70" s="15"/>
    </row>
    <row r="71" spans="1:10">
      <c r="A71" s="165"/>
      <c r="B71" s="166"/>
      <c r="C71" s="166"/>
      <c r="D71" s="166"/>
      <c r="E71" s="167"/>
      <c r="F71" s="77"/>
      <c r="G71" s="75"/>
      <c r="I71" s="15"/>
    </row>
    <row r="72" spans="1:10" s="133" customFormat="1">
      <c r="A72" s="130"/>
      <c r="B72" s="162" t="s">
        <v>585</v>
      </c>
      <c r="C72" s="162" t="s">
        <v>586</v>
      </c>
      <c r="D72" s="163">
        <v>2261</v>
      </c>
      <c r="E72" s="130"/>
      <c r="F72" s="164">
        <v>1488.01</v>
      </c>
      <c r="G72" s="130" t="s">
        <v>588</v>
      </c>
    </row>
    <row r="73" spans="1:10" ht="14" customHeight="1">
      <c r="A73" s="174"/>
      <c r="B73" s="158" t="s">
        <v>462</v>
      </c>
      <c r="C73" s="158" t="s">
        <v>425</v>
      </c>
      <c r="D73" s="154">
        <v>2081</v>
      </c>
      <c r="E73" s="155">
        <v>1</v>
      </c>
      <c r="F73" s="156">
        <v>737.14</v>
      </c>
      <c r="G73" s="138" t="s">
        <v>36</v>
      </c>
    </row>
    <row r="74" spans="1:10" ht="14" customHeight="1">
      <c r="A74" s="174"/>
      <c r="B74" s="131" t="s">
        <v>570</v>
      </c>
      <c r="C74" s="131" t="s">
        <v>569</v>
      </c>
      <c r="D74" s="134">
        <v>2259</v>
      </c>
      <c r="E74" s="136">
        <v>1</v>
      </c>
      <c r="F74" s="150">
        <v>2392.7800000000002</v>
      </c>
      <c r="G74" s="131" t="s">
        <v>591</v>
      </c>
    </row>
    <row r="75" spans="1:10" ht="13" customHeight="1">
      <c r="A75" s="174"/>
      <c r="B75" s="29" t="s">
        <v>436</v>
      </c>
      <c r="C75" s="29" t="s">
        <v>572</v>
      </c>
      <c r="D75" s="37">
        <v>2250</v>
      </c>
      <c r="E75" s="7">
        <v>2</v>
      </c>
      <c r="F75" s="149">
        <v>2629.32</v>
      </c>
      <c r="G75" s="29" t="s">
        <v>594</v>
      </c>
    </row>
    <row r="76" spans="1:10" ht="15" customHeight="1">
      <c r="A76" s="174"/>
      <c r="B76" s="158" t="s">
        <v>472</v>
      </c>
      <c r="C76" s="158" t="s">
        <v>574</v>
      </c>
      <c r="D76" s="154">
        <v>2234</v>
      </c>
      <c r="E76" s="171"/>
      <c r="F76" s="156">
        <v>1184.72</v>
      </c>
      <c r="G76" s="29" t="s">
        <v>594</v>
      </c>
    </row>
    <row r="77" spans="1:10" ht="15" customHeight="1">
      <c r="A77" s="174"/>
      <c r="B77" s="158" t="s">
        <v>474</v>
      </c>
      <c r="C77" s="158" t="s">
        <v>576</v>
      </c>
      <c r="D77" s="154">
        <v>2248</v>
      </c>
      <c r="E77" s="153">
        <v>3</v>
      </c>
      <c r="F77" s="156">
        <v>3725.06</v>
      </c>
      <c r="G77" s="29" t="s">
        <v>594</v>
      </c>
    </row>
    <row r="78" spans="1:10" ht="15" customHeight="1">
      <c r="A78" s="174"/>
      <c r="B78" s="170" t="s">
        <v>480</v>
      </c>
      <c r="C78" s="170" t="s">
        <v>511</v>
      </c>
      <c r="D78" s="154">
        <v>2231</v>
      </c>
      <c r="E78" s="153">
        <v>3</v>
      </c>
      <c r="F78" s="156">
        <v>1728.86</v>
      </c>
      <c r="G78" s="158" t="s">
        <v>596</v>
      </c>
    </row>
    <row r="79" spans="1:10" ht="15" customHeight="1">
      <c r="A79" s="174"/>
      <c r="B79" s="158" t="s">
        <v>481</v>
      </c>
      <c r="C79" s="158" t="s">
        <v>450</v>
      </c>
      <c r="D79" s="154">
        <v>1975</v>
      </c>
      <c r="E79" s="153"/>
      <c r="F79" s="156">
        <v>1140.22</v>
      </c>
      <c r="G79" s="158" t="s">
        <v>596</v>
      </c>
    </row>
    <row r="80" spans="1:10" ht="15" customHeight="1">
      <c r="A80" s="174"/>
      <c r="B80" s="29" t="s">
        <v>534</v>
      </c>
      <c r="C80" s="29" t="s">
        <v>580</v>
      </c>
      <c r="D80" s="37">
        <v>2187</v>
      </c>
      <c r="E80" s="58">
        <v>2</v>
      </c>
      <c r="F80" s="149">
        <v>3052.98</v>
      </c>
      <c r="G80" s="29" t="s">
        <v>594</v>
      </c>
    </row>
    <row r="81" spans="1:10" ht="13" customHeight="1">
      <c r="A81" s="174"/>
      <c r="B81" s="154" t="s">
        <v>495</v>
      </c>
      <c r="C81" s="154" t="s">
        <v>566</v>
      </c>
      <c r="D81" s="154">
        <v>2064</v>
      </c>
      <c r="E81" s="153">
        <v>3</v>
      </c>
      <c r="F81" s="181">
        <v>3821.46</v>
      </c>
      <c r="G81" s="158" t="s">
        <v>597</v>
      </c>
    </row>
    <row r="82" spans="1:10" ht="12" customHeight="1">
      <c r="A82" s="428" t="s">
        <v>265</v>
      </c>
      <c r="B82" s="429"/>
      <c r="C82" s="429"/>
      <c r="D82" s="429"/>
      <c r="E82" s="430"/>
      <c r="F82" s="83">
        <f>SUM(F72:F81)</f>
        <v>21900.55</v>
      </c>
      <c r="G82" s="75"/>
    </row>
    <row r="83" spans="1:10" ht="12" customHeight="1">
      <c r="A83" s="172"/>
      <c r="B83" s="173"/>
      <c r="C83" s="173"/>
      <c r="D83" s="429" t="s">
        <v>598</v>
      </c>
      <c r="E83" s="430"/>
      <c r="F83" s="83">
        <v>14677.56</v>
      </c>
      <c r="G83" s="75"/>
    </row>
    <row r="84" spans="1:10">
      <c r="A84" s="422" t="s">
        <v>37</v>
      </c>
      <c r="B84" s="423"/>
      <c r="C84" s="423"/>
      <c r="D84" s="423"/>
      <c r="E84" s="424"/>
      <c r="F84" s="80">
        <f>F66+F82+F83</f>
        <v>101783.59999999999</v>
      </c>
      <c r="G84" s="84"/>
    </row>
    <row r="85" spans="1:10" ht="18">
      <c r="E85" s="151" t="s">
        <v>250</v>
      </c>
      <c r="F85" s="151"/>
      <c r="G85" s="118">
        <v>44594</v>
      </c>
    </row>
    <row r="86" spans="1:10" ht="18">
      <c r="E86" s="151" t="s">
        <v>251</v>
      </c>
      <c r="F86" s="151"/>
      <c r="G86" s="119" t="s">
        <v>337</v>
      </c>
    </row>
    <row r="91" spans="1:10" s="3" customFormat="1">
      <c r="A91"/>
      <c r="B91"/>
      <c r="C91"/>
      <c r="D91"/>
      <c r="F91" s="152"/>
      <c r="G91"/>
      <c r="H91"/>
      <c r="I91"/>
      <c r="J91"/>
    </row>
  </sheetData>
  <autoFilter ref="A4:G4" xr:uid="{EC283F26-1258-B84E-AE05-5C35489C3CC6}">
    <sortState xmlns:xlrd2="http://schemas.microsoft.com/office/spreadsheetml/2017/richdata2" ref="A5:G64">
      <sortCondition ref="B4:B64"/>
    </sortState>
  </autoFilter>
  <mergeCells count="9">
    <mergeCell ref="A82:E82"/>
    <mergeCell ref="A84:E84"/>
    <mergeCell ref="F3:G3"/>
    <mergeCell ref="A66:E66"/>
    <mergeCell ref="A67:B67"/>
    <mergeCell ref="A68:B68"/>
    <mergeCell ref="A69:B69"/>
    <mergeCell ref="A70:E70"/>
    <mergeCell ref="D83:E83"/>
  </mergeCells>
  <conditionalFormatting sqref="B17:C17">
    <cfRule type="duplicateValues" dxfId="801" priority="70"/>
  </conditionalFormatting>
  <conditionalFormatting sqref="B22:C22">
    <cfRule type="duplicateValues" dxfId="800" priority="71"/>
  </conditionalFormatting>
  <conditionalFormatting sqref="B64:C65 B15:C18 B10:C13 D7:D65 B59:C61 B52:C53 B42:C49 B55:C57 B39:C39 B21:C22 B24:C28 B36:C37 B30:C34">
    <cfRule type="duplicateValues" dxfId="799" priority="68"/>
  </conditionalFormatting>
  <conditionalFormatting sqref="B72:C72">
    <cfRule type="duplicateValues" dxfId="798" priority="48"/>
    <cfRule type="duplicateValues" dxfId="797" priority="49"/>
  </conditionalFormatting>
  <conditionalFormatting sqref="B76:D76">
    <cfRule type="duplicateValues" dxfId="796" priority="27"/>
    <cfRule type="duplicateValues" dxfId="795" priority="30"/>
    <cfRule type="duplicateValues" dxfId="794" priority="31"/>
  </conditionalFormatting>
  <conditionalFormatting sqref="B77:D77">
    <cfRule type="duplicateValues" dxfId="793" priority="23"/>
    <cfRule type="duplicateValues" dxfId="792" priority="25"/>
    <cfRule type="duplicateValues" dxfId="791" priority="26"/>
  </conditionalFormatting>
  <conditionalFormatting sqref="B80:D80">
    <cfRule type="duplicateValues" dxfId="790" priority="8"/>
    <cfRule type="duplicateValues" dxfId="789" priority="11"/>
    <cfRule type="duplicateValues" dxfId="788" priority="12"/>
  </conditionalFormatting>
  <conditionalFormatting sqref="B82:D86 B64:C71 D1:D3 B15:C18 B10:C13 B1:C6 D7:D71 B59:C61 B52:C53 B42:C49 B55:C57 B39:C39 B21:C22 B24:C28 B36:C37 B30:C34">
    <cfRule type="duplicateValues" dxfId="787" priority="67"/>
  </conditionalFormatting>
  <conditionalFormatting sqref="B87:D87 B89:D1048576">
    <cfRule type="duplicateValues" dxfId="786" priority="69"/>
  </conditionalFormatting>
  <conditionalFormatting sqref="B89:D1048576 B82:D87 D1:D3 B10:C13 B15:C18 B1:C6 B64:C71 D7:D71 B59:C61 B52:C53 B42:C49 B55:C57 B39:C39 B21:C22 B24:C28 B36:C37 B30:C34">
    <cfRule type="duplicateValues" dxfId="785" priority="59"/>
  </conditionalFormatting>
  <conditionalFormatting sqref="D4:D6">
    <cfRule type="duplicateValues" dxfId="784" priority="57"/>
    <cfRule type="duplicateValues" dxfId="783" priority="58"/>
  </conditionalFormatting>
  <conditionalFormatting sqref="D72">
    <cfRule type="duplicateValues" dxfId="782" priority="46"/>
    <cfRule type="duplicateValues" dxfId="781" priority="47"/>
  </conditionalFormatting>
  <conditionalFormatting sqref="D73">
    <cfRule type="duplicateValues" dxfId="780" priority="42"/>
    <cfRule type="duplicateValues" dxfId="779" priority="44"/>
    <cfRule type="duplicateValues" dxfId="778" priority="45"/>
  </conditionalFormatting>
  <conditionalFormatting sqref="D74">
    <cfRule type="duplicateValues" dxfId="777" priority="37"/>
    <cfRule type="duplicateValues" dxfId="776" priority="40"/>
    <cfRule type="duplicateValues" dxfId="775" priority="41"/>
  </conditionalFormatting>
  <conditionalFormatting sqref="D75">
    <cfRule type="duplicateValues" dxfId="774" priority="33"/>
    <cfRule type="duplicateValues" dxfId="773" priority="35"/>
    <cfRule type="duplicateValues" dxfId="772" priority="36"/>
  </conditionalFormatting>
  <conditionalFormatting sqref="D78">
    <cfRule type="duplicateValues" dxfId="771" priority="13"/>
    <cfRule type="duplicateValues" dxfId="770" priority="16"/>
    <cfRule type="duplicateValues" dxfId="769" priority="17"/>
  </conditionalFormatting>
  <conditionalFormatting sqref="D79">
    <cfRule type="duplicateValues" dxfId="768" priority="18"/>
  </conditionalFormatting>
  <conditionalFormatting sqref="D81">
    <cfRule type="duplicateValues" dxfId="767" priority="1"/>
    <cfRule type="duplicateValues" dxfId="766" priority="4"/>
    <cfRule type="duplicateValues" dxfId="765" priority="5"/>
  </conditionalFormatting>
  <conditionalFormatting sqref="E7:E64">
    <cfRule type="notContainsBlanks" dxfId="764" priority="61">
      <formula>LEN(TRIM(E7))&gt;0</formula>
    </cfRule>
  </conditionalFormatting>
  <conditionalFormatting sqref="E17 B17:C17">
    <cfRule type="duplicateValues" dxfId="763" priority="66"/>
  </conditionalFormatting>
  <conditionalFormatting sqref="E22 B22:C22">
    <cfRule type="duplicateValues" dxfId="762" priority="65"/>
  </conditionalFormatting>
  <conditionalFormatting sqref="E23">
    <cfRule type="duplicateValues" dxfId="761" priority="62"/>
    <cfRule type="duplicateValues" dxfId="760" priority="63"/>
    <cfRule type="duplicateValues" dxfId="759" priority="64"/>
  </conditionalFormatting>
  <conditionalFormatting sqref="E73:E81">
    <cfRule type="notContainsBlanks" dxfId="758" priority="3">
      <formula>LEN(TRIM(E73))&gt;0</formula>
    </cfRule>
  </conditionalFormatting>
  <conditionalFormatting sqref="G7:G29 G31:G71">
    <cfRule type="notContainsBlanks" dxfId="757" priority="60">
      <formula>LEN(TRIM(G7))&gt;0</formula>
    </cfRule>
  </conditionalFormatting>
  <conditionalFormatting sqref="G73:G84">
    <cfRule type="notContainsBlanks" dxfId="756" priority="2">
      <formula>LEN(TRIM(G73))&gt;0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0934-4ECC-E64C-95F1-C34155758FFF}">
  <sheetPr>
    <tabColor theme="8"/>
    <pageSetUpPr fitToPage="1"/>
  </sheetPr>
  <dimension ref="A1:L80"/>
  <sheetViews>
    <sheetView zoomScale="150" zoomScaleNormal="150" zoomScalePageLayoutView="140" workbookViewId="0">
      <pane xSplit="3" ySplit="4" topLeftCell="D61" activePane="bottomRight" state="frozen"/>
      <selection pane="topRight" activeCell="D1" sqref="D1"/>
      <selection pane="bottomLeft" activeCell="A5" sqref="A5"/>
      <selection pane="bottomRight" activeCell="E25" sqref="E25"/>
    </sheetView>
  </sheetViews>
  <sheetFormatPr baseColWidth="10" defaultColWidth="8.83203125" defaultRowHeight="13"/>
  <cols>
    <col min="1" max="1" width="5.6640625" customWidth="1"/>
    <col min="2" max="2" width="19.83203125" customWidth="1"/>
    <col min="3" max="3" width="17.83203125" customWidth="1"/>
    <col min="4" max="4" width="10.83203125" customWidth="1"/>
    <col min="5" max="5" width="10.5" style="3" bestFit="1" customWidth="1"/>
    <col min="6" max="6" width="14.83203125" style="152" customWidth="1"/>
    <col min="7" max="7" width="16" style="152" customWidth="1"/>
    <col min="8" max="8" width="14.33203125" style="152" customWidth="1"/>
    <col min="9" max="9" width="33.83203125" customWidth="1"/>
    <col min="10" max="10" width="13.6640625" customWidth="1"/>
    <col min="11" max="11" width="18.1640625" bestFit="1" customWidth="1"/>
  </cols>
  <sheetData>
    <row r="1" spans="1:9">
      <c r="A1" s="1" t="s">
        <v>0</v>
      </c>
      <c r="E1" s="88"/>
      <c r="F1" s="146" t="s">
        <v>342</v>
      </c>
      <c r="G1" s="146"/>
      <c r="H1" s="146"/>
      <c r="I1" s="68" t="s">
        <v>223</v>
      </c>
    </row>
    <row r="2" spans="1:9" ht="13.5" customHeight="1">
      <c r="A2" s="1" t="s">
        <v>249</v>
      </c>
      <c r="F2" s="51" t="s">
        <v>563</v>
      </c>
      <c r="G2" s="51"/>
      <c r="H2" s="51"/>
      <c r="I2" s="123">
        <v>44562</v>
      </c>
    </row>
    <row r="3" spans="1:9" ht="14" customHeight="1">
      <c r="F3" s="461" t="s">
        <v>562</v>
      </c>
      <c r="G3" s="461"/>
      <c r="H3" s="461"/>
      <c r="I3" s="461"/>
    </row>
    <row r="4" spans="1:9" ht="42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147" t="s">
        <v>561</v>
      </c>
      <c r="G4" s="168" t="s">
        <v>560</v>
      </c>
      <c r="H4" s="168" t="s">
        <v>564</v>
      </c>
      <c r="I4" s="50" t="s">
        <v>227</v>
      </c>
    </row>
    <row r="5" spans="1:9">
      <c r="A5" s="7"/>
      <c r="B5" s="161" t="s">
        <v>556</v>
      </c>
      <c r="C5" s="161" t="s">
        <v>557</v>
      </c>
      <c r="D5" s="66">
        <v>2247</v>
      </c>
      <c r="E5" s="7"/>
      <c r="F5" s="160">
        <v>457.74</v>
      </c>
      <c r="G5" s="160">
        <v>463.5</v>
      </c>
      <c r="H5" s="160">
        <f>G5*2-F5</f>
        <v>469.26</v>
      </c>
      <c r="I5" s="7"/>
    </row>
    <row r="6" spans="1:9" s="159" customFormat="1">
      <c r="A6" s="153"/>
      <c r="B6" s="158" t="s">
        <v>462</v>
      </c>
      <c r="C6" s="158" t="s">
        <v>425</v>
      </c>
      <c r="D6" s="154">
        <v>2081</v>
      </c>
      <c r="E6" s="155">
        <v>1</v>
      </c>
      <c r="F6" s="156">
        <v>621.16</v>
      </c>
      <c r="G6" s="156">
        <v>647.51</v>
      </c>
      <c r="H6" s="160">
        <f t="shared" ref="H6:H63" si="0">G6*2-F6</f>
        <v>673.86</v>
      </c>
      <c r="I6" s="158" t="s">
        <v>567</v>
      </c>
    </row>
    <row r="7" spans="1:9" s="159" customFormat="1">
      <c r="A7" s="153"/>
      <c r="B7" s="158" t="s">
        <v>570</v>
      </c>
      <c r="C7" s="158" t="s">
        <v>569</v>
      </c>
      <c r="D7" s="154">
        <v>2259</v>
      </c>
      <c r="E7" s="155">
        <v>1</v>
      </c>
      <c r="F7" s="156"/>
      <c r="G7" s="156"/>
      <c r="H7" s="160"/>
      <c r="I7" s="158" t="s">
        <v>571</v>
      </c>
    </row>
    <row r="8" spans="1:9">
      <c r="A8" s="7"/>
      <c r="B8" s="29" t="s">
        <v>460</v>
      </c>
      <c r="C8" s="29" t="s">
        <v>426</v>
      </c>
      <c r="D8" s="37">
        <v>1593</v>
      </c>
      <c r="E8" s="7"/>
      <c r="F8" s="149">
        <v>1115.52</v>
      </c>
      <c r="G8" s="149">
        <v>1181.01</v>
      </c>
      <c r="H8" s="160">
        <f t="shared" si="0"/>
        <v>1246.5</v>
      </c>
      <c r="I8" s="29"/>
    </row>
    <row r="9" spans="1:9">
      <c r="A9" s="7"/>
      <c r="B9" s="37" t="s">
        <v>463</v>
      </c>
      <c r="C9" s="37" t="s">
        <v>427</v>
      </c>
      <c r="D9" s="37">
        <v>2023</v>
      </c>
      <c r="E9" s="58"/>
      <c r="F9" s="149">
        <v>563.02</v>
      </c>
      <c r="G9" s="149">
        <v>573.82000000000005</v>
      </c>
      <c r="H9" s="160">
        <f t="shared" si="0"/>
        <v>584.62000000000012</v>
      </c>
      <c r="I9" s="29"/>
    </row>
    <row r="10" spans="1:9">
      <c r="A10" s="7"/>
      <c r="B10" s="61" t="s">
        <v>536</v>
      </c>
      <c r="C10" s="61" t="s">
        <v>537</v>
      </c>
      <c r="D10" s="37">
        <v>2238</v>
      </c>
      <c r="E10" s="62"/>
      <c r="F10" s="149">
        <v>555.70000000000005</v>
      </c>
      <c r="G10" s="149">
        <v>566.4</v>
      </c>
      <c r="H10" s="160">
        <f t="shared" si="0"/>
        <v>577.09999999999991</v>
      </c>
      <c r="I10" s="29"/>
    </row>
    <row r="11" spans="1:9">
      <c r="A11" s="7"/>
      <c r="B11" s="29" t="s">
        <v>464</v>
      </c>
      <c r="C11" s="29" t="s">
        <v>428</v>
      </c>
      <c r="D11" s="37">
        <v>1721</v>
      </c>
      <c r="E11" s="7">
        <v>1</v>
      </c>
      <c r="F11" s="149">
        <v>1624.07</v>
      </c>
      <c r="G11" s="149">
        <v>1670</v>
      </c>
      <c r="H11" s="160">
        <f t="shared" si="0"/>
        <v>1715.93</v>
      </c>
      <c r="I11" s="29"/>
    </row>
    <row r="12" spans="1:9">
      <c r="A12" s="7"/>
      <c r="B12" s="29" t="s">
        <v>464</v>
      </c>
      <c r="C12" s="29" t="s">
        <v>429</v>
      </c>
      <c r="D12" s="37">
        <v>2123</v>
      </c>
      <c r="E12" s="7"/>
      <c r="F12" s="149">
        <v>566.69000000000005</v>
      </c>
      <c r="G12" s="149">
        <v>577.52</v>
      </c>
      <c r="H12" s="160">
        <f t="shared" si="0"/>
        <v>588.34999999999991</v>
      </c>
      <c r="I12" s="29"/>
    </row>
    <row r="13" spans="1:9">
      <c r="A13" s="7"/>
      <c r="B13" s="37" t="s">
        <v>465</v>
      </c>
      <c r="C13" s="37" t="s">
        <v>430</v>
      </c>
      <c r="D13" s="37">
        <v>1970</v>
      </c>
      <c r="E13" s="58">
        <v>2</v>
      </c>
      <c r="F13" s="149">
        <v>1476.02</v>
      </c>
      <c r="G13" s="149">
        <v>1508.79</v>
      </c>
      <c r="H13" s="160">
        <f t="shared" si="0"/>
        <v>1541.56</v>
      </c>
      <c r="I13" s="29"/>
    </row>
    <row r="14" spans="1:9" s="159" customFormat="1">
      <c r="A14" s="153"/>
      <c r="B14" s="158" t="s">
        <v>466</v>
      </c>
      <c r="C14" s="158" t="s">
        <v>431</v>
      </c>
      <c r="D14" s="154">
        <v>1794</v>
      </c>
      <c r="E14" s="155">
        <v>3</v>
      </c>
      <c r="F14" s="156">
        <v>2121.63</v>
      </c>
      <c r="G14" s="156">
        <v>2183.1</v>
      </c>
      <c r="H14" s="169">
        <f t="shared" si="0"/>
        <v>2244.5699999999997</v>
      </c>
      <c r="I14" s="158" t="s">
        <v>568</v>
      </c>
    </row>
    <row r="15" spans="1:9" s="159" customFormat="1">
      <c r="A15" s="7"/>
      <c r="B15" s="37" t="s">
        <v>467</v>
      </c>
      <c r="C15" s="37" t="s">
        <v>501</v>
      </c>
      <c r="D15" s="37">
        <v>2201</v>
      </c>
      <c r="E15" s="58"/>
      <c r="F15" s="149">
        <v>933.8</v>
      </c>
      <c r="G15" s="149">
        <v>989.58</v>
      </c>
      <c r="H15" s="160">
        <f t="shared" si="0"/>
        <v>1045.3600000000001</v>
      </c>
      <c r="I15" s="29"/>
    </row>
    <row r="16" spans="1:9" s="133" customFormat="1">
      <c r="A16" s="7"/>
      <c r="B16" s="37" t="s">
        <v>468</v>
      </c>
      <c r="C16" s="37" t="s">
        <v>432</v>
      </c>
      <c r="D16" s="37">
        <v>2194</v>
      </c>
      <c r="E16" s="58"/>
      <c r="F16" s="149">
        <v>468.73</v>
      </c>
      <c r="G16" s="149">
        <v>485.75</v>
      </c>
      <c r="H16" s="160">
        <f t="shared" si="0"/>
        <v>502.77</v>
      </c>
      <c r="I16" s="29"/>
    </row>
    <row r="17" spans="1:9">
      <c r="A17" s="7"/>
      <c r="B17" s="37" t="s">
        <v>542</v>
      </c>
      <c r="C17" s="37" t="s">
        <v>543</v>
      </c>
      <c r="D17" s="37">
        <v>2182</v>
      </c>
      <c r="E17" s="58">
        <v>1</v>
      </c>
      <c r="F17" s="149">
        <v>1421.29</v>
      </c>
      <c r="G17" s="149">
        <v>1497.11</v>
      </c>
      <c r="H17" s="160">
        <f t="shared" si="0"/>
        <v>1572.9299999999998</v>
      </c>
      <c r="I17" s="29"/>
    </row>
    <row r="18" spans="1:9">
      <c r="A18" s="7"/>
      <c r="B18" s="29" t="s">
        <v>469</v>
      </c>
      <c r="C18" s="29" t="s">
        <v>434</v>
      </c>
      <c r="D18" s="37">
        <v>1708</v>
      </c>
      <c r="E18" s="7"/>
      <c r="F18" s="149">
        <v>1315.1</v>
      </c>
      <c r="G18" s="149">
        <v>1368.26</v>
      </c>
      <c r="H18" s="160">
        <f t="shared" si="0"/>
        <v>1421.42</v>
      </c>
      <c r="I18" s="29"/>
    </row>
    <row r="19" spans="1:9" s="159" customFormat="1">
      <c r="A19" s="153"/>
      <c r="B19" s="158" t="s">
        <v>436</v>
      </c>
      <c r="C19" s="158" t="s">
        <v>572</v>
      </c>
      <c r="D19" s="154">
        <v>2250</v>
      </c>
      <c r="E19" s="153">
        <v>2</v>
      </c>
      <c r="F19" s="156"/>
      <c r="G19" s="156"/>
      <c r="H19" s="169"/>
      <c r="I19" s="158" t="s">
        <v>573</v>
      </c>
    </row>
    <row r="20" spans="1:9">
      <c r="A20" s="7"/>
      <c r="B20" s="29" t="s">
        <v>436</v>
      </c>
      <c r="C20" s="29" t="s">
        <v>503</v>
      </c>
      <c r="D20" s="37">
        <v>2120</v>
      </c>
      <c r="E20" s="7">
        <v>1</v>
      </c>
      <c r="F20" s="149">
        <v>1258.8399999999999</v>
      </c>
      <c r="G20" s="149">
        <v>1285.46</v>
      </c>
      <c r="H20" s="160">
        <f t="shared" si="0"/>
        <v>1312.0800000000002</v>
      </c>
      <c r="I20" s="29"/>
    </row>
    <row r="21" spans="1:9">
      <c r="A21" s="7"/>
      <c r="B21" s="29" t="s">
        <v>437</v>
      </c>
      <c r="C21" s="29" t="s">
        <v>504</v>
      </c>
      <c r="D21" s="37">
        <v>2193</v>
      </c>
      <c r="E21" s="7"/>
      <c r="F21" s="149">
        <v>541.51</v>
      </c>
      <c r="G21" s="149">
        <v>555.28</v>
      </c>
      <c r="H21" s="160">
        <f t="shared" si="0"/>
        <v>569.04999999999995</v>
      </c>
      <c r="I21" s="29"/>
    </row>
    <row r="22" spans="1:9">
      <c r="A22" s="7"/>
      <c r="B22" s="61" t="s">
        <v>471</v>
      </c>
      <c r="C22" s="61" t="s">
        <v>438</v>
      </c>
      <c r="D22" s="37">
        <v>640</v>
      </c>
      <c r="E22" s="62"/>
      <c r="F22" s="149">
        <v>1020.77</v>
      </c>
      <c r="G22" s="149">
        <v>1081.3499999999999</v>
      </c>
      <c r="H22" s="160">
        <f t="shared" si="0"/>
        <v>1141.9299999999998</v>
      </c>
      <c r="I22" s="29"/>
    </row>
    <row r="23" spans="1:9">
      <c r="A23" s="7"/>
      <c r="B23" s="29" t="s">
        <v>439</v>
      </c>
      <c r="C23" s="29" t="s">
        <v>505</v>
      </c>
      <c r="D23" s="37">
        <v>901</v>
      </c>
      <c r="E23" s="62"/>
      <c r="F23" s="149">
        <v>1373.22</v>
      </c>
      <c r="G23" s="149">
        <v>1390.5</v>
      </c>
      <c r="H23" s="160">
        <f t="shared" si="0"/>
        <v>1407.78</v>
      </c>
      <c r="I23" s="29"/>
    </row>
    <row r="24" spans="1:9" s="159" customFormat="1">
      <c r="A24" s="153"/>
      <c r="B24" s="158" t="s">
        <v>472</v>
      </c>
      <c r="C24" s="158" t="s">
        <v>574</v>
      </c>
      <c r="D24" s="154">
        <v>2234</v>
      </c>
      <c r="E24" s="171"/>
      <c r="F24" s="156"/>
      <c r="G24" s="156"/>
      <c r="H24" s="169"/>
      <c r="I24" s="158" t="s">
        <v>575</v>
      </c>
    </row>
    <row r="25" spans="1:9">
      <c r="A25" s="7"/>
      <c r="B25" s="29" t="s">
        <v>472</v>
      </c>
      <c r="C25" s="29" t="s">
        <v>440</v>
      </c>
      <c r="D25" s="37">
        <v>1741</v>
      </c>
      <c r="E25" s="7"/>
      <c r="F25" s="149">
        <v>853.69</v>
      </c>
      <c r="G25" s="149">
        <v>904.76</v>
      </c>
      <c r="H25" s="160">
        <f t="shared" si="0"/>
        <v>955.82999999999993</v>
      </c>
      <c r="I25" s="29"/>
    </row>
    <row r="26" spans="1:9">
      <c r="A26" s="7"/>
      <c r="B26" s="37" t="s">
        <v>472</v>
      </c>
      <c r="C26" s="37" t="s">
        <v>441</v>
      </c>
      <c r="D26" s="37">
        <v>1757</v>
      </c>
      <c r="E26" s="58">
        <v>2</v>
      </c>
      <c r="F26" s="150">
        <v>1486.8</v>
      </c>
      <c r="G26" s="150">
        <v>1550.59</v>
      </c>
      <c r="H26" s="160">
        <f t="shared" si="0"/>
        <v>1614.3799999999999</v>
      </c>
      <c r="I26" s="29"/>
    </row>
    <row r="27" spans="1:9">
      <c r="A27" s="7"/>
      <c r="B27" s="37" t="s">
        <v>473</v>
      </c>
      <c r="C27" s="37" t="s">
        <v>442</v>
      </c>
      <c r="D27" s="37">
        <v>2057</v>
      </c>
      <c r="E27" s="58"/>
      <c r="F27" s="149">
        <v>1315.1</v>
      </c>
      <c r="G27" s="149">
        <v>1368.26</v>
      </c>
      <c r="H27" s="160">
        <f t="shared" si="0"/>
        <v>1421.42</v>
      </c>
      <c r="I27" s="29"/>
    </row>
    <row r="28" spans="1:9">
      <c r="A28" s="7"/>
      <c r="B28" s="37" t="s">
        <v>473</v>
      </c>
      <c r="C28" s="37" t="s">
        <v>443</v>
      </c>
      <c r="D28" s="37">
        <v>1210</v>
      </c>
      <c r="E28" s="58"/>
      <c r="F28" s="149">
        <v>1242.32</v>
      </c>
      <c r="G28" s="149">
        <v>1302.44</v>
      </c>
      <c r="H28" s="160">
        <f t="shared" si="0"/>
        <v>1362.5600000000002</v>
      </c>
      <c r="I28" s="29"/>
    </row>
    <row r="29" spans="1:9">
      <c r="A29" s="7"/>
      <c r="B29" s="29" t="s">
        <v>444</v>
      </c>
      <c r="C29" s="29" t="s">
        <v>506</v>
      </c>
      <c r="D29" s="37">
        <v>1460</v>
      </c>
      <c r="E29" s="7"/>
      <c r="F29" s="149">
        <v>715.45</v>
      </c>
      <c r="G29" s="149">
        <v>757.83</v>
      </c>
      <c r="H29" s="160">
        <f t="shared" si="0"/>
        <v>800.21</v>
      </c>
    </row>
    <row r="30" spans="1:9" s="159" customFormat="1">
      <c r="A30" s="153"/>
      <c r="B30" s="158" t="s">
        <v>474</v>
      </c>
      <c r="C30" s="158" t="s">
        <v>576</v>
      </c>
      <c r="D30" s="154">
        <v>2248</v>
      </c>
      <c r="E30" s="153">
        <v>3</v>
      </c>
      <c r="F30" s="156"/>
      <c r="G30" s="156"/>
      <c r="H30" s="169"/>
      <c r="I30" s="158" t="s">
        <v>577</v>
      </c>
    </row>
    <row r="31" spans="1:9">
      <c r="A31" s="7"/>
      <c r="B31" s="29" t="s">
        <v>474</v>
      </c>
      <c r="C31" s="29" t="s">
        <v>507</v>
      </c>
      <c r="D31" s="37">
        <v>2062</v>
      </c>
      <c r="E31" s="7">
        <v>1</v>
      </c>
      <c r="F31" s="149">
        <v>912.54</v>
      </c>
      <c r="G31" s="149">
        <v>931.26</v>
      </c>
      <c r="H31" s="160">
        <f t="shared" si="0"/>
        <v>949.98</v>
      </c>
      <c r="I31" s="29"/>
    </row>
    <row r="32" spans="1:9">
      <c r="A32" s="7"/>
      <c r="B32" s="29" t="s">
        <v>474</v>
      </c>
      <c r="C32" s="29" t="s">
        <v>508</v>
      </c>
      <c r="D32" s="37">
        <v>2121</v>
      </c>
      <c r="E32" s="7"/>
      <c r="F32" s="149">
        <v>530.52</v>
      </c>
      <c r="G32" s="149">
        <v>548.32000000000005</v>
      </c>
      <c r="H32" s="160">
        <f t="shared" si="0"/>
        <v>566.12000000000012</v>
      </c>
      <c r="I32" s="29"/>
    </row>
    <row r="33" spans="1:9" s="159" customFormat="1">
      <c r="A33" s="153"/>
      <c r="B33" s="158" t="s">
        <v>445</v>
      </c>
      <c r="C33" s="158" t="s">
        <v>509</v>
      </c>
      <c r="D33" s="154">
        <v>2030</v>
      </c>
      <c r="E33" s="155"/>
      <c r="F33" s="156">
        <v>977.28</v>
      </c>
      <c r="G33" s="156">
        <v>1033.6099999999999</v>
      </c>
      <c r="H33" s="169">
        <f t="shared" si="0"/>
        <v>1089.9399999999998</v>
      </c>
      <c r="I33" s="158" t="s">
        <v>565</v>
      </c>
    </row>
    <row r="34" spans="1:9">
      <c r="A34" s="7"/>
      <c r="B34" s="37" t="s">
        <v>475</v>
      </c>
      <c r="C34" s="37" t="s">
        <v>446</v>
      </c>
      <c r="D34" s="37">
        <v>2003</v>
      </c>
      <c r="E34" s="58"/>
      <c r="F34" s="149">
        <v>555.70000000000005</v>
      </c>
      <c r="G34" s="149">
        <v>566.4</v>
      </c>
      <c r="H34" s="160">
        <f t="shared" si="0"/>
        <v>577.09999999999991</v>
      </c>
      <c r="I34" s="29"/>
    </row>
    <row r="35" spans="1:9">
      <c r="A35" s="7"/>
      <c r="B35" s="29" t="s">
        <v>476</v>
      </c>
      <c r="C35" s="29" t="s">
        <v>447</v>
      </c>
      <c r="D35" s="37">
        <v>2019</v>
      </c>
      <c r="E35" s="58">
        <v>1</v>
      </c>
      <c r="F35" s="149">
        <v>949.16</v>
      </c>
      <c r="G35" s="149">
        <v>972.05</v>
      </c>
      <c r="H35" s="160">
        <f t="shared" si="0"/>
        <v>994.93999999999994</v>
      </c>
      <c r="I35" s="29"/>
    </row>
    <row r="36" spans="1:9" s="133" customFormat="1">
      <c r="A36" s="7"/>
      <c r="B36" s="29" t="s">
        <v>478</v>
      </c>
      <c r="C36" s="29" t="s">
        <v>448</v>
      </c>
      <c r="D36" s="37">
        <v>2172</v>
      </c>
      <c r="E36" s="58"/>
      <c r="F36" s="149">
        <v>1315.1</v>
      </c>
      <c r="G36" s="149">
        <v>1368.26</v>
      </c>
      <c r="H36" s="160">
        <f t="shared" si="0"/>
        <v>1421.42</v>
      </c>
      <c r="I36" s="29"/>
    </row>
    <row r="37" spans="1:9">
      <c r="A37" s="145"/>
      <c r="B37" s="37" t="s">
        <v>497</v>
      </c>
      <c r="C37" s="37" t="s">
        <v>461</v>
      </c>
      <c r="D37" s="37">
        <v>2082</v>
      </c>
      <c r="E37" s="58"/>
      <c r="F37" s="149">
        <v>541.51</v>
      </c>
      <c r="G37" s="149">
        <v>555.28</v>
      </c>
      <c r="H37" s="160">
        <f t="shared" si="0"/>
        <v>569.04999999999995</v>
      </c>
      <c r="I37" s="29"/>
    </row>
    <row r="38" spans="1:9">
      <c r="A38" s="7"/>
      <c r="B38" s="29" t="s">
        <v>479</v>
      </c>
      <c r="C38" s="29" t="s">
        <v>449</v>
      </c>
      <c r="D38" s="37">
        <v>2119</v>
      </c>
      <c r="E38" s="7"/>
      <c r="F38" s="149">
        <v>457.74</v>
      </c>
      <c r="G38" s="149">
        <v>465.36</v>
      </c>
      <c r="H38" s="160">
        <f t="shared" si="0"/>
        <v>472.98</v>
      </c>
      <c r="I38" s="29"/>
    </row>
    <row r="39" spans="1:9" s="159" customFormat="1" ht="15">
      <c r="A39" s="153"/>
      <c r="B39" s="170" t="s">
        <v>480</v>
      </c>
      <c r="C39" s="170" t="s">
        <v>511</v>
      </c>
      <c r="D39" s="154">
        <v>2231</v>
      </c>
      <c r="E39" s="153">
        <v>3</v>
      </c>
      <c r="F39" s="156">
        <v>2228.09</v>
      </c>
      <c r="G39" s="156">
        <v>2311.58</v>
      </c>
      <c r="H39" s="169">
        <f t="shared" si="0"/>
        <v>2395.0699999999997</v>
      </c>
      <c r="I39" s="158" t="s">
        <v>578</v>
      </c>
    </row>
    <row r="40" spans="1:9" s="159" customFormat="1">
      <c r="A40" s="153"/>
      <c r="B40" s="158" t="s">
        <v>481</v>
      </c>
      <c r="C40" s="158" t="s">
        <v>450</v>
      </c>
      <c r="D40" s="154">
        <v>1975</v>
      </c>
      <c r="E40" s="153"/>
      <c r="F40" s="156">
        <v>559.36</v>
      </c>
      <c r="G40" s="156">
        <v>570.11</v>
      </c>
      <c r="H40" s="169">
        <f t="shared" si="0"/>
        <v>580.86</v>
      </c>
      <c r="I40" s="158" t="s">
        <v>579</v>
      </c>
    </row>
    <row r="41" spans="1:9">
      <c r="A41" s="7"/>
      <c r="B41" s="29" t="s">
        <v>482</v>
      </c>
      <c r="C41" s="29" t="s">
        <v>512</v>
      </c>
      <c r="D41" s="37">
        <v>2203</v>
      </c>
      <c r="E41" s="7"/>
      <c r="F41" s="149">
        <v>548.38</v>
      </c>
      <c r="G41" s="149">
        <v>562.69000000000005</v>
      </c>
      <c r="H41" s="160">
        <f t="shared" si="0"/>
        <v>577.00000000000011</v>
      </c>
      <c r="I41" s="29"/>
    </row>
    <row r="42" spans="1:9" s="133" customFormat="1">
      <c r="A42" s="7"/>
      <c r="B42" s="29" t="s">
        <v>547</v>
      </c>
      <c r="C42" s="29" t="s">
        <v>548</v>
      </c>
      <c r="D42" s="37">
        <v>2245</v>
      </c>
      <c r="E42" s="7"/>
      <c r="F42" s="149">
        <v>1217.8499999999999</v>
      </c>
      <c r="G42" s="149">
        <v>1273.33</v>
      </c>
      <c r="H42" s="160">
        <f t="shared" si="0"/>
        <v>1328.81</v>
      </c>
      <c r="I42" s="29"/>
    </row>
    <row r="43" spans="1:9">
      <c r="A43" s="7"/>
      <c r="B43" s="37" t="s">
        <v>483</v>
      </c>
      <c r="C43" s="37" t="s">
        <v>452</v>
      </c>
      <c r="D43" s="37">
        <v>2001</v>
      </c>
      <c r="E43" s="58"/>
      <c r="F43" s="149">
        <v>977.28</v>
      </c>
      <c r="G43" s="149">
        <v>1033.6099999999999</v>
      </c>
      <c r="H43" s="160">
        <f t="shared" si="0"/>
        <v>1089.9399999999998</v>
      </c>
      <c r="I43" s="29"/>
    </row>
    <row r="44" spans="1:9">
      <c r="A44" s="7"/>
      <c r="B44" s="37" t="s">
        <v>484</v>
      </c>
      <c r="C44" s="37" t="s">
        <v>514</v>
      </c>
      <c r="D44" s="37">
        <v>2160</v>
      </c>
      <c r="E44" s="58">
        <v>1</v>
      </c>
      <c r="F44" s="149">
        <v>1478.51</v>
      </c>
      <c r="G44" s="149">
        <v>1544.85</v>
      </c>
      <c r="H44" s="160">
        <f t="shared" si="0"/>
        <v>1611.1899999999998</v>
      </c>
      <c r="I44" s="29"/>
    </row>
    <row r="45" spans="1:9">
      <c r="A45" s="7"/>
      <c r="B45" s="29" t="s">
        <v>551</v>
      </c>
      <c r="C45" s="29" t="s">
        <v>552</v>
      </c>
      <c r="D45" s="37">
        <v>2246</v>
      </c>
      <c r="E45" s="58"/>
      <c r="F45" s="149">
        <v>519.54</v>
      </c>
      <c r="G45" s="149">
        <v>537.20000000000005</v>
      </c>
      <c r="H45" s="160">
        <f t="shared" si="0"/>
        <v>554.86000000000013</v>
      </c>
      <c r="I45" s="29"/>
    </row>
    <row r="46" spans="1:9" s="133" customFormat="1">
      <c r="A46" s="7"/>
      <c r="B46" s="29" t="s">
        <v>485</v>
      </c>
      <c r="C46" s="29" t="s">
        <v>515</v>
      </c>
      <c r="D46" s="37">
        <v>2018</v>
      </c>
      <c r="E46" s="7"/>
      <c r="F46" s="149">
        <v>1286.26</v>
      </c>
      <c r="G46" s="149">
        <v>1331.64</v>
      </c>
      <c r="H46" s="160">
        <f t="shared" si="0"/>
        <v>1377.0200000000002</v>
      </c>
      <c r="I46" s="29"/>
    </row>
    <row r="47" spans="1:9">
      <c r="A47" s="7"/>
      <c r="B47" s="37" t="s">
        <v>486</v>
      </c>
      <c r="C47" s="37" t="s">
        <v>453</v>
      </c>
      <c r="D47" s="37">
        <v>1692</v>
      </c>
      <c r="E47" s="58">
        <v>2</v>
      </c>
      <c r="F47" s="149">
        <v>1478.51</v>
      </c>
      <c r="G47" s="149">
        <v>1544.85</v>
      </c>
      <c r="H47" s="160">
        <f t="shared" si="0"/>
        <v>1611.1899999999998</v>
      </c>
      <c r="I47" s="29"/>
    </row>
    <row r="48" spans="1:9" s="133" customFormat="1">
      <c r="A48" s="7"/>
      <c r="B48" s="37" t="s">
        <v>486</v>
      </c>
      <c r="C48" s="37" t="s">
        <v>454</v>
      </c>
      <c r="D48" s="37">
        <v>2027</v>
      </c>
      <c r="E48" s="58"/>
      <c r="F48" s="149">
        <v>541.51</v>
      </c>
      <c r="G48" s="149">
        <v>555.28</v>
      </c>
      <c r="H48" s="160">
        <f t="shared" si="0"/>
        <v>569.04999999999995</v>
      </c>
      <c r="I48" s="29"/>
    </row>
    <row r="49" spans="1:12">
      <c r="A49" s="7"/>
      <c r="B49" s="29" t="s">
        <v>487</v>
      </c>
      <c r="C49" s="29" t="s">
        <v>516</v>
      </c>
      <c r="D49" s="37">
        <v>2060</v>
      </c>
      <c r="E49" s="58"/>
      <c r="F49" s="149">
        <v>780.91</v>
      </c>
      <c r="G49" s="149">
        <v>827.82</v>
      </c>
      <c r="H49" s="160">
        <f t="shared" si="0"/>
        <v>874.73000000000013</v>
      </c>
      <c r="I49" s="29"/>
    </row>
    <row r="50" spans="1:12">
      <c r="A50" s="7"/>
      <c r="B50" s="29" t="s">
        <v>488</v>
      </c>
      <c r="C50" s="29" t="s">
        <v>517</v>
      </c>
      <c r="D50" s="37">
        <v>1649</v>
      </c>
      <c r="E50" s="58"/>
      <c r="F50" s="149">
        <v>1373.22</v>
      </c>
      <c r="G50" s="149">
        <v>1390.5</v>
      </c>
      <c r="H50" s="160">
        <f t="shared" si="0"/>
        <v>1407.78</v>
      </c>
      <c r="I50" s="29"/>
    </row>
    <row r="51" spans="1:12">
      <c r="A51" s="7"/>
      <c r="B51" s="29" t="s">
        <v>489</v>
      </c>
      <c r="C51" s="29" t="s">
        <v>455</v>
      </c>
      <c r="D51" s="37">
        <v>2090</v>
      </c>
      <c r="E51" s="58"/>
      <c r="F51" s="149">
        <v>977.28</v>
      </c>
      <c r="G51" s="149">
        <v>1033.6099999999999</v>
      </c>
      <c r="H51" s="160">
        <f t="shared" si="0"/>
        <v>1089.9399999999998</v>
      </c>
      <c r="I51" s="29"/>
    </row>
    <row r="52" spans="1:12">
      <c r="A52" s="7"/>
      <c r="B52" s="29" t="s">
        <v>490</v>
      </c>
      <c r="C52" s="29" t="s">
        <v>518</v>
      </c>
      <c r="D52" s="37">
        <v>1050</v>
      </c>
      <c r="E52" s="58"/>
      <c r="F52" s="149">
        <v>1373.22</v>
      </c>
      <c r="G52" s="149">
        <v>1390.5</v>
      </c>
      <c r="H52" s="160">
        <f t="shared" si="0"/>
        <v>1407.78</v>
      </c>
      <c r="I52" s="29"/>
    </row>
    <row r="53" spans="1:12">
      <c r="A53" s="7"/>
      <c r="B53" s="29" t="s">
        <v>491</v>
      </c>
      <c r="C53" s="29" t="s">
        <v>456</v>
      </c>
      <c r="D53" s="37">
        <v>1964</v>
      </c>
      <c r="E53" s="58"/>
      <c r="F53" s="149">
        <v>639.47</v>
      </c>
      <c r="G53" s="149">
        <v>669.3</v>
      </c>
      <c r="H53" s="160">
        <f t="shared" si="0"/>
        <v>699.12999999999988</v>
      </c>
      <c r="I53" s="29"/>
    </row>
    <row r="54" spans="1:12">
      <c r="A54" s="7"/>
      <c r="B54" s="37" t="s">
        <v>492</v>
      </c>
      <c r="C54" s="37" t="s">
        <v>519</v>
      </c>
      <c r="D54" s="37">
        <v>1981</v>
      </c>
      <c r="E54" s="58"/>
      <c r="F54" s="149">
        <v>563.02</v>
      </c>
      <c r="G54" s="149">
        <v>573.82000000000005</v>
      </c>
      <c r="H54" s="160">
        <f t="shared" si="0"/>
        <v>584.62000000000012</v>
      </c>
      <c r="I54" s="29"/>
    </row>
    <row r="55" spans="1:12">
      <c r="A55" s="7"/>
      <c r="B55" s="29" t="s">
        <v>492</v>
      </c>
      <c r="C55" s="29" t="s">
        <v>520</v>
      </c>
      <c r="D55" s="37">
        <v>1662</v>
      </c>
      <c r="E55" s="58">
        <v>1</v>
      </c>
      <c r="F55" s="149">
        <v>1104.99</v>
      </c>
      <c r="G55" s="149">
        <v>1158.75</v>
      </c>
      <c r="H55" s="160">
        <f t="shared" si="0"/>
        <v>1212.51</v>
      </c>
      <c r="I55" s="29"/>
    </row>
    <row r="56" spans="1:12">
      <c r="A56" s="7"/>
      <c r="B56" s="37" t="s">
        <v>493</v>
      </c>
      <c r="C56" s="37" t="s">
        <v>457</v>
      </c>
      <c r="D56" s="37">
        <v>1630</v>
      </c>
      <c r="E56" s="58">
        <v>1</v>
      </c>
      <c r="F56" s="149">
        <v>1351.26</v>
      </c>
      <c r="G56" s="149">
        <v>1409.05</v>
      </c>
      <c r="H56" s="160">
        <f t="shared" si="0"/>
        <v>1466.84</v>
      </c>
      <c r="I56" s="29"/>
    </row>
    <row r="57" spans="1:12">
      <c r="A57" s="7"/>
      <c r="B57" s="29" t="s">
        <v>458</v>
      </c>
      <c r="C57" s="29" t="s">
        <v>521</v>
      </c>
      <c r="D57" s="37">
        <v>2006</v>
      </c>
      <c r="E57" s="7"/>
      <c r="F57" s="149">
        <v>555.70000000000005</v>
      </c>
      <c r="G57" s="149">
        <v>566.4</v>
      </c>
      <c r="H57" s="160">
        <f t="shared" si="0"/>
        <v>577.09999999999991</v>
      </c>
      <c r="I57" s="29"/>
    </row>
    <row r="58" spans="1:12">
      <c r="A58" s="7"/>
      <c r="B58" s="37" t="s">
        <v>494</v>
      </c>
      <c r="C58" s="37" t="s">
        <v>522</v>
      </c>
      <c r="D58" s="37">
        <v>2212</v>
      </c>
      <c r="E58" s="7"/>
      <c r="F58" s="149">
        <v>530.52</v>
      </c>
      <c r="G58" s="149">
        <v>548.32000000000005</v>
      </c>
      <c r="H58" s="160">
        <f t="shared" si="0"/>
        <v>566.12000000000012</v>
      </c>
      <c r="I58" s="29"/>
    </row>
    <row r="59" spans="1:12">
      <c r="A59" s="7"/>
      <c r="B59" s="29" t="s">
        <v>534</v>
      </c>
      <c r="C59" s="29" t="s">
        <v>533</v>
      </c>
      <c r="D59" s="37">
        <v>2010</v>
      </c>
      <c r="E59" s="58">
        <v>1</v>
      </c>
      <c r="F59" s="149">
        <v>1206.1500000000001</v>
      </c>
      <c r="G59" s="149">
        <v>1254.24</v>
      </c>
      <c r="H59" s="160">
        <f t="shared" si="0"/>
        <v>1302.33</v>
      </c>
      <c r="I59" s="29"/>
    </row>
    <row r="60" spans="1:12">
      <c r="A60" s="7"/>
      <c r="B60" s="29" t="s">
        <v>534</v>
      </c>
      <c r="C60" s="29" t="s">
        <v>580</v>
      </c>
      <c r="D60" s="37">
        <v>2187</v>
      </c>
      <c r="E60" s="58">
        <v>2</v>
      </c>
      <c r="F60" s="149"/>
      <c r="G60" s="149"/>
      <c r="H60" s="160"/>
      <c r="I60" s="29" t="s">
        <v>581</v>
      </c>
    </row>
    <row r="61" spans="1:12">
      <c r="A61" s="7"/>
      <c r="B61" s="37" t="s">
        <v>495</v>
      </c>
      <c r="C61" s="37" t="s">
        <v>459</v>
      </c>
      <c r="D61" s="37">
        <v>2095</v>
      </c>
      <c r="E61" s="7"/>
      <c r="F61" s="149">
        <v>519.54</v>
      </c>
      <c r="G61" s="149">
        <v>537.20000000000005</v>
      </c>
      <c r="H61" s="160">
        <f t="shared" si="0"/>
        <v>554.86000000000013</v>
      </c>
      <c r="I61" s="29"/>
    </row>
    <row r="62" spans="1:12" s="159" customFormat="1">
      <c r="A62" s="153"/>
      <c r="B62" s="154" t="s">
        <v>495</v>
      </c>
      <c r="C62" s="154" t="s">
        <v>566</v>
      </c>
      <c r="D62" s="154"/>
      <c r="E62" s="153"/>
      <c r="F62" s="156"/>
      <c r="G62" s="156"/>
      <c r="H62" s="169"/>
      <c r="I62" s="158" t="s">
        <v>582</v>
      </c>
    </row>
    <row r="63" spans="1:12">
      <c r="A63" s="7"/>
      <c r="B63" s="37" t="s">
        <v>530</v>
      </c>
      <c r="C63" s="37" t="s">
        <v>529</v>
      </c>
      <c r="D63" s="37">
        <v>2089</v>
      </c>
      <c r="E63" s="58"/>
      <c r="F63" s="149">
        <v>519.54</v>
      </c>
      <c r="G63" s="149">
        <v>537.20000000000005</v>
      </c>
      <c r="H63" s="160">
        <f t="shared" si="0"/>
        <v>554.86000000000013</v>
      </c>
      <c r="I63" s="29"/>
    </row>
    <row r="64" spans="1:12">
      <c r="A64" s="113"/>
      <c r="B64" s="102"/>
      <c r="C64" s="102"/>
      <c r="D64" s="102"/>
      <c r="E64" s="115"/>
      <c r="F64" s="117"/>
      <c r="G64" s="117"/>
      <c r="H64" s="117"/>
      <c r="I64" s="114"/>
      <c r="K64" s="15"/>
      <c r="L64" s="15"/>
    </row>
    <row r="65" spans="1:12">
      <c r="A65" s="458" t="s">
        <v>315</v>
      </c>
      <c r="B65" s="459"/>
      <c r="C65" s="459"/>
      <c r="D65" s="459"/>
      <c r="E65" s="460"/>
      <c r="F65" s="111"/>
      <c r="G65" s="111"/>
      <c r="H65" s="111">
        <f>SUM(H5:H63)</f>
        <v>55404.590000000004</v>
      </c>
      <c r="I65" s="112"/>
    </row>
    <row r="66" spans="1:12">
      <c r="A66" s="431" t="s">
        <v>258</v>
      </c>
      <c r="B66" s="432"/>
      <c r="C66" s="141"/>
      <c r="D66" s="141"/>
      <c r="E66" s="7">
        <f>COUNTA(B6:B64)</f>
        <v>58</v>
      </c>
      <c r="F66" s="52"/>
      <c r="G66" s="52"/>
      <c r="H66" s="52"/>
      <c r="I66" s="29"/>
    </row>
    <row r="67" spans="1:12">
      <c r="A67" s="431" t="s">
        <v>242</v>
      </c>
      <c r="B67" s="432"/>
      <c r="C67" s="141"/>
      <c r="D67" s="141"/>
      <c r="E67" s="58">
        <v>17</v>
      </c>
      <c r="F67" s="52"/>
      <c r="G67" s="52"/>
      <c r="H67" s="52"/>
      <c r="I67" s="29"/>
    </row>
    <row r="68" spans="1:12">
      <c r="A68" s="433" t="s">
        <v>246</v>
      </c>
      <c r="B68" s="434"/>
      <c r="C68" s="92"/>
      <c r="D68" s="92"/>
      <c r="E68" s="86">
        <f>E66+E67</f>
        <v>75</v>
      </c>
      <c r="F68" s="52"/>
      <c r="G68" s="52"/>
      <c r="H68" s="52"/>
      <c r="I68" s="29"/>
    </row>
    <row r="69" spans="1:12">
      <c r="A69" s="425" t="s">
        <v>257</v>
      </c>
      <c r="B69" s="426"/>
      <c r="C69" s="426"/>
      <c r="D69" s="426"/>
      <c r="E69" s="427"/>
      <c r="F69" s="77"/>
      <c r="G69" s="77"/>
      <c r="H69" s="77"/>
      <c r="I69" s="75"/>
      <c r="K69" s="15"/>
    </row>
    <row r="70" spans="1:12" ht="23" customHeight="1">
      <c r="A70" s="91"/>
      <c r="B70" s="131"/>
      <c r="C70" s="131"/>
      <c r="D70" s="134"/>
      <c r="E70" s="104"/>
      <c r="F70" s="94"/>
      <c r="G70" s="94"/>
      <c r="H70" s="94"/>
      <c r="I70" s="138"/>
    </row>
    <row r="71" spans="1:12" ht="12" customHeight="1">
      <c r="A71" s="428" t="s">
        <v>265</v>
      </c>
      <c r="B71" s="429"/>
      <c r="C71" s="429"/>
      <c r="D71" s="429"/>
      <c r="E71" s="430"/>
      <c r="F71" s="83">
        <f>SUM(F70:F70)</f>
        <v>0</v>
      </c>
      <c r="G71" s="83"/>
      <c r="H71" s="83"/>
      <c r="I71" s="75"/>
    </row>
    <row r="72" spans="1:12">
      <c r="A72" s="422" t="s">
        <v>37</v>
      </c>
      <c r="B72" s="423"/>
      <c r="C72" s="423"/>
      <c r="D72" s="423"/>
      <c r="E72" s="424"/>
      <c r="F72" s="80"/>
      <c r="G72" s="80"/>
      <c r="H72" s="80">
        <f>H65</f>
        <v>55404.590000000004</v>
      </c>
      <c r="I72" s="84"/>
    </row>
    <row r="73" spans="1:12" ht="18">
      <c r="F73" s="151" t="s">
        <v>250</v>
      </c>
      <c r="G73" s="151"/>
      <c r="H73" s="151"/>
      <c r="I73" s="118">
        <v>44560</v>
      </c>
    </row>
    <row r="74" spans="1:12" ht="18">
      <c r="F74" s="151" t="s">
        <v>251</v>
      </c>
      <c r="G74" s="151"/>
      <c r="H74" s="151"/>
      <c r="I74" s="119" t="s">
        <v>337</v>
      </c>
    </row>
    <row r="80" spans="1:12" s="3" customFormat="1">
      <c r="A80"/>
      <c r="B80"/>
      <c r="C80"/>
      <c r="D80"/>
      <c r="F80" s="152"/>
      <c r="G80" s="152"/>
      <c r="H80" s="152"/>
      <c r="I80"/>
      <c r="J80"/>
      <c r="K80"/>
      <c r="L80"/>
    </row>
  </sheetData>
  <autoFilter ref="A4:I4" xr:uid="{EC283F26-1258-B84E-AE05-5C35489C3CC6}">
    <sortState xmlns:xlrd2="http://schemas.microsoft.com/office/spreadsheetml/2017/richdata2" ref="A5:I63">
      <sortCondition ref="B4:B63"/>
    </sortState>
  </autoFilter>
  <mergeCells count="8">
    <mergeCell ref="A71:E71"/>
    <mergeCell ref="A72:E72"/>
    <mergeCell ref="F3:I3"/>
    <mergeCell ref="A65:E65"/>
    <mergeCell ref="A66:B66"/>
    <mergeCell ref="A67:B67"/>
    <mergeCell ref="A68:B68"/>
    <mergeCell ref="A69:E69"/>
  </mergeCells>
  <conditionalFormatting sqref="B16:C16">
    <cfRule type="duplicateValues" dxfId="755" priority="35"/>
  </conditionalFormatting>
  <conditionalFormatting sqref="B21:C21">
    <cfRule type="duplicateValues" dxfId="754" priority="36"/>
  </conditionalFormatting>
  <conditionalFormatting sqref="B63:C64 B14:C17 B9:C12 D6:D64 B58:C60 B51:C52 B41:C48 B54:C56 B38:C38 B20:C21 B23:C27 B35:C36 B29:C33">
    <cfRule type="duplicateValues" dxfId="753" priority="33"/>
  </conditionalFormatting>
  <conditionalFormatting sqref="B70:D70">
    <cfRule type="duplicateValues" dxfId="752" priority="9"/>
    <cfRule type="duplicateValues" dxfId="751" priority="10"/>
    <cfRule type="duplicateValues" dxfId="750" priority="11"/>
  </conditionalFormatting>
  <conditionalFormatting sqref="B71:D74 B63:C69 D1:D3 B14:C17 B9:C12 B1:C5 D6:D69 B58:C60 B51:C52 B41:C48 B54:C56 B38:C38 B20:C21 B23:C27 B35:C36 B29:C33">
    <cfRule type="duplicateValues" dxfId="749" priority="32"/>
  </conditionalFormatting>
  <conditionalFormatting sqref="B71:D1048576 D1:D3 B9:C12 B14:C17 B1:C5 B63:C69 D6:D69 B58:C60 B51:C52 B41:C48 B54:C56 B38:C38 B20:C21 B23:C27 B35:C36 B29:C33">
    <cfRule type="duplicateValues" dxfId="748" priority="24"/>
  </conditionalFormatting>
  <conditionalFormatting sqref="B75:D1048576">
    <cfRule type="duplicateValues" dxfId="747" priority="34"/>
  </conditionalFormatting>
  <conditionalFormatting sqref="D4:D5">
    <cfRule type="duplicateValues" dxfId="746" priority="22"/>
    <cfRule type="duplicateValues" dxfId="745" priority="23"/>
  </conditionalFormatting>
  <conditionalFormatting sqref="E6:E63">
    <cfRule type="notContainsBlanks" dxfId="744" priority="26">
      <formula>LEN(TRIM(E6))&gt;0</formula>
    </cfRule>
  </conditionalFormatting>
  <conditionalFormatting sqref="E16 B16:C16">
    <cfRule type="duplicateValues" dxfId="743" priority="31"/>
  </conditionalFormatting>
  <conditionalFormatting sqref="E21 B21:C21">
    <cfRule type="duplicateValues" dxfId="742" priority="30"/>
  </conditionalFormatting>
  <conditionalFormatting sqref="E22">
    <cfRule type="duplicateValues" dxfId="741" priority="27"/>
    <cfRule type="duplicateValues" dxfId="740" priority="28"/>
    <cfRule type="duplicateValues" dxfId="739" priority="29"/>
  </conditionalFormatting>
  <conditionalFormatting sqref="I6:I28 I30:I72">
    <cfRule type="notContainsBlanks" dxfId="738" priority="25">
      <formula>LEN(TRIM(I6))&gt;0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0E84-9DBD-E143-8632-878B6B0E450C}">
  <sheetPr>
    <tabColor theme="8"/>
    <pageSetUpPr fitToPage="1"/>
  </sheetPr>
  <dimension ref="A1:J79"/>
  <sheetViews>
    <sheetView zoomScale="150" zoomScaleNormal="150" zoomScalePageLayoutView="140" workbookViewId="0">
      <pane xSplit="3" ySplit="4" topLeftCell="D43" activePane="bottomRight" state="frozen"/>
      <selection pane="topRight" activeCell="D1" sqref="D1"/>
      <selection pane="bottomLeft" activeCell="A5" sqref="A5"/>
      <selection pane="bottomRight" activeCell="D16" sqref="D16"/>
    </sheetView>
  </sheetViews>
  <sheetFormatPr baseColWidth="10" defaultColWidth="8.83203125" defaultRowHeight="13"/>
  <cols>
    <col min="1" max="1" width="5.6640625" customWidth="1"/>
    <col min="2" max="2" width="19.83203125" customWidth="1"/>
    <col min="3" max="3" width="17.83203125" customWidth="1"/>
    <col min="4" max="4" width="10.83203125" customWidth="1"/>
    <col min="5" max="5" width="10.5" style="3" bestFit="1" customWidth="1"/>
    <col min="6" max="6" width="14.83203125" style="152" customWidth="1"/>
    <col min="7" max="7" width="31.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146" t="s">
        <v>342</v>
      </c>
      <c r="G1" s="68" t="s">
        <v>223</v>
      </c>
    </row>
    <row r="2" spans="1:7" ht="13.5" customHeight="1">
      <c r="A2" s="1" t="s">
        <v>249</v>
      </c>
      <c r="F2" s="51" t="s">
        <v>558</v>
      </c>
      <c r="G2" s="123">
        <v>44531</v>
      </c>
    </row>
    <row r="3" spans="1:7" ht="14" customHeight="1">
      <c r="F3" s="461" t="s">
        <v>540</v>
      </c>
      <c r="G3" s="461"/>
    </row>
    <row r="4" spans="1:7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147" t="s">
        <v>224</v>
      </c>
      <c r="G4" s="50" t="s">
        <v>227</v>
      </c>
    </row>
    <row r="5" spans="1:7" s="133" customFormat="1">
      <c r="A5" s="130"/>
      <c r="B5" s="162" t="s">
        <v>556</v>
      </c>
      <c r="C5" s="162" t="s">
        <v>557</v>
      </c>
      <c r="D5" s="163">
        <v>2247</v>
      </c>
      <c r="E5" s="130"/>
      <c r="F5" s="164">
        <v>457.74</v>
      </c>
      <c r="G5" s="130" t="s">
        <v>549</v>
      </c>
    </row>
    <row r="6" spans="1:7">
      <c r="A6" s="7"/>
      <c r="B6" s="29" t="s">
        <v>462</v>
      </c>
      <c r="C6" s="29" t="s">
        <v>425</v>
      </c>
      <c r="D6" s="37">
        <v>2081</v>
      </c>
      <c r="E6" s="58"/>
      <c r="F6" s="149">
        <v>621.16</v>
      </c>
      <c r="G6" s="29"/>
    </row>
    <row r="7" spans="1:7">
      <c r="A7" s="7"/>
      <c r="B7" s="29" t="s">
        <v>460</v>
      </c>
      <c r="C7" s="29" t="s">
        <v>426</v>
      </c>
      <c r="D7" s="37">
        <v>1593</v>
      </c>
      <c r="E7" s="7"/>
      <c r="F7" s="149">
        <v>1115.52</v>
      </c>
      <c r="G7" s="29"/>
    </row>
    <row r="8" spans="1:7">
      <c r="A8" s="7"/>
      <c r="B8" s="37" t="s">
        <v>463</v>
      </c>
      <c r="C8" s="37" t="s">
        <v>427</v>
      </c>
      <c r="D8" s="37">
        <v>2023</v>
      </c>
      <c r="E8" s="58"/>
      <c r="F8" s="149">
        <v>563.02</v>
      </c>
      <c r="G8" s="29"/>
    </row>
    <row r="9" spans="1:7">
      <c r="A9" s="7"/>
      <c r="B9" s="61" t="s">
        <v>536</v>
      </c>
      <c r="C9" s="61" t="s">
        <v>537</v>
      </c>
      <c r="D9" s="37">
        <v>2238</v>
      </c>
      <c r="E9" s="62"/>
      <c r="F9" s="149">
        <v>555.70000000000005</v>
      </c>
      <c r="G9" s="29"/>
    </row>
    <row r="10" spans="1:7">
      <c r="A10" s="7"/>
      <c r="B10" s="29" t="s">
        <v>464</v>
      </c>
      <c r="C10" s="29" t="s">
        <v>428</v>
      </c>
      <c r="D10" s="37">
        <v>1721</v>
      </c>
      <c r="E10" s="7">
        <v>1</v>
      </c>
      <c r="F10" s="149">
        <v>1624.07</v>
      </c>
      <c r="G10" s="29"/>
    </row>
    <row r="11" spans="1:7">
      <c r="A11" s="7"/>
      <c r="B11" s="29" t="s">
        <v>464</v>
      </c>
      <c r="C11" s="29" t="s">
        <v>429</v>
      </c>
      <c r="D11" s="37">
        <v>2123</v>
      </c>
      <c r="E11" s="7"/>
      <c r="F11" s="149">
        <v>566.69000000000005</v>
      </c>
      <c r="G11" s="29"/>
    </row>
    <row r="12" spans="1:7">
      <c r="A12" s="7"/>
      <c r="B12" s="37" t="s">
        <v>465</v>
      </c>
      <c r="C12" s="37" t="s">
        <v>430</v>
      </c>
      <c r="D12" s="37">
        <v>1970</v>
      </c>
      <c r="E12" s="58">
        <v>2</v>
      </c>
      <c r="F12" s="149">
        <v>1476.02</v>
      </c>
      <c r="G12" s="29"/>
    </row>
    <row r="13" spans="1:7">
      <c r="A13" s="7"/>
      <c r="B13" s="29" t="s">
        <v>466</v>
      </c>
      <c r="C13" s="29" t="s">
        <v>431</v>
      </c>
      <c r="D13" s="37">
        <v>1794</v>
      </c>
      <c r="E13" s="58">
        <v>3</v>
      </c>
      <c r="F13" s="149">
        <v>2121.63</v>
      </c>
      <c r="G13" s="29"/>
    </row>
    <row r="14" spans="1:7" s="159" customFormat="1">
      <c r="A14" s="7"/>
      <c r="B14" s="37" t="s">
        <v>467</v>
      </c>
      <c r="C14" s="37" t="s">
        <v>501</v>
      </c>
      <c r="D14" s="37">
        <v>2201</v>
      </c>
      <c r="E14" s="58"/>
      <c r="F14" s="149">
        <v>933.8</v>
      </c>
      <c r="G14" s="29"/>
    </row>
    <row r="15" spans="1:7" s="133" customFormat="1">
      <c r="A15" s="7"/>
      <c r="B15" s="37" t="s">
        <v>468</v>
      </c>
      <c r="C15" s="37" t="s">
        <v>432</v>
      </c>
      <c r="D15" s="37">
        <v>2194</v>
      </c>
      <c r="E15" s="58"/>
      <c r="F15" s="149">
        <v>468.73</v>
      </c>
      <c r="G15" s="29"/>
    </row>
    <row r="16" spans="1:7">
      <c r="A16" s="7"/>
      <c r="B16" s="37" t="s">
        <v>542</v>
      </c>
      <c r="C16" s="37" t="s">
        <v>543</v>
      </c>
      <c r="D16" s="37">
        <v>2182</v>
      </c>
      <c r="E16" s="58">
        <v>1</v>
      </c>
      <c r="F16" s="149">
        <v>1421.29</v>
      </c>
      <c r="G16" s="29"/>
    </row>
    <row r="17" spans="1:7">
      <c r="A17" s="7"/>
      <c r="B17" s="29" t="s">
        <v>469</v>
      </c>
      <c r="C17" s="29" t="s">
        <v>434</v>
      </c>
      <c r="D17" s="37">
        <v>1708</v>
      </c>
      <c r="E17" s="7"/>
      <c r="F17" s="149">
        <v>1315.1</v>
      </c>
      <c r="G17" s="29"/>
    </row>
    <row r="18" spans="1:7">
      <c r="A18" s="7"/>
      <c r="B18" s="29" t="s">
        <v>436</v>
      </c>
      <c r="C18" s="29" t="s">
        <v>503</v>
      </c>
      <c r="D18" s="37">
        <v>2120</v>
      </c>
      <c r="E18" s="7">
        <v>1</v>
      </c>
      <c r="F18" s="149">
        <v>1258.8399999999999</v>
      </c>
      <c r="G18" s="29"/>
    </row>
    <row r="19" spans="1:7">
      <c r="A19" s="7"/>
      <c r="B19" s="29" t="s">
        <v>437</v>
      </c>
      <c r="C19" s="29" t="s">
        <v>504</v>
      </c>
      <c r="D19" s="37">
        <v>2193</v>
      </c>
      <c r="E19" s="7"/>
      <c r="F19" s="149">
        <v>541.51</v>
      </c>
      <c r="G19" s="29"/>
    </row>
    <row r="20" spans="1:7">
      <c r="A20" s="7"/>
      <c r="B20" s="61" t="s">
        <v>471</v>
      </c>
      <c r="C20" s="61" t="s">
        <v>438</v>
      </c>
      <c r="D20" s="37">
        <v>640</v>
      </c>
      <c r="E20" s="62"/>
      <c r="F20" s="149">
        <v>1020.77</v>
      </c>
      <c r="G20" s="29"/>
    </row>
    <row r="21" spans="1:7">
      <c r="A21" s="7"/>
      <c r="B21" s="29" t="s">
        <v>439</v>
      </c>
      <c r="C21" s="29" t="s">
        <v>505</v>
      </c>
      <c r="D21" s="37">
        <v>901</v>
      </c>
      <c r="E21" s="62"/>
      <c r="F21" s="149">
        <v>1373.22</v>
      </c>
      <c r="G21" s="29"/>
    </row>
    <row r="22" spans="1:7">
      <c r="A22" s="7"/>
      <c r="B22" s="29" t="s">
        <v>472</v>
      </c>
      <c r="C22" s="29" t="s">
        <v>440</v>
      </c>
      <c r="D22" s="37">
        <v>1741</v>
      </c>
      <c r="E22" s="7"/>
      <c r="F22" s="149">
        <v>853.69</v>
      </c>
      <c r="G22" s="29"/>
    </row>
    <row r="23" spans="1:7">
      <c r="A23" s="7"/>
      <c r="B23" s="37" t="s">
        <v>472</v>
      </c>
      <c r="C23" s="37" t="s">
        <v>441</v>
      </c>
      <c r="D23" s="37">
        <v>1757</v>
      </c>
      <c r="E23" s="58">
        <v>2</v>
      </c>
      <c r="F23" s="150">
        <v>1486.8</v>
      </c>
      <c r="G23" s="29"/>
    </row>
    <row r="24" spans="1:7">
      <c r="A24" s="7"/>
      <c r="B24" s="37" t="s">
        <v>473</v>
      </c>
      <c r="C24" s="37" t="s">
        <v>442</v>
      </c>
      <c r="D24" s="37">
        <v>2057</v>
      </c>
      <c r="E24" s="58"/>
      <c r="F24" s="149">
        <v>1315.1</v>
      </c>
      <c r="G24" s="29"/>
    </row>
    <row r="25" spans="1:7">
      <c r="A25" s="7"/>
      <c r="B25" s="37" t="s">
        <v>473</v>
      </c>
      <c r="C25" s="37" t="s">
        <v>443</v>
      </c>
      <c r="D25" s="37">
        <v>1210</v>
      </c>
      <c r="E25" s="58"/>
      <c r="F25" s="149">
        <v>1242.32</v>
      </c>
      <c r="G25" s="29"/>
    </row>
    <row r="26" spans="1:7">
      <c r="A26" s="7"/>
      <c r="B26" s="29" t="s">
        <v>444</v>
      </c>
      <c r="C26" s="29" t="s">
        <v>506</v>
      </c>
      <c r="D26" s="37">
        <v>1460</v>
      </c>
      <c r="E26" s="7"/>
      <c r="F26" s="149">
        <v>715.45</v>
      </c>
      <c r="G26" s="29"/>
    </row>
    <row r="27" spans="1:7">
      <c r="A27" s="7"/>
      <c r="B27" s="29" t="s">
        <v>474</v>
      </c>
      <c r="C27" s="29" t="s">
        <v>507</v>
      </c>
      <c r="D27" s="37">
        <v>2062</v>
      </c>
      <c r="E27" s="7">
        <v>1</v>
      </c>
      <c r="F27" s="149">
        <v>912.54</v>
      </c>
      <c r="G27" s="29"/>
    </row>
    <row r="28" spans="1:7">
      <c r="A28" s="7"/>
      <c r="B28" s="29" t="s">
        <v>474</v>
      </c>
      <c r="C28" s="29" t="s">
        <v>508</v>
      </c>
      <c r="D28" s="37">
        <v>2121</v>
      </c>
      <c r="E28" s="7"/>
      <c r="F28" s="149">
        <v>530.52</v>
      </c>
      <c r="G28" s="29"/>
    </row>
    <row r="29" spans="1:7">
      <c r="A29" s="7"/>
      <c r="B29" s="29" t="s">
        <v>445</v>
      </c>
      <c r="C29" s="29" t="s">
        <v>509</v>
      </c>
      <c r="D29" s="37">
        <v>2030</v>
      </c>
      <c r="E29" s="58"/>
      <c r="F29" s="149">
        <v>977.28</v>
      </c>
      <c r="G29" s="29"/>
    </row>
    <row r="30" spans="1:7">
      <c r="A30" s="7"/>
      <c r="B30" s="37" t="s">
        <v>475</v>
      </c>
      <c r="C30" s="37" t="s">
        <v>446</v>
      </c>
      <c r="D30" s="37">
        <v>2003</v>
      </c>
      <c r="E30" s="58"/>
      <c r="F30" s="149">
        <v>555.70000000000005</v>
      </c>
      <c r="G30" s="29"/>
    </row>
    <row r="31" spans="1:7">
      <c r="A31" s="7"/>
      <c r="B31" s="29" t="s">
        <v>476</v>
      </c>
      <c r="C31" s="29" t="s">
        <v>447</v>
      </c>
      <c r="D31" s="37">
        <v>2019</v>
      </c>
      <c r="E31" s="58">
        <v>1</v>
      </c>
      <c r="F31" s="149">
        <v>949.16</v>
      </c>
      <c r="G31" s="29"/>
    </row>
    <row r="32" spans="1:7" s="133" customFormat="1">
      <c r="A32" s="7"/>
      <c r="B32" s="29" t="s">
        <v>478</v>
      </c>
      <c r="C32" s="29" t="s">
        <v>448</v>
      </c>
      <c r="D32" s="37">
        <v>2172</v>
      </c>
      <c r="E32" s="58"/>
      <c r="F32" s="149">
        <v>1315.1</v>
      </c>
      <c r="G32" s="29"/>
    </row>
    <row r="33" spans="1:7">
      <c r="A33" s="145"/>
      <c r="B33" s="37" t="s">
        <v>497</v>
      </c>
      <c r="C33" s="37" t="s">
        <v>461</v>
      </c>
      <c r="D33" s="37">
        <v>2082</v>
      </c>
      <c r="E33" s="58"/>
      <c r="F33" s="149">
        <v>541.51</v>
      </c>
      <c r="G33" s="29"/>
    </row>
    <row r="34" spans="1:7">
      <c r="A34" s="7"/>
      <c r="B34" s="29" t="s">
        <v>479</v>
      </c>
      <c r="C34" s="29" t="s">
        <v>449</v>
      </c>
      <c r="D34" s="37">
        <v>2119</v>
      </c>
      <c r="E34" s="7"/>
      <c r="F34" s="149">
        <v>457.74</v>
      </c>
      <c r="G34" s="29"/>
    </row>
    <row r="35" spans="1:7" ht="15">
      <c r="A35" s="7"/>
      <c r="B35" s="144" t="s">
        <v>480</v>
      </c>
      <c r="C35" s="144" t="s">
        <v>511</v>
      </c>
      <c r="D35" s="37">
        <v>2231</v>
      </c>
      <c r="E35" s="7">
        <v>3</v>
      </c>
      <c r="F35" s="149">
        <v>2228.09</v>
      </c>
      <c r="G35" s="29"/>
    </row>
    <row r="36" spans="1:7" s="133" customFormat="1">
      <c r="A36" s="7"/>
      <c r="B36" s="29" t="s">
        <v>481</v>
      </c>
      <c r="C36" s="29" t="s">
        <v>450</v>
      </c>
      <c r="D36" s="37">
        <v>1975</v>
      </c>
      <c r="E36" s="7"/>
      <c r="F36" s="148">
        <v>559.36</v>
      </c>
      <c r="G36" s="29"/>
    </row>
    <row r="37" spans="1:7">
      <c r="A37" s="7"/>
      <c r="B37" s="29" t="s">
        <v>482</v>
      </c>
      <c r="C37" s="29" t="s">
        <v>512</v>
      </c>
      <c r="D37" s="37">
        <v>2203</v>
      </c>
      <c r="E37" s="7"/>
      <c r="F37" s="149">
        <v>548.38</v>
      </c>
      <c r="G37" s="29"/>
    </row>
    <row r="38" spans="1:7" s="133" customFormat="1">
      <c r="A38" s="7"/>
      <c r="B38" s="29" t="s">
        <v>547</v>
      </c>
      <c r="C38" s="29" t="s">
        <v>548</v>
      </c>
      <c r="D38" s="37">
        <v>2245</v>
      </c>
      <c r="E38" s="7"/>
      <c r="F38" s="149">
        <v>1217.8499999999999</v>
      </c>
      <c r="G38" s="29"/>
    </row>
    <row r="39" spans="1:7">
      <c r="A39" s="7"/>
      <c r="B39" s="37" t="s">
        <v>483</v>
      </c>
      <c r="C39" s="37" t="s">
        <v>452</v>
      </c>
      <c r="D39" s="37">
        <v>2001</v>
      </c>
      <c r="E39" s="58"/>
      <c r="F39" s="149">
        <v>977.28</v>
      </c>
      <c r="G39" s="29"/>
    </row>
    <row r="40" spans="1:7">
      <c r="A40" s="7"/>
      <c r="B40" s="37" t="s">
        <v>484</v>
      </c>
      <c r="C40" s="37" t="s">
        <v>514</v>
      </c>
      <c r="D40" s="37">
        <v>2160</v>
      </c>
      <c r="E40" s="58">
        <v>1</v>
      </c>
      <c r="F40" s="149">
        <v>1478.51</v>
      </c>
      <c r="G40" s="29"/>
    </row>
    <row r="41" spans="1:7">
      <c r="A41" s="7"/>
      <c r="B41" s="29" t="s">
        <v>551</v>
      </c>
      <c r="C41" s="29" t="s">
        <v>552</v>
      </c>
      <c r="D41" s="37">
        <v>2246</v>
      </c>
      <c r="E41" s="58"/>
      <c r="F41" s="149">
        <v>519.54</v>
      </c>
      <c r="G41" s="29"/>
    </row>
    <row r="42" spans="1:7" s="133" customFormat="1">
      <c r="A42" s="7"/>
      <c r="B42" s="29" t="s">
        <v>485</v>
      </c>
      <c r="C42" s="29" t="s">
        <v>515</v>
      </c>
      <c r="D42" s="37">
        <v>2018</v>
      </c>
      <c r="E42" s="7"/>
      <c r="F42" s="149">
        <v>1286.26</v>
      </c>
      <c r="G42" s="29"/>
    </row>
    <row r="43" spans="1:7">
      <c r="A43" s="7"/>
      <c r="B43" s="37" t="s">
        <v>486</v>
      </c>
      <c r="C43" s="37" t="s">
        <v>453</v>
      </c>
      <c r="D43" s="37">
        <v>1692</v>
      </c>
      <c r="E43" s="58">
        <v>2</v>
      </c>
      <c r="F43" s="149">
        <v>1478.51</v>
      </c>
      <c r="G43" s="29"/>
    </row>
    <row r="44" spans="1:7" s="133" customFormat="1">
      <c r="A44" s="7"/>
      <c r="B44" s="37" t="s">
        <v>486</v>
      </c>
      <c r="C44" s="37" t="s">
        <v>454</v>
      </c>
      <c r="D44" s="37">
        <v>2027</v>
      </c>
      <c r="E44" s="58"/>
      <c r="F44" s="149">
        <v>541.51</v>
      </c>
      <c r="G44" s="29"/>
    </row>
    <row r="45" spans="1:7">
      <c r="A45" s="7"/>
      <c r="B45" s="29" t="s">
        <v>487</v>
      </c>
      <c r="C45" s="29" t="s">
        <v>516</v>
      </c>
      <c r="D45" s="37">
        <v>2060</v>
      </c>
      <c r="E45" s="58"/>
      <c r="F45" s="149">
        <v>780.91</v>
      </c>
      <c r="G45" s="29"/>
    </row>
    <row r="46" spans="1:7">
      <c r="A46" s="7"/>
      <c r="B46" s="29" t="s">
        <v>488</v>
      </c>
      <c r="C46" s="29" t="s">
        <v>517</v>
      </c>
      <c r="D46" s="37">
        <v>1649</v>
      </c>
      <c r="E46" s="58"/>
      <c r="F46" s="149">
        <v>1373.22</v>
      </c>
      <c r="G46" s="29"/>
    </row>
    <row r="47" spans="1:7">
      <c r="A47" s="7"/>
      <c r="B47" s="29" t="s">
        <v>489</v>
      </c>
      <c r="C47" s="29" t="s">
        <v>455</v>
      </c>
      <c r="D47" s="37">
        <v>2090</v>
      </c>
      <c r="E47" s="58"/>
      <c r="F47" s="149">
        <v>977.28</v>
      </c>
      <c r="G47" s="29"/>
    </row>
    <row r="48" spans="1:7">
      <c r="A48" s="7"/>
      <c r="B48" s="29" t="s">
        <v>490</v>
      </c>
      <c r="C48" s="29" t="s">
        <v>518</v>
      </c>
      <c r="D48" s="37">
        <v>1050</v>
      </c>
      <c r="E48" s="58"/>
      <c r="F48" s="149">
        <v>1373.22</v>
      </c>
      <c r="G48" s="29"/>
    </row>
    <row r="49" spans="1:10">
      <c r="A49" s="7"/>
      <c r="B49" s="29" t="s">
        <v>491</v>
      </c>
      <c r="C49" s="29" t="s">
        <v>456</v>
      </c>
      <c r="D49" s="37">
        <v>1964</v>
      </c>
      <c r="E49" s="58"/>
      <c r="F49" s="149">
        <v>639.47</v>
      </c>
      <c r="G49" s="29"/>
    </row>
    <row r="50" spans="1:10">
      <c r="A50" s="7"/>
      <c r="B50" s="37" t="s">
        <v>492</v>
      </c>
      <c r="C50" s="37" t="s">
        <v>519</v>
      </c>
      <c r="D50" s="37">
        <v>1981</v>
      </c>
      <c r="E50" s="58"/>
      <c r="F50" s="149">
        <v>563.02</v>
      </c>
      <c r="G50" s="29"/>
    </row>
    <row r="51" spans="1:10">
      <c r="A51" s="7"/>
      <c r="B51" s="29" t="s">
        <v>492</v>
      </c>
      <c r="C51" s="29" t="s">
        <v>520</v>
      </c>
      <c r="D51" s="37">
        <v>1662</v>
      </c>
      <c r="E51" s="58">
        <v>1</v>
      </c>
      <c r="F51" s="149">
        <v>1104.99</v>
      </c>
      <c r="G51" s="29"/>
    </row>
    <row r="52" spans="1:10">
      <c r="A52" s="7"/>
      <c r="B52" s="37" t="s">
        <v>493</v>
      </c>
      <c r="C52" s="37" t="s">
        <v>457</v>
      </c>
      <c r="D52" s="37">
        <v>1630</v>
      </c>
      <c r="E52" s="58">
        <v>1</v>
      </c>
      <c r="F52" s="149">
        <v>1351.26</v>
      </c>
      <c r="G52" s="29"/>
    </row>
    <row r="53" spans="1:10">
      <c r="A53" s="7"/>
      <c r="B53" s="29" t="s">
        <v>458</v>
      </c>
      <c r="C53" s="29" t="s">
        <v>521</v>
      </c>
      <c r="D53" s="37">
        <v>2006</v>
      </c>
      <c r="E53" s="7"/>
      <c r="F53" s="149">
        <v>555.70000000000005</v>
      </c>
      <c r="G53" s="29"/>
    </row>
    <row r="54" spans="1:10">
      <c r="A54" s="7"/>
      <c r="B54" s="37" t="s">
        <v>494</v>
      </c>
      <c r="C54" s="37" t="s">
        <v>522</v>
      </c>
      <c r="D54" s="37">
        <v>2212</v>
      </c>
      <c r="E54" s="7"/>
      <c r="F54" s="149">
        <v>530.52</v>
      </c>
      <c r="G54" s="29"/>
    </row>
    <row r="55" spans="1:10">
      <c r="A55" s="7"/>
      <c r="B55" s="29" t="s">
        <v>534</v>
      </c>
      <c r="C55" s="29" t="s">
        <v>533</v>
      </c>
      <c r="D55" s="37">
        <v>2010</v>
      </c>
      <c r="E55" s="58">
        <v>1</v>
      </c>
      <c r="F55" s="149">
        <v>1206.1500000000001</v>
      </c>
      <c r="G55" s="29"/>
    </row>
    <row r="56" spans="1:10">
      <c r="A56" s="7"/>
      <c r="B56" s="37" t="s">
        <v>495</v>
      </c>
      <c r="C56" s="37" t="s">
        <v>459</v>
      </c>
      <c r="D56" s="37">
        <v>2095</v>
      </c>
      <c r="E56" s="7"/>
      <c r="F56" s="149">
        <v>519.54</v>
      </c>
      <c r="G56" s="29"/>
    </row>
    <row r="57" spans="1:10">
      <c r="A57" s="7"/>
      <c r="B57" s="37" t="s">
        <v>530</v>
      </c>
      <c r="C57" s="37" t="s">
        <v>529</v>
      </c>
      <c r="D57" s="37">
        <v>2089</v>
      </c>
      <c r="E57" s="58"/>
      <c r="F57" s="149">
        <v>519.54</v>
      </c>
      <c r="G57" s="29"/>
    </row>
    <row r="58" spans="1:10">
      <c r="A58" s="113"/>
      <c r="B58" s="102"/>
      <c r="C58" s="102"/>
      <c r="D58" s="102"/>
      <c r="E58" s="115"/>
      <c r="F58" s="117"/>
      <c r="G58" s="114"/>
      <c r="I58" s="15"/>
      <c r="J58" s="15"/>
    </row>
    <row r="59" spans="1:10">
      <c r="A59" s="458" t="s">
        <v>315</v>
      </c>
      <c r="B59" s="459"/>
      <c r="C59" s="459"/>
      <c r="D59" s="459"/>
      <c r="E59" s="460"/>
      <c r="F59" s="111">
        <f>SUM(F5:F57)</f>
        <v>51617.830000000009</v>
      </c>
      <c r="G59" s="112"/>
    </row>
    <row r="60" spans="1:10">
      <c r="A60" s="431" t="s">
        <v>258</v>
      </c>
      <c r="B60" s="432"/>
      <c r="C60" s="141"/>
      <c r="D60" s="141"/>
      <c r="E60" s="7">
        <f>COUNTA(B6:B58)</f>
        <v>52</v>
      </c>
      <c r="F60" s="52"/>
      <c r="G60" s="29"/>
    </row>
    <row r="61" spans="1:10">
      <c r="A61" s="431" t="s">
        <v>242</v>
      </c>
      <c r="B61" s="432"/>
      <c r="C61" s="141"/>
      <c r="D61" s="141"/>
      <c r="E61" s="58">
        <v>17</v>
      </c>
      <c r="F61" s="52"/>
      <c r="G61" s="29"/>
    </row>
    <row r="62" spans="1:10">
      <c r="A62" s="433" t="s">
        <v>246</v>
      </c>
      <c r="B62" s="434"/>
      <c r="C62" s="92"/>
      <c r="D62" s="92"/>
      <c r="E62" s="86">
        <f>E60+E61</f>
        <v>69</v>
      </c>
      <c r="F62" s="52"/>
      <c r="G62" s="29"/>
    </row>
    <row r="63" spans="1:10">
      <c r="A63" s="425" t="s">
        <v>257</v>
      </c>
      <c r="B63" s="426"/>
      <c r="C63" s="426"/>
      <c r="D63" s="426"/>
      <c r="E63" s="427"/>
      <c r="F63" s="77"/>
      <c r="G63" s="75"/>
      <c r="I63" s="15"/>
    </row>
    <row r="64" spans="1:10" ht="27" customHeight="1">
      <c r="A64" s="91"/>
      <c r="B64" s="161" t="s">
        <v>556</v>
      </c>
      <c r="C64" s="161" t="s">
        <v>557</v>
      </c>
      <c r="D64" s="66">
        <v>2247</v>
      </c>
      <c r="E64" s="7"/>
      <c r="F64" s="160">
        <v>915.17</v>
      </c>
      <c r="G64" s="138" t="s">
        <v>559</v>
      </c>
    </row>
    <row r="65" spans="1:10" ht="28" customHeight="1">
      <c r="A65" s="91"/>
      <c r="B65" s="37" t="s">
        <v>542</v>
      </c>
      <c r="C65" s="37" t="s">
        <v>543</v>
      </c>
      <c r="D65" s="37">
        <v>2182</v>
      </c>
      <c r="E65" s="58">
        <v>1</v>
      </c>
      <c r="F65" s="149">
        <v>887.72</v>
      </c>
      <c r="G65" s="138" t="s">
        <v>36</v>
      </c>
    </row>
    <row r="66" spans="1:10" ht="28" customHeight="1">
      <c r="A66" s="91"/>
      <c r="B66" s="29"/>
      <c r="C66" s="29"/>
      <c r="D66" s="37"/>
      <c r="E66" s="104"/>
      <c r="F66" s="135"/>
      <c r="G66" s="138"/>
    </row>
    <row r="67" spans="1:10" ht="28" customHeight="1">
      <c r="A67" s="91"/>
      <c r="B67" s="131"/>
      <c r="C67" s="131"/>
      <c r="D67" s="134"/>
      <c r="E67" s="104"/>
      <c r="F67" s="135"/>
      <c r="G67" s="138"/>
    </row>
    <row r="68" spans="1:10" ht="24" customHeight="1">
      <c r="A68" s="91"/>
      <c r="B68" s="139"/>
      <c r="C68" s="139"/>
      <c r="D68" s="37"/>
      <c r="E68" s="104"/>
      <c r="F68" s="94"/>
      <c r="G68" s="138"/>
    </row>
    <row r="69" spans="1:10" ht="23" customHeight="1">
      <c r="A69" s="91"/>
      <c r="B69" s="131"/>
      <c r="C69" s="131"/>
      <c r="D69" s="134"/>
      <c r="E69" s="104"/>
      <c r="F69" s="94"/>
      <c r="G69" s="138"/>
    </row>
    <row r="70" spans="1:10" ht="12" customHeight="1">
      <c r="A70" s="428" t="s">
        <v>265</v>
      </c>
      <c r="B70" s="429"/>
      <c r="C70" s="429"/>
      <c r="D70" s="429"/>
      <c r="E70" s="430"/>
      <c r="F70" s="83">
        <f>SUM(F64:F69)</f>
        <v>1802.8899999999999</v>
      </c>
      <c r="G70" s="75"/>
    </row>
    <row r="71" spans="1:10">
      <c r="A71" s="422" t="s">
        <v>37</v>
      </c>
      <c r="B71" s="423"/>
      <c r="C71" s="423"/>
      <c r="D71" s="423"/>
      <c r="E71" s="424"/>
      <c r="F71" s="80">
        <f>F59+F70</f>
        <v>53420.720000000008</v>
      </c>
      <c r="G71" s="84"/>
    </row>
    <row r="72" spans="1:10" ht="18">
      <c r="F72" s="151" t="s">
        <v>250</v>
      </c>
      <c r="G72" s="118">
        <v>44538</v>
      </c>
    </row>
    <row r="73" spans="1:10" ht="18">
      <c r="F73" s="151" t="s">
        <v>251</v>
      </c>
      <c r="G73" s="119" t="s">
        <v>337</v>
      </c>
    </row>
    <row r="79" spans="1:10" s="3" customFormat="1">
      <c r="A79"/>
      <c r="B79"/>
      <c r="C79"/>
      <c r="D79"/>
      <c r="F79" s="152"/>
      <c r="G79"/>
      <c r="H79"/>
      <c r="I79"/>
      <c r="J79"/>
    </row>
  </sheetData>
  <autoFilter ref="A4:G4" xr:uid="{EC283F26-1258-B84E-AE05-5C35489C3CC6}">
    <sortState xmlns:xlrd2="http://schemas.microsoft.com/office/spreadsheetml/2017/richdata2" ref="A5:G57">
      <sortCondition ref="B4:B57"/>
    </sortState>
  </autoFilter>
  <mergeCells count="8">
    <mergeCell ref="A70:E70"/>
    <mergeCell ref="A71:E71"/>
    <mergeCell ref="F3:G3"/>
    <mergeCell ref="A59:E59"/>
    <mergeCell ref="A60:B60"/>
    <mergeCell ref="A61:B61"/>
    <mergeCell ref="A62:B62"/>
    <mergeCell ref="A63:E63"/>
  </mergeCells>
  <conditionalFormatting sqref="B15:C15">
    <cfRule type="duplicateValues" dxfId="737" priority="35"/>
  </conditionalFormatting>
  <conditionalFormatting sqref="B19:C19">
    <cfRule type="duplicateValues" dxfId="736" priority="36"/>
  </conditionalFormatting>
  <conditionalFormatting sqref="B57:C58 B13:C16 B8:C11 D6:D58 B54:C55 B47:C48 B37:C44 B50:C52 B34:C34 B18:C19 B21:C24 B31:C32 B26:C29">
    <cfRule type="duplicateValues" dxfId="735" priority="33"/>
  </conditionalFormatting>
  <conditionalFormatting sqref="B64:C64">
    <cfRule type="duplicateValues" dxfId="734" priority="7"/>
    <cfRule type="duplicateValues" dxfId="733" priority="8"/>
  </conditionalFormatting>
  <conditionalFormatting sqref="B65:D65">
    <cfRule type="duplicateValues" dxfId="732" priority="1"/>
    <cfRule type="duplicateValues" dxfId="731" priority="3"/>
    <cfRule type="duplicateValues" dxfId="730" priority="4"/>
  </conditionalFormatting>
  <conditionalFormatting sqref="B66:D66">
    <cfRule type="duplicateValues" dxfId="729" priority="19"/>
    <cfRule type="duplicateValues" dxfId="728" priority="20"/>
    <cfRule type="duplicateValues" dxfId="727" priority="21"/>
  </conditionalFormatting>
  <conditionalFormatting sqref="B67:D67">
    <cfRule type="duplicateValues" dxfId="726" priority="16"/>
    <cfRule type="duplicateValues" dxfId="725" priority="17"/>
    <cfRule type="duplicateValues" dxfId="724" priority="18"/>
  </conditionalFormatting>
  <conditionalFormatting sqref="B68:D68">
    <cfRule type="duplicateValues" dxfId="723" priority="13"/>
    <cfRule type="duplicateValues" dxfId="722" priority="14"/>
    <cfRule type="duplicateValues" dxfId="721" priority="15"/>
  </conditionalFormatting>
  <conditionalFormatting sqref="B69:D69">
    <cfRule type="duplicateValues" dxfId="720" priority="9"/>
    <cfRule type="duplicateValues" dxfId="719" priority="10"/>
    <cfRule type="duplicateValues" dxfId="718" priority="11"/>
  </conditionalFormatting>
  <conditionalFormatting sqref="B70:D73 B57:C63 D1:D3 B13:C16 B8:C11 B1:C5 D6:D63 B54:C55 B47:C48 B37:C44 B50:C52 B34:C34 B18:C19 B21:C24 B31:C32 B26:C29">
    <cfRule type="duplicateValues" dxfId="717" priority="32"/>
  </conditionalFormatting>
  <conditionalFormatting sqref="B70:D1048576 D1:D3 B8:C11 B13:C16 B1:C5 B57:C63 D6:D63 B54:C55 B47:C48 B37:C44 B50:C52 B34:C34 B18:C19 B21:C24 B31:C32 B26:C29">
    <cfRule type="duplicateValues" dxfId="716" priority="24"/>
  </conditionalFormatting>
  <conditionalFormatting sqref="B74:D1048576">
    <cfRule type="duplicateValues" dxfId="715" priority="34"/>
  </conditionalFormatting>
  <conditionalFormatting sqref="D4:D5">
    <cfRule type="duplicateValues" dxfId="714" priority="22"/>
    <cfRule type="duplicateValues" dxfId="713" priority="23"/>
  </conditionalFormatting>
  <conditionalFormatting sqref="D64">
    <cfRule type="duplicateValues" dxfId="712" priority="5"/>
    <cfRule type="duplicateValues" dxfId="711" priority="6"/>
  </conditionalFormatting>
  <conditionalFormatting sqref="E6:E57">
    <cfRule type="notContainsBlanks" dxfId="710" priority="26">
      <formula>LEN(TRIM(E6))&gt;0</formula>
    </cfRule>
  </conditionalFormatting>
  <conditionalFormatting sqref="E15 B15:C15">
    <cfRule type="duplicateValues" dxfId="709" priority="31"/>
  </conditionalFormatting>
  <conditionalFormatting sqref="E19 B19:C19">
    <cfRule type="duplicateValues" dxfId="708" priority="30"/>
  </conditionalFormatting>
  <conditionalFormatting sqref="E20">
    <cfRule type="duplicateValues" dxfId="707" priority="27"/>
    <cfRule type="duplicateValues" dxfId="706" priority="28"/>
    <cfRule type="duplicateValues" dxfId="705" priority="29"/>
  </conditionalFormatting>
  <conditionalFormatting sqref="E65">
    <cfRule type="notContainsBlanks" dxfId="704" priority="2">
      <formula>LEN(TRIM(E65))&gt;0</formula>
    </cfRule>
  </conditionalFormatting>
  <conditionalFormatting sqref="G6:G71">
    <cfRule type="notContainsBlanks" dxfId="703" priority="12">
      <formula>LEN(TRIM(G6))&gt;0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FEE6-449F-A34A-B3C0-CD5D0A4BEC8D}">
  <sheetPr>
    <tabColor theme="8"/>
    <pageSetUpPr fitToPage="1"/>
  </sheetPr>
  <dimension ref="A1:K75"/>
  <sheetViews>
    <sheetView zoomScale="150" zoomScaleNormal="150" zoomScalePageLayoutView="140" workbookViewId="0">
      <pane xSplit="3" ySplit="4" topLeftCell="D66" activePane="bottomRight" state="frozen"/>
      <selection pane="topRight" activeCell="D1" sqref="D1"/>
      <selection pane="bottomLeft" activeCell="A5" sqref="A5"/>
      <selection pane="bottomRight" activeCell="D13" sqref="D13"/>
    </sheetView>
  </sheetViews>
  <sheetFormatPr baseColWidth="10" defaultColWidth="8.83203125" defaultRowHeight="13"/>
  <cols>
    <col min="1" max="1" width="5.6640625" customWidth="1"/>
    <col min="2" max="2" width="19.83203125" customWidth="1"/>
    <col min="3" max="3" width="17.83203125" customWidth="1"/>
    <col min="4" max="4" width="10.83203125" customWidth="1"/>
    <col min="5" max="5" width="10.5" style="3" bestFit="1" customWidth="1"/>
    <col min="6" max="6" width="14.83203125" style="152" customWidth="1"/>
    <col min="7" max="7" width="14.83203125" customWidth="1"/>
    <col min="8" max="8" width="26.1640625" customWidth="1"/>
    <col min="9" max="9" width="13.6640625" customWidth="1"/>
    <col min="10" max="10" width="18.1640625" bestFit="1" customWidth="1"/>
  </cols>
  <sheetData>
    <row r="1" spans="1:8">
      <c r="A1" s="1" t="s">
        <v>0</v>
      </c>
      <c r="E1" s="88"/>
      <c r="F1" s="146" t="s">
        <v>342</v>
      </c>
      <c r="G1" s="68"/>
      <c r="H1" s="68" t="s">
        <v>223</v>
      </c>
    </row>
    <row r="2" spans="1:8" ht="13.5" customHeight="1">
      <c r="A2" s="1" t="s">
        <v>249</v>
      </c>
      <c r="F2" s="51" t="s">
        <v>539</v>
      </c>
      <c r="G2" s="7"/>
      <c r="H2" s="123">
        <v>44501</v>
      </c>
    </row>
    <row r="3" spans="1:8" ht="14" customHeight="1">
      <c r="F3" s="461" t="s">
        <v>540</v>
      </c>
      <c r="G3" s="461"/>
      <c r="H3" s="461"/>
    </row>
    <row r="4" spans="1:8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147" t="s">
        <v>224</v>
      </c>
      <c r="G4" s="50" t="s">
        <v>541</v>
      </c>
      <c r="H4" s="50" t="s">
        <v>227</v>
      </c>
    </row>
    <row r="5" spans="1:8">
      <c r="A5" s="7"/>
      <c r="B5" s="29" t="s">
        <v>481</v>
      </c>
      <c r="C5" s="29" t="s">
        <v>450</v>
      </c>
      <c r="D5" s="37">
        <v>1975</v>
      </c>
      <c r="E5" s="7"/>
      <c r="F5" s="148">
        <v>559.36</v>
      </c>
      <c r="G5" s="52">
        <v>558.98</v>
      </c>
      <c r="H5" s="29"/>
    </row>
    <row r="6" spans="1:8">
      <c r="A6" s="7"/>
      <c r="B6" s="29" t="s">
        <v>482</v>
      </c>
      <c r="C6" s="29" t="s">
        <v>512</v>
      </c>
      <c r="D6" s="37">
        <v>2203</v>
      </c>
      <c r="E6" s="7"/>
      <c r="F6" s="149">
        <v>548.38</v>
      </c>
      <c r="G6" s="52">
        <v>548.01</v>
      </c>
      <c r="H6" s="29"/>
    </row>
    <row r="7" spans="1:8">
      <c r="A7" s="7"/>
      <c r="B7" s="29" t="s">
        <v>490</v>
      </c>
      <c r="C7" s="29" t="s">
        <v>518</v>
      </c>
      <c r="D7" s="37">
        <v>1050</v>
      </c>
      <c r="E7" s="58"/>
      <c r="F7" s="149">
        <v>1373.22</v>
      </c>
      <c r="G7" s="52">
        <v>1372.29</v>
      </c>
      <c r="H7" s="29"/>
    </row>
    <row r="8" spans="1:8">
      <c r="A8" s="145"/>
      <c r="B8" s="37" t="s">
        <v>497</v>
      </c>
      <c r="C8" s="37" t="s">
        <v>461</v>
      </c>
      <c r="D8" s="37">
        <v>2082</v>
      </c>
      <c r="E8" s="58"/>
      <c r="F8" s="149">
        <v>541.51</v>
      </c>
      <c r="G8" s="52">
        <v>541.14</v>
      </c>
      <c r="H8" s="29"/>
    </row>
    <row r="9" spans="1:8">
      <c r="A9" s="7"/>
      <c r="B9" s="29" t="s">
        <v>479</v>
      </c>
      <c r="C9" s="29" t="s">
        <v>449</v>
      </c>
      <c r="D9" s="37">
        <v>2119</v>
      </c>
      <c r="E9" s="7"/>
      <c r="F9" s="149">
        <v>457.74</v>
      </c>
      <c r="G9" s="52">
        <v>457.43</v>
      </c>
      <c r="H9" s="29"/>
    </row>
    <row r="10" spans="1:8">
      <c r="A10" s="7"/>
      <c r="B10" s="37" t="s">
        <v>468</v>
      </c>
      <c r="C10" s="37" t="s">
        <v>432</v>
      </c>
      <c r="D10" s="37">
        <v>2194</v>
      </c>
      <c r="E10" s="58"/>
      <c r="F10" s="149">
        <v>468.73</v>
      </c>
      <c r="G10" s="52">
        <v>468.41</v>
      </c>
      <c r="H10" s="29"/>
    </row>
    <row r="11" spans="1:8">
      <c r="A11" s="7"/>
      <c r="B11" s="29" t="s">
        <v>487</v>
      </c>
      <c r="C11" s="29" t="s">
        <v>516</v>
      </c>
      <c r="D11" s="37">
        <v>2060</v>
      </c>
      <c r="E11" s="58"/>
      <c r="F11" s="149">
        <v>780.91</v>
      </c>
      <c r="G11" s="52">
        <v>747.9</v>
      </c>
      <c r="H11" s="29"/>
    </row>
    <row r="12" spans="1:8">
      <c r="A12" s="7"/>
      <c r="B12" s="37" t="s">
        <v>484</v>
      </c>
      <c r="C12" s="37" t="s">
        <v>514</v>
      </c>
      <c r="D12" s="37">
        <v>2160</v>
      </c>
      <c r="E12" s="58">
        <v>1</v>
      </c>
      <c r="F12" s="149">
        <v>1478.51</v>
      </c>
      <c r="G12" s="52">
        <v>1477.51</v>
      </c>
      <c r="H12" s="29"/>
    </row>
    <row r="13" spans="1:8" s="159" customFormat="1">
      <c r="A13" s="153"/>
      <c r="B13" s="154" t="s">
        <v>542</v>
      </c>
      <c r="C13" s="154" t="s">
        <v>543</v>
      </c>
      <c r="D13" s="154">
        <v>2182</v>
      </c>
      <c r="E13" s="155"/>
      <c r="F13" s="156">
        <v>977.28</v>
      </c>
      <c r="G13" s="157">
        <v>0</v>
      </c>
      <c r="H13" s="158" t="s">
        <v>544</v>
      </c>
    </row>
    <row r="14" spans="1:8" s="133" customFormat="1">
      <c r="A14" s="7"/>
      <c r="B14" s="29" t="s">
        <v>485</v>
      </c>
      <c r="C14" s="29" t="s">
        <v>515</v>
      </c>
      <c r="D14" s="37">
        <v>2018</v>
      </c>
      <c r="E14" s="7"/>
      <c r="F14" s="150">
        <v>1286.26</v>
      </c>
      <c r="G14" s="52">
        <v>1285.3900000000001</v>
      </c>
      <c r="H14" s="29"/>
    </row>
    <row r="15" spans="1:8">
      <c r="A15" s="7"/>
      <c r="B15" s="37" t="s">
        <v>486</v>
      </c>
      <c r="C15" s="37" t="s">
        <v>453</v>
      </c>
      <c r="D15" s="37">
        <v>1692</v>
      </c>
      <c r="E15" s="58">
        <v>2</v>
      </c>
      <c r="F15" s="149">
        <v>1478.51</v>
      </c>
      <c r="G15" s="52">
        <v>1477.51</v>
      </c>
      <c r="H15" s="29"/>
    </row>
    <row r="16" spans="1:8">
      <c r="A16" s="7"/>
      <c r="B16" s="37" t="s">
        <v>473</v>
      </c>
      <c r="C16" s="37" t="s">
        <v>442</v>
      </c>
      <c r="D16" s="37">
        <v>2057</v>
      </c>
      <c r="E16" s="58"/>
      <c r="F16" s="149">
        <v>1315.1</v>
      </c>
      <c r="G16" s="52">
        <v>1314.21</v>
      </c>
      <c r="H16" s="29"/>
    </row>
    <row r="17" spans="1:8">
      <c r="A17" s="7"/>
      <c r="B17" s="37" t="s">
        <v>530</v>
      </c>
      <c r="C17" s="37" t="s">
        <v>529</v>
      </c>
      <c r="D17" s="37">
        <v>2089</v>
      </c>
      <c r="E17" s="58"/>
      <c r="F17" s="149">
        <v>519.54</v>
      </c>
      <c r="G17" s="52">
        <v>519.19000000000005</v>
      </c>
      <c r="H17" s="29"/>
    </row>
    <row r="18" spans="1:8" s="133" customFormat="1">
      <c r="A18" s="130"/>
      <c r="B18" s="134" t="s">
        <v>451</v>
      </c>
      <c r="C18" s="134" t="s">
        <v>513</v>
      </c>
      <c r="D18" s="134">
        <v>1595</v>
      </c>
      <c r="E18" s="136"/>
      <c r="F18" s="150">
        <v>0</v>
      </c>
      <c r="G18" s="132">
        <v>1372.29</v>
      </c>
      <c r="H18" s="131" t="s">
        <v>545</v>
      </c>
    </row>
    <row r="19" spans="1:8">
      <c r="A19" s="7"/>
      <c r="B19" s="29" t="s">
        <v>445</v>
      </c>
      <c r="C19" s="29" t="s">
        <v>509</v>
      </c>
      <c r="D19" s="37">
        <v>2030</v>
      </c>
      <c r="E19" s="58"/>
      <c r="F19" s="149">
        <v>977.28</v>
      </c>
      <c r="G19" s="52">
        <v>976.62</v>
      </c>
      <c r="H19" s="29"/>
    </row>
    <row r="20" spans="1:8">
      <c r="A20" s="7"/>
      <c r="B20" s="37" t="s">
        <v>473</v>
      </c>
      <c r="C20" s="37" t="s">
        <v>443</v>
      </c>
      <c r="D20" s="37">
        <v>1210</v>
      </c>
      <c r="E20" s="58"/>
      <c r="F20" s="149">
        <v>1242.32</v>
      </c>
      <c r="G20" s="52">
        <v>1241.48</v>
      </c>
      <c r="H20" s="29"/>
    </row>
    <row r="21" spans="1:8">
      <c r="A21" s="7"/>
      <c r="B21" s="37" t="s">
        <v>483</v>
      </c>
      <c r="C21" s="37" t="s">
        <v>452</v>
      </c>
      <c r="D21" s="37">
        <v>2001</v>
      </c>
      <c r="E21" s="58"/>
      <c r="F21" s="149">
        <v>977.28</v>
      </c>
      <c r="G21" s="52">
        <v>976.62</v>
      </c>
      <c r="H21" s="29"/>
    </row>
    <row r="22" spans="1:8">
      <c r="A22" s="7"/>
      <c r="B22" s="29" t="s">
        <v>460</v>
      </c>
      <c r="C22" s="29" t="s">
        <v>426</v>
      </c>
      <c r="D22" s="37">
        <v>1593</v>
      </c>
      <c r="E22" s="7"/>
      <c r="F22" s="149">
        <v>1115.52</v>
      </c>
      <c r="G22" s="52">
        <v>1114.77</v>
      </c>
      <c r="H22" s="29"/>
    </row>
    <row r="23" spans="1:8">
      <c r="A23" s="7"/>
      <c r="B23" s="29" t="s">
        <v>464</v>
      </c>
      <c r="C23" s="29" t="s">
        <v>428</v>
      </c>
      <c r="D23" s="37">
        <v>1721</v>
      </c>
      <c r="E23" s="7">
        <v>1</v>
      </c>
      <c r="F23" s="149">
        <v>1624.07</v>
      </c>
      <c r="G23" s="52">
        <v>1622.97</v>
      </c>
      <c r="H23" s="29"/>
    </row>
    <row r="24" spans="1:8">
      <c r="A24" s="7"/>
      <c r="B24" s="29" t="s">
        <v>439</v>
      </c>
      <c r="C24" s="29" t="s">
        <v>505</v>
      </c>
      <c r="D24" s="37">
        <v>901</v>
      </c>
      <c r="E24" s="62"/>
      <c r="F24" s="149">
        <v>1373.22</v>
      </c>
      <c r="G24" s="52">
        <v>1372.29</v>
      </c>
      <c r="H24" s="29"/>
    </row>
    <row r="25" spans="1:8">
      <c r="A25" s="7"/>
      <c r="B25" s="37" t="s">
        <v>492</v>
      </c>
      <c r="C25" s="37" t="s">
        <v>519</v>
      </c>
      <c r="D25" s="37">
        <v>1981</v>
      </c>
      <c r="E25" s="58"/>
      <c r="F25" s="149">
        <v>563.02</v>
      </c>
      <c r="G25" s="52">
        <v>562.64</v>
      </c>
      <c r="H25" s="29" t="s">
        <v>389</v>
      </c>
    </row>
    <row r="26" spans="1:8">
      <c r="A26" s="7"/>
      <c r="B26" s="37" t="s">
        <v>475</v>
      </c>
      <c r="C26" s="37" t="s">
        <v>446</v>
      </c>
      <c r="D26" s="37">
        <v>2003</v>
      </c>
      <c r="E26" s="58"/>
      <c r="F26" s="149">
        <v>555.70000000000005</v>
      </c>
      <c r="G26" s="52">
        <v>555.32000000000005</v>
      </c>
      <c r="H26" s="29"/>
    </row>
    <row r="27" spans="1:8">
      <c r="A27" s="7"/>
      <c r="B27" s="37" t="s">
        <v>467</v>
      </c>
      <c r="C27" s="37" t="s">
        <v>501</v>
      </c>
      <c r="D27" s="37">
        <v>2201</v>
      </c>
      <c r="E27" s="58"/>
      <c r="F27" s="149">
        <v>933.8</v>
      </c>
      <c r="G27" s="52">
        <v>933.17</v>
      </c>
      <c r="H27" s="29"/>
    </row>
    <row r="28" spans="1:8">
      <c r="A28" s="7"/>
      <c r="B28" s="29" t="s">
        <v>462</v>
      </c>
      <c r="C28" s="29" t="s">
        <v>425</v>
      </c>
      <c r="D28" s="37">
        <v>2081</v>
      </c>
      <c r="E28" s="58"/>
      <c r="F28" s="149">
        <v>621.16</v>
      </c>
      <c r="G28" s="54">
        <v>620.74</v>
      </c>
      <c r="H28" s="29"/>
    </row>
    <row r="29" spans="1:8">
      <c r="A29" s="7"/>
      <c r="B29" s="29" t="s">
        <v>472</v>
      </c>
      <c r="C29" s="29" t="s">
        <v>440</v>
      </c>
      <c r="D29" s="37">
        <v>1741</v>
      </c>
      <c r="E29" s="7"/>
      <c r="F29" s="149">
        <v>853.69</v>
      </c>
      <c r="G29" s="52">
        <v>853.11</v>
      </c>
      <c r="H29" s="29"/>
    </row>
    <row r="30" spans="1:8">
      <c r="A30" s="7"/>
      <c r="B30" s="29" t="s">
        <v>547</v>
      </c>
      <c r="C30" s="29" t="s">
        <v>548</v>
      </c>
      <c r="D30" s="37">
        <v>2245</v>
      </c>
      <c r="E30" s="7"/>
      <c r="F30" s="149">
        <v>1217.8499999999999</v>
      </c>
      <c r="G30" s="52"/>
      <c r="H30" s="29" t="s">
        <v>549</v>
      </c>
    </row>
    <row r="31" spans="1:8">
      <c r="A31" s="7"/>
      <c r="B31" s="37" t="s">
        <v>495</v>
      </c>
      <c r="C31" s="37" t="s">
        <v>459</v>
      </c>
      <c r="D31" s="37">
        <v>2095</v>
      </c>
      <c r="E31" s="7"/>
      <c r="F31" s="149">
        <v>519.54</v>
      </c>
      <c r="G31" s="52">
        <v>511.87</v>
      </c>
      <c r="H31" s="29"/>
    </row>
    <row r="32" spans="1:8">
      <c r="A32" s="7"/>
      <c r="B32" s="29" t="s">
        <v>488</v>
      </c>
      <c r="C32" s="29" t="s">
        <v>517</v>
      </c>
      <c r="D32" s="37">
        <v>1649</v>
      </c>
      <c r="E32" s="58"/>
      <c r="F32" s="149">
        <v>1373.22</v>
      </c>
      <c r="G32" s="52">
        <v>1372.29</v>
      </c>
      <c r="H32" s="29"/>
    </row>
    <row r="33" spans="1:8" s="133" customFormat="1">
      <c r="A33" s="130"/>
      <c r="B33" s="131" t="s">
        <v>551</v>
      </c>
      <c r="C33" s="131" t="s">
        <v>552</v>
      </c>
      <c r="D33" s="134">
        <v>2246</v>
      </c>
      <c r="E33" s="136"/>
      <c r="F33" s="150">
        <v>519.54</v>
      </c>
      <c r="G33" s="132"/>
      <c r="H33" s="131"/>
    </row>
    <row r="34" spans="1:8">
      <c r="A34" s="7"/>
      <c r="B34" s="37" t="s">
        <v>465</v>
      </c>
      <c r="C34" s="37" t="s">
        <v>430</v>
      </c>
      <c r="D34" s="37">
        <v>1970</v>
      </c>
      <c r="E34" s="58">
        <v>2</v>
      </c>
      <c r="F34" s="149">
        <v>1476.02</v>
      </c>
      <c r="G34" s="52">
        <v>1475.03</v>
      </c>
      <c r="H34" s="29"/>
    </row>
    <row r="35" spans="1:8" ht="15">
      <c r="A35" s="7"/>
      <c r="B35" s="144" t="s">
        <v>480</v>
      </c>
      <c r="C35" s="144" t="s">
        <v>511</v>
      </c>
      <c r="D35" s="37">
        <v>2231</v>
      </c>
      <c r="E35" s="7">
        <v>3</v>
      </c>
      <c r="F35" s="149">
        <v>2228.09</v>
      </c>
      <c r="G35" s="52">
        <v>2226.59</v>
      </c>
      <c r="H35" s="29"/>
    </row>
    <row r="36" spans="1:8">
      <c r="A36" s="7"/>
      <c r="B36" s="29" t="s">
        <v>466</v>
      </c>
      <c r="C36" s="29" t="s">
        <v>431</v>
      </c>
      <c r="D36" s="37">
        <v>1794</v>
      </c>
      <c r="E36" s="58">
        <v>3</v>
      </c>
      <c r="F36" s="149">
        <v>2121.63</v>
      </c>
      <c r="G36" s="52">
        <v>2120.19</v>
      </c>
      <c r="H36" s="29"/>
    </row>
    <row r="37" spans="1:8" s="133" customFormat="1">
      <c r="A37" s="130"/>
      <c r="B37" s="131" t="s">
        <v>534</v>
      </c>
      <c r="C37" s="131" t="s">
        <v>533</v>
      </c>
      <c r="D37" s="134">
        <v>2010</v>
      </c>
      <c r="E37" s="136">
        <v>1</v>
      </c>
      <c r="F37" s="150">
        <v>1206.1500000000001</v>
      </c>
      <c r="G37" s="132">
        <v>1205.33</v>
      </c>
      <c r="H37" s="131" t="s">
        <v>535</v>
      </c>
    </row>
    <row r="38" spans="1:8">
      <c r="A38" s="7"/>
      <c r="B38" s="29" t="s">
        <v>469</v>
      </c>
      <c r="C38" s="29" t="s">
        <v>434</v>
      </c>
      <c r="D38" s="37">
        <v>1708</v>
      </c>
      <c r="E38" s="7"/>
      <c r="F38" s="149">
        <v>1315.1</v>
      </c>
      <c r="G38" s="52">
        <v>1314.21</v>
      </c>
      <c r="H38" s="29"/>
    </row>
    <row r="39" spans="1:8">
      <c r="A39" s="7"/>
      <c r="B39" s="29" t="s">
        <v>489</v>
      </c>
      <c r="C39" s="29" t="s">
        <v>455</v>
      </c>
      <c r="D39" s="37">
        <v>2090</v>
      </c>
      <c r="E39" s="58"/>
      <c r="F39" s="149">
        <v>977.28</v>
      </c>
      <c r="G39" s="52">
        <v>933.17</v>
      </c>
      <c r="H39" s="29"/>
    </row>
    <row r="40" spans="1:8" s="133" customFormat="1">
      <c r="A40" s="7"/>
      <c r="B40" s="37" t="s">
        <v>472</v>
      </c>
      <c r="C40" s="37" t="s">
        <v>441</v>
      </c>
      <c r="D40" s="37">
        <v>1757</v>
      </c>
      <c r="E40" s="58">
        <v>2</v>
      </c>
      <c r="F40" s="150">
        <v>1486.8</v>
      </c>
      <c r="G40" s="52">
        <v>1485.83</v>
      </c>
      <c r="H40" s="29"/>
    </row>
    <row r="41" spans="1:8">
      <c r="A41" s="7"/>
      <c r="B41" s="29" t="s">
        <v>478</v>
      </c>
      <c r="C41" s="29" t="s">
        <v>448</v>
      </c>
      <c r="D41" s="37">
        <v>2172</v>
      </c>
      <c r="E41" s="58"/>
      <c r="F41" s="149">
        <v>1315.1</v>
      </c>
      <c r="G41" s="52">
        <v>1314.21</v>
      </c>
      <c r="H41" s="29"/>
    </row>
    <row r="42" spans="1:8">
      <c r="A42" s="7"/>
      <c r="B42" s="139" t="s">
        <v>433</v>
      </c>
      <c r="C42" s="139" t="s">
        <v>502</v>
      </c>
      <c r="D42" s="37">
        <v>1040</v>
      </c>
      <c r="E42" s="140"/>
      <c r="F42" s="149">
        <v>0</v>
      </c>
      <c r="G42" s="132">
        <v>1372.29</v>
      </c>
      <c r="H42" s="131" t="s">
        <v>553</v>
      </c>
    </row>
    <row r="43" spans="1:8">
      <c r="A43" s="7"/>
      <c r="B43" s="29" t="s">
        <v>444</v>
      </c>
      <c r="C43" s="29" t="s">
        <v>506</v>
      </c>
      <c r="D43" s="37">
        <v>1460</v>
      </c>
      <c r="E43" s="7"/>
      <c r="F43" s="149">
        <v>715.45</v>
      </c>
      <c r="G43" s="52">
        <v>714.97</v>
      </c>
      <c r="H43" s="29"/>
    </row>
    <row r="44" spans="1:8" s="133" customFormat="1">
      <c r="A44" s="130"/>
      <c r="B44" s="131" t="s">
        <v>470</v>
      </c>
      <c r="C44" s="131" t="s">
        <v>435</v>
      </c>
      <c r="D44" s="134">
        <v>2228</v>
      </c>
      <c r="E44" s="130">
        <v>2</v>
      </c>
      <c r="F44" s="150">
        <v>0</v>
      </c>
      <c r="G44" s="132">
        <v>1669.44</v>
      </c>
      <c r="H44" s="131" t="s">
        <v>554</v>
      </c>
    </row>
    <row r="45" spans="1:8">
      <c r="A45" s="7"/>
      <c r="B45" s="61" t="s">
        <v>471</v>
      </c>
      <c r="C45" s="61" t="s">
        <v>438</v>
      </c>
      <c r="D45" s="37">
        <v>640</v>
      </c>
      <c r="E45" s="62"/>
      <c r="F45" s="149">
        <v>1020.77</v>
      </c>
      <c r="G45" s="52">
        <v>1020.08</v>
      </c>
      <c r="H45" s="29"/>
    </row>
    <row r="46" spans="1:8" s="133" customFormat="1">
      <c r="A46" s="130"/>
      <c r="B46" s="139" t="s">
        <v>536</v>
      </c>
      <c r="C46" s="139" t="s">
        <v>537</v>
      </c>
      <c r="D46" s="134">
        <v>2238</v>
      </c>
      <c r="E46" s="140"/>
      <c r="F46" s="150">
        <v>555.70000000000005</v>
      </c>
      <c r="G46" s="132">
        <v>555.32000000000005</v>
      </c>
      <c r="H46" s="131" t="s">
        <v>535</v>
      </c>
    </row>
    <row r="47" spans="1:8">
      <c r="A47" s="7"/>
      <c r="B47" s="29" t="s">
        <v>491</v>
      </c>
      <c r="C47" s="29" t="s">
        <v>456</v>
      </c>
      <c r="D47" s="37">
        <v>1964</v>
      </c>
      <c r="E47" s="58"/>
      <c r="F47" s="149">
        <v>639.47</v>
      </c>
      <c r="G47" s="52">
        <v>639.04</v>
      </c>
      <c r="H47" s="29"/>
    </row>
    <row r="48" spans="1:8">
      <c r="A48" s="7"/>
      <c r="B48" s="37" t="s">
        <v>493</v>
      </c>
      <c r="C48" s="37" t="s">
        <v>457</v>
      </c>
      <c r="D48" s="37">
        <v>1630</v>
      </c>
      <c r="E48" s="58">
        <v>1</v>
      </c>
      <c r="F48" s="149">
        <v>1351.26</v>
      </c>
      <c r="G48" s="54">
        <v>1350.34</v>
      </c>
      <c r="H48" s="29"/>
    </row>
    <row r="49" spans="1:11">
      <c r="A49" s="7"/>
      <c r="B49" s="29" t="s">
        <v>458</v>
      </c>
      <c r="C49" s="29" t="s">
        <v>521</v>
      </c>
      <c r="D49" s="37">
        <v>2006</v>
      </c>
      <c r="E49" s="7"/>
      <c r="F49" s="149">
        <v>555.70000000000005</v>
      </c>
      <c r="G49" s="54">
        <v>555.32000000000005</v>
      </c>
      <c r="H49" s="29"/>
    </row>
    <row r="50" spans="1:11">
      <c r="A50" s="7"/>
      <c r="B50" s="37" t="s">
        <v>486</v>
      </c>
      <c r="C50" s="37" t="s">
        <v>454</v>
      </c>
      <c r="D50" s="37">
        <v>2027</v>
      </c>
      <c r="E50" s="58"/>
      <c r="F50" s="149">
        <v>541.51</v>
      </c>
      <c r="G50" s="52">
        <v>541.14</v>
      </c>
      <c r="H50" s="29"/>
    </row>
    <row r="51" spans="1:11">
      <c r="A51" s="7"/>
      <c r="B51" s="29" t="s">
        <v>474</v>
      </c>
      <c r="C51" s="29" t="s">
        <v>507</v>
      </c>
      <c r="D51" s="37">
        <v>2062</v>
      </c>
      <c r="E51" s="7">
        <v>1</v>
      </c>
      <c r="F51" s="149">
        <v>912.54</v>
      </c>
      <c r="G51" s="52">
        <v>911.94</v>
      </c>
      <c r="H51" s="29"/>
    </row>
    <row r="52" spans="1:11">
      <c r="A52" s="7"/>
      <c r="B52" s="37" t="s">
        <v>494</v>
      </c>
      <c r="C52" s="37" t="s">
        <v>522</v>
      </c>
      <c r="D52" s="37">
        <v>2212</v>
      </c>
      <c r="E52" s="7"/>
      <c r="F52" s="149">
        <v>530.52</v>
      </c>
      <c r="G52" s="52">
        <v>530.16999999999996</v>
      </c>
      <c r="H52" s="29"/>
    </row>
    <row r="53" spans="1:11">
      <c r="A53" s="7"/>
      <c r="B53" s="37" t="s">
        <v>463</v>
      </c>
      <c r="C53" s="37" t="s">
        <v>427</v>
      </c>
      <c r="D53" s="37">
        <v>2023</v>
      </c>
      <c r="E53" s="58"/>
      <c r="F53" s="149">
        <v>563.02</v>
      </c>
      <c r="G53" s="52">
        <v>562.64</v>
      </c>
      <c r="H53" s="29"/>
    </row>
    <row r="54" spans="1:11">
      <c r="A54" s="7"/>
      <c r="B54" s="29" t="s">
        <v>476</v>
      </c>
      <c r="C54" s="29" t="s">
        <v>447</v>
      </c>
      <c r="D54" s="37">
        <v>2019</v>
      </c>
      <c r="E54" s="58">
        <v>1</v>
      </c>
      <c r="F54" s="149">
        <v>949.16</v>
      </c>
      <c r="G54" s="52">
        <v>948.53</v>
      </c>
      <c r="H54" s="29"/>
    </row>
    <row r="55" spans="1:11">
      <c r="A55" s="7"/>
      <c r="B55" s="29" t="s">
        <v>474</v>
      </c>
      <c r="C55" s="29" t="s">
        <v>508</v>
      </c>
      <c r="D55" s="37">
        <v>2121</v>
      </c>
      <c r="E55" s="7"/>
      <c r="F55" s="149">
        <v>530.52</v>
      </c>
      <c r="G55" s="52">
        <v>530.16999999999996</v>
      </c>
      <c r="H55" s="29"/>
    </row>
    <row r="56" spans="1:11">
      <c r="A56" s="7"/>
      <c r="B56" s="29" t="s">
        <v>464</v>
      </c>
      <c r="C56" s="29" t="s">
        <v>429</v>
      </c>
      <c r="D56" s="37">
        <v>2123</v>
      </c>
      <c r="E56" s="7"/>
      <c r="F56" s="149">
        <v>566.69000000000005</v>
      </c>
      <c r="G56" s="52">
        <v>566.29999999999995</v>
      </c>
      <c r="H56" s="29"/>
    </row>
    <row r="57" spans="1:11">
      <c r="A57" s="7"/>
      <c r="B57" s="29" t="s">
        <v>492</v>
      </c>
      <c r="C57" s="29" t="s">
        <v>520</v>
      </c>
      <c r="D57" s="37">
        <v>1662</v>
      </c>
      <c r="E57" s="58">
        <v>1</v>
      </c>
      <c r="F57" s="149">
        <v>1104.99</v>
      </c>
      <c r="G57" s="52">
        <v>1104.24</v>
      </c>
      <c r="H57" s="29"/>
    </row>
    <row r="58" spans="1:11">
      <c r="A58" s="7"/>
      <c r="B58" s="29" t="s">
        <v>437</v>
      </c>
      <c r="C58" s="29" t="s">
        <v>504</v>
      </c>
      <c r="D58" s="37">
        <v>2193</v>
      </c>
      <c r="E58" s="7"/>
      <c r="F58" s="149">
        <v>541.51</v>
      </c>
      <c r="G58" s="52">
        <v>541.14</v>
      </c>
      <c r="H58" s="29"/>
    </row>
    <row r="59" spans="1:11">
      <c r="A59" s="7"/>
      <c r="B59" s="29" t="s">
        <v>436</v>
      </c>
      <c r="C59" s="29" t="s">
        <v>503</v>
      </c>
      <c r="D59" s="37">
        <v>2120</v>
      </c>
      <c r="E59" s="7">
        <v>1</v>
      </c>
      <c r="F59" s="149">
        <v>1258.8399999999999</v>
      </c>
      <c r="G59" s="52">
        <v>1258.03</v>
      </c>
      <c r="H59" s="29"/>
    </row>
    <row r="60" spans="1:11">
      <c r="A60" s="113"/>
      <c r="B60" s="102"/>
      <c r="C60" s="102"/>
      <c r="D60" s="102"/>
      <c r="E60" s="115"/>
      <c r="F60" s="117"/>
      <c r="G60" s="117"/>
      <c r="H60" s="114"/>
      <c r="J60" s="15"/>
      <c r="K60" s="15"/>
    </row>
    <row r="61" spans="1:11">
      <c r="A61" s="458" t="s">
        <v>315</v>
      </c>
      <c r="B61" s="459"/>
      <c r="C61" s="459"/>
      <c r="D61" s="459"/>
      <c r="E61" s="460"/>
      <c r="F61" s="111">
        <f>SUM(F5:F59)</f>
        <v>50716.079999999987</v>
      </c>
      <c r="G61" s="111"/>
      <c r="H61" s="112"/>
    </row>
    <row r="62" spans="1:11">
      <c r="A62" s="431" t="s">
        <v>258</v>
      </c>
      <c r="B62" s="432"/>
      <c r="C62" s="141"/>
      <c r="D62" s="141"/>
      <c r="E62" s="7">
        <f>COUNTA(B5:B60)</f>
        <v>55</v>
      </c>
      <c r="F62" s="52"/>
      <c r="G62" s="52"/>
      <c r="H62" s="29"/>
    </row>
    <row r="63" spans="1:11">
      <c r="A63" s="431" t="s">
        <v>242</v>
      </c>
      <c r="B63" s="432"/>
      <c r="C63" s="141"/>
      <c r="D63" s="141"/>
      <c r="E63" s="58">
        <v>17</v>
      </c>
      <c r="F63" s="52"/>
      <c r="G63" s="52"/>
      <c r="H63" s="29"/>
    </row>
    <row r="64" spans="1:11">
      <c r="A64" s="433" t="s">
        <v>246</v>
      </c>
      <c r="B64" s="434"/>
      <c r="C64" s="92"/>
      <c r="D64" s="92"/>
      <c r="E64" s="86">
        <f>E62+E63</f>
        <v>72</v>
      </c>
      <c r="F64" s="52"/>
      <c r="G64" s="52"/>
      <c r="H64" s="29"/>
    </row>
    <row r="65" spans="1:10">
      <c r="A65" s="425" t="s">
        <v>257</v>
      </c>
      <c r="B65" s="426"/>
      <c r="C65" s="426"/>
      <c r="D65" s="426"/>
      <c r="E65" s="427"/>
      <c r="F65" s="77"/>
      <c r="G65" s="77"/>
      <c r="H65" s="75"/>
      <c r="J65" s="15"/>
    </row>
    <row r="66" spans="1:10" ht="27" customHeight="1">
      <c r="A66" s="91"/>
      <c r="B66" s="37" t="s">
        <v>542</v>
      </c>
      <c r="C66" s="82" t="s">
        <v>543</v>
      </c>
      <c r="D66" s="82">
        <v>2182</v>
      </c>
      <c r="E66" s="104"/>
      <c r="F66" s="135">
        <v>976.62</v>
      </c>
      <c r="H66" s="138" t="s">
        <v>550</v>
      </c>
    </row>
    <row r="67" spans="1:10" ht="28" customHeight="1">
      <c r="A67" s="91"/>
      <c r="B67" s="37" t="s">
        <v>451</v>
      </c>
      <c r="C67" s="37" t="s">
        <v>513</v>
      </c>
      <c r="D67" s="82">
        <v>1595</v>
      </c>
      <c r="E67" s="104"/>
      <c r="F67" s="135">
        <v>-6861.45</v>
      </c>
      <c r="H67" s="138" t="s">
        <v>546</v>
      </c>
    </row>
    <row r="68" spans="1:10" ht="28" customHeight="1">
      <c r="A68" s="91"/>
      <c r="B68" s="29" t="s">
        <v>547</v>
      </c>
      <c r="C68" s="29" t="s">
        <v>548</v>
      </c>
      <c r="D68" s="37">
        <v>2245</v>
      </c>
      <c r="E68" s="104"/>
      <c r="F68" s="135">
        <v>1217.04</v>
      </c>
      <c r="H68" s="138" t="s">
        <v>550</v>
      </c>
    </row>
    <row r="69" spans="1:10" ht="28" customHeight="1">
      <c r="A69" s="91"/>
      <c r="B69" s="131" t="s">
        <v>551</v>
      </c>
      <c r="C69" s="131" t="s">
        <v>552</v>
      </c>
      <c r="D69" s="134">
        <v>2246</v>
      </c>
      <c r="E69" s="104"/>
      <c r="F69" s="135">
        <v>519.19000000000005</v>
      </c>
      <c r="H69" s="138" t="s">
        <v>550</v>
      </c>
    </row>
    <row r="70" spans="1:10" ht="24" customHeight="1">
      <c r="A70" s="91"/>
      <c r="B70" s="139" t="s">
        <v>433</v>
      </c>
      <c r="C70" s="139" t="s">
        <v>502</v>
      </c>
      <c r="D70" s="37">
        <v>1040</v>
      </c>
      <c r="E70" s="104"/>
      <c r="F70" s="94">
        <v>-6861.45</v>
      </c>
      <c r="H70" s="138" t="s">
        <v>546</v>
      </c>
    </row>
    <row r="71" spans="1:10" ht="23" customHeight="1">
      <c r="A71" s="91"/>
      <c r="B71" s="131" t="s">
        <v>470</v>
      </c>
      <c r="C71" s="131" t="s">
        <v>435</v>
      </c>
      <c r="D71" s="134">
        <v>2228</v>
      </c>
      <c r="E71" s="104"/>
      <c r="F71" s="94">
        <v>-1669.44</v>
      </c>
      <c r="H71" s="138" t="s">
        <v>555</v>
      </c>
    </row>
    <row r="72" spans="1:10" ht="12" customHeight="1">
      <c r="A72" s="428" t="s">
        <v>265</v>
      </c>
      <c r="B72" s="429"/>
      <c r="C72" s="429"/>
      <c r="D72" s="429"/>
      <c r="E72" s="430"/>
      <c r="F72" s="83">
        <f>SUM(F66:F71)</f>
        <v>-12679.49</v>
      </c>
      <c r="G72" s="83"/>
      <c r="H72" s="75"/>
    </row>
    <row r="73" spans="1:10">
      <c r="A73" s="422" t="s">
        <v>37</v>
      </c>
      <c r="B73" s="423"/>
      <c r="C73" s="423"/>
      <c r="D73" s="423"/>
      <c r="E73" s="424"/>
      <c r="F73" s="80">
        <f>F61+F72</f>
        <v>38036.589999999989</v>
      </c>
      <c r="G73" s="80"/>
      <c r="H73" s="84"/>
    </row>
    <row r="74" spans="1:10" ht="18">
      <c r="F74" s="151" t="s">
        <v>250</v>
      </c>
      <c r="G74" s="72"/>
      <c r="H74" s="118">
        <v>44503</v>
      </c>
    </row>
    <row r="75" spans="1:10" ht="18">
      <c r="F75" s="151" t="s">
        <v>251</v>
      </c>
      <c r="G75" s="73"/>
      <c r="H75" s="119" t="s">
        <v>337</v>
      </c>
    </row>
  </sheetData>
  <autoFilter ref="A4:H4" xr:uid="{EC283F26-1258-B84E-AE05-5C35489C3CC6}">
    <sortState xmlns:xlrd2="http://schemas.microsoft.com/office/spreadsheetml/2017/richdata2" ref="A5:H59">
      <sortCondition ref="C4:C59"/>
    </sortState>
  </autoFilter>
  <mergeCells count="8">
    <mergeCell ref="A72:E72"/>
    <mergeCell ref="A73:E73"/>
    <mergeCell ref="F3:H3"/>
    <mergeCell ref="A61:E61"/>
    <mergeCell ref="A62:B62"/>
    <mergeCell ref="A63:B63"/>
    <mergeCell ref="A64:B64"/>
    <mergeCell ref="A65:E65"/>
  </mergeCells>
  <conditionalFormatting sqref="B14:C14">
    <cfRule type="duplicateValues" dxfId="702" priority="33"/>
  </conditionalFormatting>
  <conditionalFormatting sqref="B20:C20">
    <cfRule type="duplicateValues" dxfId="701" priority="34"/>
  </conditionalFormatting>
  <conditionalFormatting sqref="B59:C60 B12:C15 B7:C10 D5:D60 B56:C57 B49:C50 B38:C46 B52:C54 B35:C35 B18:C20 B22:C25 B32:C33 B27:C30">
    <cfRule type="duplicateValues" dxfId="700" priority="31"/>
  </conditionalFormatting>
  <conditionalFormatting sqref="B66:D66 D67">
    <cfRule type="duplicateValues" dxfId="699" priority="37"/>
  </conditionalFormatting>
  <conditionalFormatting sqref="B68:D68">
    <cfRule type="duplicateValues" dxfId="698" priority="11"/>
    <cfRule type="duplicateValues" dxfId="697" priority="12"/>
    <cfRule type="duplicateValues" dxfId="696" priority="13"/>
  </conditionalFormatting>
  <conditionalFormatting sqref="B69:D69">
    <cfRule type="duplicateValues" dxfId="695" priority="8"/>
    <cfRule type="duplicateValues" dxfId="694" priority="9"/>
    <cfRule type="duplicateValues" dxfId="693" priority="10"/>
  </conditionalFormatting>
  <conditionalFormatting sqref="B70:D70">
    <cfRule type="duplicateValues" dxfId="692" priority="5"/>
    <cfRule type="duplicateValues" dxfId="691" priority="6"/>
    <cfRule type="duplicateValues" dxfId="690" priority="7"/>
  </conditionalFormatting>
  <conditionalFormatting sqref="B71:D71">
    <cfRule type="duplicateValues" dxfId="689" priority="1"/>
    <cfRule type="duplicateValues" dxfId="688" priority="2"/>
    <cfRule type="duplicateValues" dxfId="687" priority="3"/>
  </conditionalFormatting>
  <conditionalFormatting sqref="B72:D75 B59:C65 D1:D3 B12:C15 B7:C10 B1:C4 D5:D65 B56:C57 B49:C50 B38:C46 B52:C54 B35:C35 B18:C20 B22:C25 B32:C33 B27:C30">
    <cfRule type="duplicateValues" dxfId="686" priority="30"/>
  </conditionalFormatting>
  <conditionalFormatting sqref="B72:D1048576 D1:D3 B7:C10 B12:C15 B1:C4 B59:C65 D5:D65 B56:C57 B49:C50 B38:C46 B52:C54 B35:C35 B18:C20 B22:C25 B32:C33 B27:C30">
    <cfRule type="duplicateValues" dxfId="685" priority="22"/>
  </conditionalFormatting>
  <conditionalFormatting sqref="B76:D1048576">
    <cfRule type="duplicateValues" dxfId="684" priority="32"/>
  </conditionalFormatting>
  <conditionalFormatting sqref="D4">
    <cfRule type="duplicateValues" dxfId="683" priority="18"/>
    <cfRule type="duplicateValues" dxfId="682" priority="19"/>
  </conditionalFormatting>
  <conditionalFormatting sqref="E5:E59">
    <cfRule type="notContainsBlanks" dxfId="681" priority="24">
      <formula>LEN(TRIM(E5))&gt;0</formula>
    </cfRule>
  </conditionalFormatting>
  <conditionalFormatting sqref="E14 B14:C14">
    <cfRule type="duplicateValues" dxfId="680" priority="29"/>
  </conditionalFormatting>
  <conditionalFormatting sqref="E20 B20:C20">
    <cfRule type="duplicateValues" dxfId="679" priority="28"/>
  </conditionalFormatting>
  <conditionalFormatting sqref="E21">
    <cfRule type="duplicateValues" dxfId="678" priority="25"/>
    <cfRule type="duplicateValues" dxfId="677" priority="26"/>
    <cfRule type="duplicateValues" dxfId="676" priority="27"/>
  </conditionalFormatting>
  <conditionalFormatting sqref="H5:H73">
    <cfRule type="notContainsBlanks" dxfId="675" priority="4">
      <formula>LEN(TRIM(H5))&gt;0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48A8-2142-EE4B-82AB-6708276B1F1C}">
  <sheetPr>
    <tabColor theme="8"/>
    <pageSetUpPr fitToPage="1"/>
  </sheetPr>
  <dimension ref="A1:J73"/>
  <sheetViews>
    <sheetView topLeftCell="A59" zoomScale="150" zoomScaleNormal="150" zoomScalePageLayoutView="140" workbookViewId="0">
      <selection activeCell="D56" sqref="D56"/>
    </sheetView>
  </sheetViews>
  <sheetFormatPr baseColWidth="10" defaultColWidth="8.83203125" defaultRowHeight="13"/>
  <cols>
    <col min="1" max="1" width="5.6640625" customWidth="1"/>
    <col min="2" max="2" width="19.83203125" customWidth="1"/>
    <col min="3" max="3" width="17.83203125" customWidth="1"/>
    <col min="4" max="4" width="10.83203125" customWidth="1"/>
    <col min="5" max="5" width="10.5" style="3" bestFit="1" customWidth="1"/>
    <col min="6" max="6" width="14.83203125" customWidth="1"/>
    <col min="7" max="7" width="26.1640625" customWidth="1"/>
    <col min="8" max="8" width="13.6640625" customWidth="1"/>
    <col min="9" max="9" width="18.1640625" bestFit="1" customWidth="1"/>
  </cols>
  <sheetData>
    <row r="1" spans="1:7">
      <c r="A1" s="1" t="s">
        <v>0</v>
      </c>
      <c r="E1" s="88"/>
      <c r="F1" s="68" t="s">
        <v>342</v>
      </c>
      <c r="G1" s="68" t="s">
        <v>223</v>
      </c>
    </row>
    <row r="2" spans="1:7" ht="13.5" customHeight="1">
      <c r="A2" s="1" t="s">
        <v>249</v>
      </c>
      <c r="F2" s="7" t="s">
        <v>424</v>
      </c>
      <c r="G2" s="123">
        <v>44470</v>
      </c>
    </row>
    <row r="3" spans="1:7" ht="14" customHeight="1">
      <c r="F3" s="462" t="s">
        <v>358</v>
      </c>
      <c r="G3" s="462"/>
    </row>
    <row r="4" spans="1:7">
      <c r="A4" s="50" t="s">
        <v>226</v>
      </c>
      <c r="B4" s="50" t="s">
        <v>498</v>
      </c>
      <c r="C4" s="50" t="s">
        <v>499</v>
      </c>
      <c r="D4" s="50" t="s">
        <v>500</v>
      </c>
      <c r="E4" s="50" t="s">
        <v>241</v>
      </c>
      <c r="F4" s="50" t="s">
        <v>224</v>
      </c>
      <c r="G4" s="50" t="s">
        <v>227</v>
      </c>
    </row>
    <row r="5" spans="1:7">
      <c r="A5" s="7"/>
      <c r="B5" s="29" t="s">
        <v>481</v>
      </c>
      <c r="C5" s="29" t="s">
        <v>450</v>
      </c>
      <c r="D5" s="37">
        <v>1975</v>
      </c>
      <c r="E5" s="7"/>
      <c r="F5" s="52">
        <v>558.98</v>
      </c>
      <c r="G5" s="29"/>
    </row>
    <row r="6" spans="1:7">
      <c r="A6" s="7"/>
      <c r="B6" s="29" t="s">
        <v>482</v>
      </c>
      <c r="C6" s="29" t="s">
        <v>512</v>
      </c>
      <c r="D6" s="37">
        <v>2203</v>
      </c>
      <c r="E6" s="7"/>
      <c r="F6" s="52">
        <v>548.01</v>
      </c>
      <c r="G6" s="29"/>
    </row>
    <row r="7" spans="1:7">
      <c r="A7" s="7"/>
      <c r="B7" s="29" t="s">
        <v>490</v>
      </c>
      <c r="C7" s="29" t="s">
        <v>518</v>
      </c>
      <c r="D7" s="37">
        <v>1050</v>
      </c>
      <c r="E7" s="58"/>
      <c r="F7" s="52">
        <v>1372.29</v>
      </c>
      <c r="G7" s="29"/>
    </row>
    <row r="8" spans="1:7">
      <c r="A8" s="145"/>
      <c r="B8" s="37" t="s">
        <v>497</v>
      </c>
      <c r="C8" s="37" t="s">
        <v>461</v>
      </c>
      <c r="D8" s="37">
        <v>2082</v>
      </c>
      <c r="E8" s="58"/>
      <c r="F8" s="52">
        <v>541.14</v>
      </c>
      <c r="G8" s="29"/>
    </row>
    <row r="9" spans="1:7">
      <c r="A9" s="7"/>
      <c r="B9" s="29" t="s">
        <v>479</v>
      </c>
      <c r="C9" s="29" t="s">
        <v>449</v>
      </c>
      <c r="D9" s="37">
        <v>2119</v>
      </c>
      <c r="E9" s="7"/>
      <c r="F9" s="52">
        <v>457.43</v>
      </c>
      <c r="G9" s="29"/>
    </row>
    <row r="10" spans="1:7">
      <c r="A10" s="7"/>
      <c r="B10" s="37" t="s">
        <v>468</v>
      </c>
      <c r="C10" s="37" t="s">
        <v>432</v>
      </c>
      <c r="D10" s="37">
        <v>2194</v>
      </c>
      <c r="E10" s="58"/>
      <c r="F10" s="52">
        <v>468.41</v>
      </c>
      <c r="G10" s="29"/>
    </row>
    <row r="11" spans="1:7">
      <c r="A11" s="7"/>
      <c r="B11" s="29" t="s">
        <v>487</v>
      </c>
      <c r="C11" s="29" t="s">
        <v>516</v>
      </c>
      <c r="D11" s="37">
        <v>2060</v>
      </c>
      <c r="E11" s="58"/>
      <c r="F11" s="52">
        <v>747.9</v>
      </c>
      <c r="G11" s="29"/>
    </row>
    <row r="12" spans="1:7">
      <c r="A12" s="145"/>
      <c r="B12" s="29" t="s">
        <v>496</v>
      </c>
      <c r="C12" s="29" t="s">
        <v>523</v>
      </c>
      <c r="D12" s="29">
        <v>2130</v>
      </c>
      <c r="E12" s="7"/>
      <c r="F12" s="52">
        <v>0</v>
      </c>
      <c r="G12" s="29" t="s">
        <v>524</v>
      </c>
    </row>
    <row r="13" spans="1:7">
      <c r="A13" s="7"/>
      <c r="B13" s="37" t="s">
        <v>484</v>
      </c>
      <c r="C13" s="37" t="s">
        <v>514</v>
      </c>
      <c r="D13" s="37">
        <v>2160</v>
      </c>
      <c r="E13" s="58">
        <v>1</v>
      </c>
      <c r="F13" s="52">
        <v>1477.51</v>
      </c>
      <c r="G13" s="29"/>
    </row>
    <row r="14" spans="1:7" s="133" customFormat="1">
      <c r="A14" s="7"/>
      <c r="B14" s="29" t="s">
        <v>485</v>
      </c>
      <c r="C14" s="29" t="s">
        <v>515</v>
      </c>
      <c r="D14" s="37">
        <v>2018</v>
      </c>
      <c r="E14" s="7"/>
      <c r="F14" s="52">
        <v>1285.3900000000001</v>
      </c>
      <c r="G14" s="29"/>
    </row>
    <row r="15" spans="1:7">
      <c r="A15" s="7"/>
      <c r="B15" s="37" t="s">
        <v>486</v>
      </c>
      <c r="C15" s="37" t="s">
        <v>453</v>
      </c>
      <c r="D15" s="37">
        <v>1692</v>
      </c>
      <c r="E15" s="58">
        <v>2</v>
      </c>
      <c r="F15" s="52">
        <v>1477.51</v>
      </c>
      <c r="G15" s="29"/>
    </row>
    <row r="16" spans="1:7">
      <c r="A16" s="7"/>
      <c r="B16" s="37" t="s">
        <v>473</v>
      </c>
      <c r="C16" s="37" t="s">
        <v>442</v>
      </c>
      <c r="D16" s="37">
        <v>2057</v>
      </c>
      <c r="E16" s="58"/>
      <c r="F16" s="52">
        <v>1314.21</v>
      </c>
      <c r="G16" s="29"/>
    </row>
    <row r="17" spans="1:7" s="133" customFormat="1">
      <c r="A17" s="130"/>
      <c r="B17" s="134" t="s">
        <v>530</v>
      </c>
      <c r="C17" s="134" t="s">
        <v>529</v>
      </c>
      <c r="D17" s="134">
        <v>2089</v>
      </c>
      <c r="E17" s="136"/>
      <c r="F17" s="132">
        <v>519.19000000000005</v>
      </c>
      <c r="G17" s="131" t="s">
        <v>531</v>
      </c>
    </row>
    <row r="18" spans="1:7">
      <c r="A18" s="7"/>
      <c r="B18" s="134" t="s">
        <v>451</v>
      </c>
      <c r="C18" s="134" t="s">
        <v>513</v>
      </c>
      <c r="D18" s="37">
        <v>1595</v>
      </c>
      <c r="E18" s="136"/>
      <c r="F18" s="132">
        <v>1372.29</v>
      </c>
      <c r="G18" s="131" t="s">
        <v>528</v>
      </c>
    </row>
    <row r="19" spans="1:7">
      <c r="A19" s="7"/>
      <c r="B19" s="29" t="s">
        <v>445</v>
      </c>
      <c r="C19" s="29" t="s">
        <v>509</v>
      </c>
      <c r="D19" s="37">
        <v>2030</v>
      </c>
      <c r="E19" s="58"/>
      <c r="F19" s="52">
        <v>976.62</v>
      </c>
      <c r="G19" s="29"/>
    </row>
    <row r="20" spans="1:7">
      <c r="A20" s="7"/>
      <c r="B20" s="37" t="s">
        <v>473</v>
      </c>
      <c r="C20" s="37" t="s">
        <v>443</v>
      </c>
      <c r="D20" s="37">
        <v>1210</v>
      </c>
      <c r="E20" s="58"/>
      <c r="F20" s="52">
        <v>1241.48</v>
      </c>
      <c r="G20" s="29"/>
    </row>
    <row r="21" spans="1:7">
      <c r="A21" s="7"/>
      <c r="B21" s="37" t="s">
        <v>483</v>
      </c>
      <c r="C21" s="37" t="s">
        <v>452</v>
      </c>
      <c r="D21" s="37">
        <v>2001</v>
      </c>
      <c r="E21" s="58"/>
      <c r="F21" s="52">
        <v>976.62</v>
      </c>
      <c r="G21" s="29"/>
    </row>
    <row r="22" spans="1:7">
      <c r="A22" s="7"/>
      <c r="B22" s="29" t="s">
        <v>460</v>
      </c>
      <c r="C22" s="29" t="s">
        <v>426</v>
      </c>
      <c r="D22" s="37">
        <v>1593</v>
      </c>
      <c r="E22" s="7"/>
      <c r="F22" s="52">
        <v>1114.77</v>
      </c>
      <c r="G22" s="29"/>
    </row>
    <row r="23" spans="1:7">
      <c r="A23" s="7"/>
      <c r="B23" s="29" t="s">
        <v>464</v>
      </c>
      <c r="C23" s="29" t="s">
        <v>428</v>
      </c>
      <c r="D23" s="37">
        <v>1721</v>
      </c>
      <c r="E23" s="7">
        <v>1</v>
      </c>
      <c r="F23" s="52">
        <v>1622.97</v>
      </c>
      <c r="G23" s="29"/>
    </row>
    <row r="24" spans="1:7">
      <c r="A24" s="7"/>
      <c r="B24" s="29" t="s">
        <v>439</v>
      </c>
      <c r="C24" s="29" t="s">
        <v>505</v>
      </c>
      <c r="D24" s="37">
        <v>901</v>
      </c>
      <c r="E24" s="62"/>
      <c r="F24" s="52">
        <v>1372.29</v>
      </c>
      <c r="G24" s="29"/>
    </row>
    <row r="25" spans="1:7">
      <c r="A25" s="7"/>
      <c r="B25" s="37" t="s">
        <v>492</v>
      </c>
      <c r="C25" s="37" t="s">
        <v>519</v>
      </c>
      <c r="D25" s="37">
        <v>1981</v>
      </c>
      <c r="E25" s="58"/>
      <c r="F25" s="52">
        <v>562.64</v>
      </c>
      <c r="G25" s="29" t="s">
        <v>389</v>
      </c>
    </row>
    <row r="26" spans="1:7">
      <c r="A26" s="7"/>
      <c r="B26" s="37" t="s">
        <v>475</v>
      </c>
      <c r="C26" s="37" t="s">
        <v>446</v>
      </c>
      <c r="D26" s="37">
        <v>2003</v>
      </c>
      <c r="E26" s="58"/>
      <c r="F26" s="52">
        <v>555.32000000000005</v>
      </c>
      <c r="G26" s="29"/>
    </row>
    <row r="27" spans="1:7">
      <c r="A27" s="7"/>
      <c r="B27" s="37" t="s">
        <v>467</v>
      </c>
      <c r="C27" s="37" t="s">
        <v>501</v>
      </c>
      <c r="D27" s="37">
        <v>2201</v>
      </c>
      <c r="E27" s="58"/>
      <c r="F27" s="52">
        <v>933.17</v>
      </c>
      <c r="G27" s="29"/>
    </row>
    <row r="28" spans="1:7">
      <c r="A28" s="7"/>
      <c r="B28" s="29" t="s">
        <v>462</v>
      </c>
      <c r="C28" s="29" t="s">
        <v>425</v>
      </c>
      <c r="D28" s="37">
        <v>2081</v>
      </c>
      <c r="E28" s="58"/>
      <c r="F28" s="54">
        <v>620.74</v>
      </c>
      <c r="G28" s="29"/>
    </row>
    <row r="29" spans="1:7">
      <c r="A29" s="7"/>
      <c r="B29" s="37" t="s">
        <v>477</v>
      </c>
      <c r="C29" s="37" t="s">
        <v>510</v>
      </c>
      <c r="D29" s="37">
        <v>2184</v>
      </c>
      <c r="E29" s="58"/>
      <c r="F29" s="52">
        <v>0</v>
      </c>
      <c r="G29" s="29" t="s">
        <v>524</v>
      </c>
    </row>
    <row r="30" spans="1:7">
      <c r="A30" s="7"/>
      <c r="B30" s="29" t="s">
        <v>472</v>
      </c>
      <c r="C30" s="29" t="s">
        <v>440</v>
      </c>
      <c r="D30" s="37">
        <v>1741</v>
      </c>
      <c r="E30" s="7"/>
      <c r="F30" s="52">
        <v>853.11</v>
      </c>
      <c r="G30" s="29"/>
    </row>
    <row r="31" spans="1:7">
      <c r="A31" s="7"/>
      <c r="B31" s="37" t="s">
        <v>495</v>
      </c>
      <c r="C31" s="37" t="s">
        <v>459</v>
      </c>
      <c r="D31" s="37">
        <v>2095</v>
      </c>
      <c r="E31" s="7"/>
      <c r="F31" s="52">
        <v>511.87</v>
      </c>
      <c r="G31" s="29"/>
    </row>
    <row r="32" spans="1:7">
      <c r="A32" s="7"/>
      <c r="B32" s="29" t="s">
        <v>488</v>
      </c>
      <c r="C32" s="29" t="s">
        <v>517</v>
      </c>
      <c r="D32" s="37">
        <v>1649</v>
      </c>
      <c r="E32" s="58"/>
      <c r="F32" s="52">
        <v>1372.29</v>
      </c>
      <c r="G32" s="29"/>
    </row>
    <row r="33" spans="1:7">
      <c r="A33" s="7"/>
      <c r="B33" s="37" t="s">
        <v>465</v>
      </c>
      <c r="C33" s="37" t="s">
        <v>430</v>
      </c>
      <c r="D33" s="37">
        <v>1970</v>
      </c>
      <c r="E33" s="58">
        <v>2</v>
      </c>
      <c r="F33" s="52">
        <v>1475.03</v>
      </c>
      <c r="G33" s="29"/>
    </row>
    <row r="34" spans="1:7" ht="15">
      <c r="A34" s="7"/>
      <c r="B34" s="144" t="s">
        <v>480</v>
      </c>
      <c r="C34" s="144" t="s">
        <v>511</v>
      </c>
      <c r="D34" s="37">
        <v>2231</v>
      </c>
      <c r="E34" s="7">
        <v>3</v>
      </c>
      <c r="F34" s="52">
        <v>2226.59</v>
      </c>
      <c r="G34" s="29"/>
    </row>
    <row r="35" spans="1:7">
      <c r="A35" s="7"/>
      <c r="B35" s="29" t="s">
        <v>466</v>
      </c>
      <c r="C35" s="29" t="s">
        <v>431</v>
      </c>
      <c r="D35" s="37">
        <v>1794</v>
      </c>
      <c r="E35" s="58">
        <v>3</v>
      </c>
      <c r="F35" s="52">
        <v>2120.19</v>
      </c>
      <c r="G35" s="29"/>
    </row>
    <row r="36" spans="1:7" s="133" customFormat="1">
      <c r="A36" s="130"/>
      <c r="B36" s="131" t="s">
        <v>534</v>
      </c>
      <c r="C36" s="131" t="s">
        <v>533</v>
      </c>
      <c r="D36" s="134">
        <v>2010</v>
      </c>
      <c r="E36" s="136">
        <v>1</v>
      </c>
      <c r="F36" s="132">
        <v>1205.33</v>
      </c>
      <c r="G36" s="131" t="s">
        <v>535</v>
      </c>
    </row>
    <row r="37" spans="1:7">
      <c r="A37" s="7"/>
      <c r="B37" s="29" t="s">
        <v>469</v>
      </c>
      <c r="C37" s="29" t="s">
        <v>434</v>
      </c>
      <c r="D37" s="37">
        <v>1708</v>
      </c>
      <c r="E37" s="7"/>
      <c r="F37" s="52">
        <v>1314.21</v>
      </c>
      <c r="G37" s="29"/>
    </row>
    <row r="38" spans="1:7">
      <c r="A38" s="7"/>
      <c r="B38" s="29" t="s">
        <v>489</v>
      </c>
      <c r="C38" s="29" t="s">
        <v>455</v>
      </c>
      <c r="D38" s="37">
        <v>2090</v>
      </c>
      <c r="E38" s="58"/>
      <c r="F38" s="52">
        <v>933.17</v>
      </c>
      <c r="G38" s="29"/>
    </row>
    <row r="39" spans="1:7" s="133" customFormat="1">
      <c r="A39" s="7"/>
      <c r="B39" s="37" t="s">
        <v>472</v>
      </c>
      <c r="C39" s="37" t="s">
        <v>441</v>
      </c>
      <c r="D39" s="37">
        <v>1757</v>
      </c>
      <c r="E39" s="58">
        <v>2</v>
      </c>
      <c r="F39" s="52">
        <v>1485.83</v>
      </c>
      <c r="G39" s="29"/>
    </row>
    <row r="40" spans="1:7">
      <c r="A40" s="7"/>
      <c r="B40" s="29" t="s">
        <v>478</v>
      </c>
      <c r="C40" s="29" t="s">
        <v>448</v>
      </c>
      <c r="D40" s="37">
        <v>2172</v>
      </c>
      <c r="E40" s="58"/>
      <c r="F40" s="52">
        <v>1314.21</v>
      </c>
      <c r="G40" s="29"/>
    </row>
    <row r="41" spans="1:7">
      <c r="A41" s="7"/>
      <c r="B41" s="139" t="s">
        <v>433</v>
      </c>
      <c r="C41" s="139" t="s">
        <v>502</v>
      </c>
      <c r="D41" s="37">
        <v>1040</v>
      </c>
      <c r="E41" s="140"/>
      <c r="F41" s="132">
        <v>1372.29</v>
      </c>
      <c r="G41" s="131" t="s">
        <v>532</v>
      </c>
    </row>
    <row r="42" spans="1:7">
      <c r="A42" s="7"/>
      <c r="B42" s="29" t="s">
        <v>444</v>
      </c>
      <c r="C42" s="29" t="s">
        <v>506</v>
      </c>
      <c r="D42" s="37">
        <v>1460</v>
      </c>
      <c r="E42" s="7"/>
      <c r="F42" s="52">
        <v>714.97</v>
      </c>
      <c r="G42" s="29"/>
    </row>
    <row r="43" spans="1:7">
      <c r="A43" s="7"/>
      <c r="B43" s="29" t="s">
        <v>470</v>
      </c>
      <c r="C43" s="29" t="s">
        <v>435</v>
      </c>
      <c r="D43" s="37">
        <v>2228</v>
      </c>
      <c r="E43" s="7">
        <v>2</v>
      </c>
      <c r="F43" s="52">
        <v>1669.44</v>
      </c>
      <c r="G43" s="29"/>
    </row>
    <row r="44" spans="1:7">
      <c r="A44" s="7"/>
      <c r="B44" s="61" t="s">
        <v>471</v>
      </c>
      <c r="C44" s="61" t="s">
        <v>438</v>
      </c>
      <c r="D44" s="37">
        <v>640</v>
      </c>
      <c r="E44" s="62"/>
      <c r="F44" s="52">
        <v>1020.08</v>
      </c>
      <c r="G44" s="29"/>
    </row>
    <row r="45" spans="1:7" s="133" customFormat="1">
      <c r="A45" s="130"/>
      <c r="B45" s="139" t="s">
        <v>536</v>
      </c>
      <c r="C45" s="139" t="s">
        <v>537</v>
      </c>
      <c r="D45" s="134">
        <v>2238</v>
      </c>
      <c r="E45" s="140"/>
      <c r="F45" s="132">
        <v>555.32000000000005</v>
      </c>
      <c r="G45" s="131" t="s">
        <v>535</v>
      </c>
    </row>
    <row r="46" spans="1:7">
      <c r="A46" s="7"/>
      <c r="B46" s="29" t="s">
        <v>491</v>
      </c>
      <c r="C46" s="29" t="s">
        <v>456</v>
      </c>
      <c r="D46" s="37">
        <v>1964</v>
      </c>
      <c r="E46" s="58"/>
      <c r="F46" s="52">
        <v>639.04</v>
      </c>
      <c r="G46" s="29"/>
    </row>
    <row r="47" spans="1:7">
      <c r="A47" s="7"/>
      <c r="B47" s="37" t="s">
        <v>493</v>
      </c>
      <c r="C47" s="37" t="s">
        <v>457</v>
      </c>
      <c r="D47" s="37">
        <v>1630</v>
      </c>
      <c r="E47" s="58">
        <v>1</v>
      </c>
      <c r="F47" s="54">
        <v>1350.34</v>
      </c>
      <c r="G47" s="29"/>
    </row>
    <row r="48" spans="1:7">
      <c r="A48" s="7"/>
      <c r="B48" s="29" t="s">
        <v>458</v>
      </c>
      <c r="C48" s="29" t="s">
        <v>521</v>
      </c>
      <c r="D48" s="37">
        <v>2006</v>
      </c>
      <c r="E48" s="7"/>
      <c r="F48" s="54">
        <v>555.32000000000005</v>
      </c>
      <c r="G48" s="29"/>
    </row>
    <row r="49" spans="1:10">
      <c r="A49" s="7"/>
      <c r="B49" s="37" t="s">
        <v>486</v>
      </c>
      <c r="C49" s="37" t="s">
        <v>454</v>
      </c>
      <c r="D49" s="37">
        <v>2027</v>
      </c>
      <c r="E49" s="58"/>
      <c r="F49" s="52">
        <v>541.14</v>
      </c>
      <c r="G49" s="29"/>
    </row>
    <row r="50" spans="1:10">
      <c r="A50" s="7"/>
      <c r="B50" s="29" t="s">
        <v>474</v>
      </c>
      <c r="C50" s="29" t="s">
        <v>507</v>
      </c>
      <c r="D50" s="37">
        <v>2062</v>
      </c>
      <c r="E50" s="7">
        <v>1</v>
      </c>
      <c r="F50" s="52">
        <v>911.94</v>
      </c>
      <c r="G50" s="29"/>
    </row>
    <row r="51" spans="1:10">
      <c r="A51" s="7"/>
      <c r="B51" s="37" t="s">
        <v>494</v>
      </c>
      <c r="C51" s="37" t="s">
        <v>522</v>
      </c>
      <c r="D51" s="37">
        <v>2212</v>
      </c>
      <c r="E51" s="7"/>
      <c r="F51" s="52">
        <v>530.16999999999996</v>
      </c>
      <c r="G51" s="29"/>
    </row>
    <row r="52" spans="1:10">
      <c r="A52" s="7"/>
      <c r="B52" s="37" t="s">
        <v>463</v>
      </c>
      <c r="C52" s="37" t="s">
        <v>427</v>
      </c>
      <c r="D52" s="37">
        <v>2023</v>
      </c>
      <c r="E52" s="58"/>
      <c r="F52" s="52">
        <v>562.64</v>
      </c>
      <c r="G52" s="29"/>
    </row>
    <row r="53" spans="1:10">
      <c r="A53" s="7"/>
      <c r="B53" s="29" t="s">
        <v>476</v>
      </c>
      <c r="C53" s="29" t="s">
        <v>447</v>
      </c>
      <c r="D53" s="37">
        <v>2019</v>
      </c>
      <c r="E53" s="58">
        <v>1</v>
      </c>
      <c r="F53" s="52">
        <v>948.53</v>
      </c>
      <c r="G53" s="29"/>
    </row>
    <row r="54" spans="1:10">
      <c r="A54" s="7"/>
      <c r="B54" s="29" t="s">
        <v>474</v>
      </c>
      <c r="C54" s="29" t="s">
        <v>508</v>
      </c>
      <c r="D54" s="37">
        <v>2121</v>
      </c>
      <c r="E54" s="7"/>
      <c r="F54" s="52">
        <v>530.16999999999996</v>
      </c>
      <c r="G54" s="29"/>
    </row>
    <row r="55" spans="1:10">
      <c r="A55" s="7"/>
      <c r="B55" s="29" t="s">
        <v>464</v>
      </c>
      <c r="C55" s="29" t="s">
        <v>429</v>
      </c>
      <c r="D55" s="37">
        <v>2123</v>
      </c>
      <c r="E55" s="7"/>
      <c r="F55" s="52">
        <v>566.29999999999995</v>
      </c>
      <c r="G55" s="29"/>
    </row>
    <row r="56" spans="1:10">
      <c r="A56" s="7"/>
      <c r="B56" s="29" t="s">
        <v>492</v>
      </c>
      <c r="C56" s="29" t="s">
        <v>520</v>
      </c>
      <c r="D56" s="37">
        <v>1662</v>
      </c>
      <c r="E56" s="58">
        <v>1</v>
      </c>
      <c r="F56" s="52">
        <v>1104.24</v>
      </c>
      <c r="G56" s="29"/>
    </row>
    <row r="57" spans="1:10">
      <c r="A57" s="7"/>
      <c r="B57" s="29" t="s">
        <v>437</v>
      </c>
      <c r="C57" s="29" t="s">
        <v>504</v>
      </c>
      <c r="D57" s="37">
        <v>2193</v>
      </c>
      <c r="E57" s="7"/>
      <c r="F57" s="52">
        <v>541.14</v>
      </c>
      <c r="G57" s="29"/>
    </row>
    <row r="58" spans="1:10">
      <c r="A58" s="7"/>
      <c r="B58" s="29" t="s">
        <v>436</v>
      </c>
      <c r="C58" s="29" t="s">
        <v>503</v>
      </c>
      <c r="D58" s="37">
        <v>2120</v>
      </c>
      <c r="E58" s="7">
        <v>1</v>
      </c>
      <c r="F58" s="52">
        <v>1258.03</v>
      </c>
      <c r="G58" s="29"/>
    </row>
    <row r="59" spans="1:10">
      <c r="A59" s="113"/>
      <c r="B59" s="102"/>
      <c r="C59" s="102"/>
      <c r="D59" s="102"/>
      <c r="E59" s="115"/>
      <c r="F59" s="117"/>
      <c r="G59" s="114"/>
      <c r="I59" s="15"/>
      <c r="J59" s="15"/>
    </row>
    <row r="60" spans="1:10">
      <c r="A60" s="458" t="s">
        <v>315</v>
      </c>
      <c r="B60" s="459"/>
      <c r="C60" s="459"/>
      <c r="D60" s="459"/>
      <c r="E60" s="460"/>
      <c r="F60" s="111">
        <f>SUM(F5:F58)</f>
        <v>52299.81</v>
      </c>
      <c r="G60" s="112"/>
    </row>
    <row r="61" spans="1:10">
      <c r="A61" s="431" t="s">
        <v>258</v>
      </c>
      <c r="B61" s="432"/>
      <c r="C61" s="141"/>
      <c r="D61" s="141"/>
      <c r="E61" s="7">
        <f>COUNTA(B5:B59)</f>
        <v>54</v>
      </c>
      <c r="F61" s="52"/>
      <c r="G61" s="29"/>
    </row>
    <row r="62" spans="1:10">
      <c r="A62" s="431" t="s">
        <v>242</v>
      </c>
      <c r="B62" s="432"/>
      <c r="C62" s="141"/>
      <c r="D62" s="141"/>
      <c r="E62" s="58">
        <v>17</v>
      </c>
      <c r="F62" s="52"/>
      <c r="G62" s="29"/>
    </row>
    <row r="63" spans="1:10">
      <c r="A63" s="433" t="s">
        <v>246</v>
      </c>
      <c r="B63" s="434"/>
      <c r="C63" s="92"/>
      <c r="D63" s="92"/>
      <c r="E63" s="86">
        <f>E61+E62</f>
        <v>71</v>
      </c>
      <c r="F63" s="52"/>
      <c r="G63" s="29"/>
    </row>
    <row r="64" spans="1:10">
      <c r="A64" s="425" t="s">
        <v>257</v>
      </c>
      <c r="B64" s="426"/>
      <c r="C64" s="426"/>
      <c r="D64" s="426"/>
      <c r="E64" s="427"/>
      <c r="F64" s="77"/>
      <c r="G64" s="75"/>
      <c r="I64" s="15"/>
    </row>
    <row r="65" spans="1:7" ht="27" customHeight="1">
      <c r="A65" s="91"/>
      <c r="B65" s="37" t="s">
        <v>525</v>
      </c>
      <c r="C65" s="82" t="s">
        <v>526</v>
      </c>
      <c r="D65" s="82"/>
      <c r="E65" s="104"/>
      <c r="F65" s="135">
        <v>-497.23</v>
      </c>
      <c r="G65" s="138" t="s">
        <v>527</v>
      </c>
    </row>
    <row r="66" spans="1:7" ht="28" customHeight="1">
      <c r="A66" s="91"/>
      <c r="B66" s="37" t="s">
        <v>477</v>
      </c>
      <c r="C66" s="37" t="s">
        <v>510</v>
      </c>
      <c r="D66" s="82"/>
      <c r="E66" s="104"/>
      <c r="F66" s="135">
        <v>-457.43</v>
      </c>
      <c r="G66" s="138" t="s">
        <v>527</v>
      </c>
    </row>
    <row r="67" spans="1:7" ht="28" customHeight="1">
      <c r="A67" s="91"/>
      <c r="B67" s="134" t="s">
        <v>530</v>
      </c>
      <c r="C67" s="134" t="s">
        <v>529</v>
      </c>
      <c r="D67" s="82"/>
      <c r="E67" s="104"/>
      <c r="F67" s="135">
        <v>1038.3800000000001</v>
      </c>
      <c r="G67" s="138" t="s">
        <v>538</v>
      </c>
    </row>
    <row r="68" spans="1:7" ht="28" customHeight="1">
      <c r="A68" s="91"/>
      <c r="B68" s="131" t="s">
        <v>534</v>
      </c>
      <c r="C68" s="131" t="s">
        <v>533</v>
      </c>
      <c r="D68" s="82"/>
      <c r="E68" s="104"/>
      <c r="F68" s="135">
        <v>2410.66</v>
      </c>
      <c r="G68" s="138" t="s">
        <v>538</v>
      </c>
    </row>
    <row r="69" spans="1:7" ht="23" customHeight="1">
      <c r="A69" s="91"/>
      <c r="B69" s="139" t="s">
        <v>536</v>
      </c>
      <c r="C69" s="139" t="s">
        <v>537</v>
      </c>
      <c r="D69" s="82"/>
      <c r="E69" s="104"/>
      <c r="F69" s="94">
        <v>1110.6400000000001</v>
      </c>
      <c r="G69" s="138" t="s">
        <v>538</v>
      </c>
    </row>
    <row r="70" spans="1:7" ht="12" customHeight="1">
      <c r="A70" s="428" t="s">
        <v>265</v>
      </c>
      <c r="B70" s="429"/>
      <c r="C70" s="429"/>
      <c r="D70" s="429"/>
      <c r="E70" s="430"/>
      <c r="F70" s="83">
        <f>SUM(F65:F69)</f>
        <v>3605.0200000000004</v>
      </c>
      <c r="G70" s="75"/>
    </row>
    <row r="71" spans="1:7">
      <c r="A71" s="422" t="s">
        <v>37</v>
      </c>
      <c r="B71" s="423"/>
      <c r="C71" s="423"/>
      <c r="D71" s="423"/>
      <c r="E71" s="424"/>
      <c r="F71" s="80">
        <f>F60+F70</f>
        <v>55904.83</v>
      </c>
      <c r="G71" s="84"/>
    </row>
    <row r="72" spans="1:7" ht="18">
      <c r="F72" s="72" t="s">
        <v>250</v>
      </c>
      <c r="G72" s="118">
        <v>44473</v>
      </c>
    </row>
    <row r="73" spans="1:7" ht="18">
      <c r="F73" s="73" t="s">
        <v>251</v>
      </c>
      <c r="G73" s="119" t="s">
        <v>337</v>
      </c>
    </row>
  </sheetData>
  <autoFilter ref="A4:G4" xr:uid="{EC283F26-1258-B84E-AE05-5C35489C3CC6}">
    <sortState xmlns:xlrd2="http://schemas.microsoft.com/office/spreadsheetml/2017/richdata2" ref="A5:G58">
      <sortCondition ref="C4:C58"/>
    </sortState>
  </autoFilter>
  <mergeCells count="8">
    <mergeCell ref="A70:E70"/>
    <mergeCell ref="A71:E71"/>
    <mergeCell ref="F3:G3"/>
    <mergeCell ref="A60:E60"/>
    <mergeCell ref="A61:B61"/>
    <mergeCell ref="A62:B62"/>
    <mergeCell ref="A63:B63"/>
    <mergeCell ref="A64:E64"/>
  </mergeCells>
  <conditionalFormatting sqref="B12:C12">
    <cfRule type="duplicateValues" dxfId="674" priority="162"/>
  </conditionalFormatting>
  <conditionalFormatting sqref="B14:C14">
    <cfRule type="duplicateValues" dxfId="673" priority="135"/>
  </conditionalFormatting>
  <conditionalFormatting sqref="B20:C20">
    <cfRule type="duplicateValues" dxfId="672" priority="138"/>
  </conditionalFormatting>
  <conditionalFormatting sqref="B58:C59 B13:C15 B7:C10 D5:D59 B55:C56 B48:C49 B37:C45 B51:C53 B34:C34 B18:C20 B27:C28 B22:C25 B32:C32 B30:C30">
    <cfRule type="duplicateValues" dxfId="671" priority="30"/>
  </conditionalFormatting>
  <conditionalFormatting sqref="B69:C69">
    <cfRule type="duplicateValues" dxfId="670" priority="2"/>
    <cfRule type="duplicateValues" dxfId="669" priority="3"/>
    <cfRule type="duplicateValues" dxfId="668" priority="4"/>
  </conditionalFormatting>
  <conditionalFormatting sqref="B65:D65 D66:D68">
    <cfRule type="duplicateValues" dxfId="667" priority="206"/>
  </conditionalFormatting>
  <conditionalFormatting sqref="B70:D73 B58:C64 D1:D3 B13:C15 B7:C10 B1:C4 D5:D64 B55:C56 B48:C49 B37:C45 B51:C53 B34:C34 B18:C20 B27:C28 B22:C25 B32:C32 B30:C30">
    <cfRule type="duplicateValues" dxfId="666" priority="29"/>
  </conditionalFormatting>
  <conditionalFormatting sqref="B70:D1048576 D1:D3 B7:C10 B13:C15 B1:C4 B58:C64 D5:D64 B55:C56 B48:C49 B37:C45 B51:C53 B34:C34 B18:C20 B27:C28 B22:C25 B32:C32 B30:C30">
    <cfRule type="duplicateValues" dxfId="665" priority="16"/>
  </conditionalFormatting>
  <conditionalFormatting sqref="B74:D1048576">
    <cfRule type="duplicateValues" dxfId="664" priority="132"/>
  </conditionalFormatting>
  <conditionalFormatting sqref="D4">
    <cfRule type="duplicateValues" dxfId="663" priority="5"/>
    <cfRule type="duplicateValues" dxfId="662" priority="6"/>
  </conditionalFormatting>
  <conditionalFormatting sqref="D69">
    <cfRule type="duplicateValues" dxfId="661" priority="165"/>
  </conditionalFormatting>
  <conditionalFormatting sqref="E5:E58">
    <cfRule type="notContainsBlanks" dxfId="660" priority="13">
      <formula>LEN(TRIM(E5))&gt;0</formula>
    </cfRule>
  </conditionalFormatting>
  <conditionalFormatting sqref="E14 B14:C14">
    <cfRule type="duplicateValues" dxfId="659" priority="27"/>
  </conditionalFormatting>
  <conditionalFormatting sqref="E20 B20:C20">
    <cfRule type="duplicateValues" dxfId="658" priority="24"/>
  </conditionalFormatting>
  <conditionalFormatting sqref="E21">
    <cfRule type="duplicateValues" dxfId="657" priority="19"/>
    <cfRule type="duplicateValues" dxfId="656" priority="20"/>
    <cfRule type="duplicateValues" dxfId="655" priority="21"/>
  </conditionalFormatting>
  <conditionalFormatting sqref="G5:G71">
    <cfRule type="notContainsBlanks" dxfId="654" priority="1">
      <formula>LEN(TRIM(G5))&gt;0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59E1-A942-A940-AD10-82CFB4D4EA30}">
  <sheetPr>
    <tabColor theme="8"/>
    <pageSetUpPr fitToPage="1"/>
  </sheetPr>
  <dimension ref="A1:I69"/>
  <sheetViews>
    <sheetView topLeftCell="A40" zoomScale="150" zoomScaleNormal="150" zoomScalePageLayoutView="140" workbookViewId="0">
      <selection activeCell="E13" sqref="E13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24.83203125" customWidth="1"/>
    <col min="4" max="4" width="10.5" style="3" bestFit="1" customWidth="1"/>
    <col min="5" max="5" width="14.83203125" customWidth="1"/>
    <col min="6" max="6" width="26.1640625" customWidth="1"/>
    <col min="7" max="7" width="13.6640625" customWidth="1"/>
    <col min="8" max="8" width="18.1640625" bestFit="1" customWidth="1"/>
  </cols>
  <sheetData>
    <row r="1" spans="1:6">
      <c r="A1" s="1" t="s">
        <v>0</v>
      </c>
      <c r="D1" s="88"/>
      <c r="E1" s="68" t="s">
        <v>342</v>
      </c>
      <c r="F1" s="68" t="s">
        <v>223</v>
      </c>
    </row>
    <row r="2" spans="1:6" ht="13.5" customHeight="1">
      <c r="A2" s="1" t="s">
        <v>249</v>
      </c>
      <c r="E2" s="7" t="s">
        <v>405</v>
      </c>
      <c r="F2" s="123">
        <v>44440</v>
      </c>
    </row>
    <row r="3" spans="1:6" ht="14" customHeight="1">
      <c r="E3" s="462" t="s">
        <v>358</v>
      </c>
      <c r="F3" s="462"/>
    </row>
    <row r="4" spans="1:6">
      <c r="A4" s="50" t="s">
        <v>226</v>
      </c>
      <c r="B4" s="50" t="s">
        <v>225</v>
      </c>
      <c r="C4" s="50" t="s">
        <v>408</v>
      </c>
      <c r="D4" s="50" t="s">
        <v>241</v>
      </c>
      <c r="E4" s="50" t="s">
        <v>224</v>
      </c>
      <c r="F4" s="50" t="s">
        <v>227</v>
      </c>
    </row>
    <row r="5" spans="1:6">
      <c r="A5" s="7">
        <v>1</v>
      </c>
      <c r="B5" s="142" t="s">
        <v>423</v>
      </c>
      <c r="C5" s="37">
        <v>2081</v>
      </c>
      <c r="D5" s="58"/>
      <c r="E5" s="54">
        <v>620.74</v>
      </c>
      <c r="F5" s="29"/>
    </row>
    <row r="6" spans="1:6">
      <c r="A6" s="7">
        <v>2</v>
      </c>
      <c r="B6" s="142" t="s">
        <v>421</v>
      </c>
      <c r="C6" s="37">
        <v>1593</v>
      </c>
      <c r="D6" s="7"/>
      <c r="E6" s="52">
        <v>1114.77</v>
      </c>
      <c r="F6" s="29"/>
    </row>
    <row r="7" spans="1:6">
      <c r="A7" s="7">
        <f>A6+1</f>
        <v>3</v>
      </c>
      <c r="B7" s="37" t="s">
        <v>202</v>
      </c>
      <c r="C7" s="37">
        <v>2023</v>
      </c>
      <c r="D7" s="58"/>
      <c r="E7" s="52">
        <v>562.64</v>
      </c>
      <c r="F7" s="29"/>
    </row>
    <row r="8" spans="1:6">
      <c r="A8" s="7">
        <f>A7+1</f>
        <v>4</v>
      </c>
      <c r="B8" s="29" t="s">
        <v>12</v>
      </c>
      <c r="C8" s="37">
        <v>1721</v>
      </c>
      <c r="D8" s="7">
        <v>1</v>
      </c>
      <c r="E8" s="52">
        <v>1622.97</v>
      </c>
      <c r="F8" s="29"/>
    </row>
    <row r="9" spans="1:6">
      <c r="A9" s="7">
        <v>5</v>
      </c>
      <c r="B9" s="29" t="s">
        <v>365</v>
      </c>
      <c r="C9" s="37">
        <v>2123</v>
      </c>
      <c r="D9" s="7"/>
      <c r="E9" s="52">
        <v>566.29999999999995</v>
      </c>
      <c r="F9" s="29"/>
    </row>
    <row r="10" spans="1:6">
      <c r="A10" s="7">
        <v>6</v>
      </c>
      <c r="B10" s="37" t="s">
        <v>48</v>
      </c>
      <c r="C10" s="37">
        <v>1970</v>
      </c>
      <c r="D10" s="58">
        <v>2</v>
      </c>
      <c r="E10" s="52">
        <v>1475.03</v>
      </c>
      <c r="F10" s="29"/>
    </row>
    <row r="11" spans="1:6">
      <c r="A11" s="7">
        <v>7</v>
      </c>
      <c r="B11" s="142" t="s">
        <v>417</v>
      </c>
      <c r="C11" s="37">
        <v>1794</v>
      </c>
      <c r="D11" s="58">
        <v>3</v>
      </c>
      <c r="E11" s="52">
        <v>2120.19</v>
      </c>
      <c r="F11" s="29"/>
    </row>
    <row r="12" spans="1:6">
      <c r="A12" s="7">
        <v>8</v>
      </c>
      <c r="B12" s="37" t="s">
        <v>316</v>
      </c>
      <c r="C12" s="37">
        <v>2201</v>
      </c>
      <c r="D12" s="58"/>
      <c r="E12" s="52">
        <v>933.17</v>
      </c>
      <c r="F12" s="29"/>
    </row>
    <row r="13" spans="1:6">
      <c r="A13" s="7">
        <f t="shared" ref="A13:A53" si="0">A12+1</f>
        <v>9</v>
      </c>
      <c r="B13" s="37" t="s">
        <v>297</v>
      </c>
      <c r="C13" s="37">
        <v>2194</v>
      </c>
      <c r="D13" s="58"/>
      <c r="E13" s="52">
        <v>468.41</v>
      </c>
      <c r="F13" s="29"/>
    </row>
    <row r="14" spans="1:6" s="133" customFormat="1">
      <c r="A14" s="7">
        <f t="shared" si="0"/>
        <v>10</v>
      </c>
      <c r="B14" s="139" t="s">
        <v>230</v>
      </c>
      <c r="C14" s="37">
        <v>1040</v>
      </c>
      <c r="D14" s="140"/>
      <c r="E14" s="132">
        <v>1372.29</v>
      </c>
      <c r="F14" s="131" t="s">
        <v>406</v>
      </c>
    </row>
    <row r="15" spans="1:6">
      <c r="A15" s="7">
        <f t="shared" si="0"/>
        <v>11</v>
      </c>
      <c r="B15" s="29" t="s">
        <v>234</v>
      </c>
      <c r="C15" s="37">
        <v>1708</v>
      </c>
      <c r="D15" s="7"/>
      <c r="E15" s="52">
        <v>1314.21</v>
      </c>
      <c r="F15" s="29"/>
    </row>
    <row r="16" spans="1:6">
      <c r="A16" s="7">
        <f t="shared" si="0"/>
        <v>12</v>
      </c>
      <c r="B16" s="142" t="s">
        <v>415</v>
      </c>
      <c r="C16" s="37">
        <v>2228</v>
      </c>
      <c r="D16" s="7">
        <v>2</v>
      </c>
      <c r="E16" s="52">
        <v>1669.44</v>
      </c>
      <c r="F16" s="29"/>
    </row>
    <row r="17" spans="1:6">
      <c r="A17" s="7">
        <f t="shared" si="0"/>
        <v>13</v>
      </c>
      <c r="B17" s="29" t="s">
        <v>237</v>
      </c>
      <c r="C17" s="37">
        <v>2120</v>
      </c>
      <c r="D17" s="7">
        <v>1</v>
      </c>
      <c r="E17" s="52">
        <v>1258.03</v>
      </c>
      <c r="F17" s="29"/>
    </row>
    <row r="18" spans="1:6">
      <c r="A18" s="7">
        <f t="shared" si="0"/>
        <v>14</v>
      </c>
      <c r="B18" s="29" t="s">
        <v>298</v>
      </c>
      <c r="C18" s="37">
        <v>2193</v>
      </c>
      <c r="D18" s="7"/>
      <c r="E18" s="52">
        <v>541.14</v>
      </c>
      <c r="F18" s="29"/>
    </row>
    <row r="19" spans="1:6">
      <c r="A19" s="7">
        <f t="shared" si="0"/>
        <v>15</v>
      </c>
      <c r="B19" s="61" t="s">
        <v>228</v>
      </c>
      <c r="C19" s="37">
        <v>640</v>
      </c>
      <c r="D19" s="62"/>
      <c r="E19" s="52">
        <v>1020.08</v>
      </c>
      <c r="F19" s="29"/>
    </row>
    <row r="20" spans="1:6">
      <c r="A20" s="7">
        <f t="shared" si="0"/>
        <v>16</v>
      </c>
      <c r="B20" s="142" t="s">
        <v>418</v>
      </c>
      <c r="C20" s="37">
        <v>901</v>
      </c>
      <c r="D20" s="62"/>
      <c r="E20" s="52">
        <v>1372.29</v>
      </c>
      <c r="F20" s="29"/>
    </row>
    <row r="21" spans="1:6">
      <c r="A21" s="7">
        <f t="shared" si="0"/>
        <v>17</v>
      </c>
      <c r="B21" s="29" t="s">
        <v>235</v>
      </c>
      <c r="C21" s="37">
        <v>1741</v>
      </c>
      <c r="D21" s="7"/>
      <c r="E21" s="52">
        <v>853.11</v>
      </c>
      <c r="F21" s="29"/>
    </row>
    <row r="22" spans="1:6">
      <c r="A22" s="7">
        <f t="shared" si="0"/>
        <v>18</v>
      </c>
      <c r="B22" s="37" t="s">
        <v>63</v>
      </c>
      <c r="C22" s="37">
        <v>1757</v>
      </c>
      <c r="D22" s="58">
        <v>2</v>
      </c>
      <c r="E22" s="52">
        <v>1485.83</v>
      </c>
      <c r="F22" s="29"/>
    </row>
    <row r="23" spans="1:6">
      <c r="A23" s="7">
        <f t="shared" si="0"/>
        <v>19</v>
      </c>
      <c r="B23" s="37" t="s">
        <v>168</v>
      </c>
      <c r="C23" s="37">
        <v>2057</v>
      </c>
      <c r="D23" s="58"/>
      <c r="E23" s="52">
        <v>1314.21</v>
      </c>
      <c r="F23" s="29"/>
    </row>
    <row r="24" spans="1:6">
      <c r="A24" s="7">
        <f t="shared" si="0"/>
        <v>20</v>
      </c>
      <c r="B24" s="37" t="s">
        <v>88</v>
      </c>
      <c r="C24" s="37">
        <v>1210</v>
      </c>
      <c r="D24" s="58"/>
      <c r="E24" s="52">
        <v>1241.48</v>
      </c>
      <c r="F24" s="29"/>
    </row>
    <row r="25" spans="1:6">
      <c r="A25" s="7">
        <f t="shared" si="0"/>
        <v>21</v>
      </c>
      <c r="B25" s="142" t="s">
        <v>416</v>
      </c>
      <c r="C25" s="37">
        <v>1460</v>
      </c>
      <c r="D25" s="7"/>
      <c r="E25" s="52">
        <v>714.97</v>
      </c>
      <c r="F25" s="29"/>
    </row>
    <row r="26" spans="1:6">
      <c r="A26" s="7">
        <f t="shared" si="0"/>
        <v>22</v>
      </c>
      <c r="B26" s="29" t="s">
        <v>270</v>
      </c>
      <c r="C26" s="37">
        <v>2062</v>
      </c>
      <c r="D26" s="7">
        <v>1</v>
      </c>
      <c r="E26" s="52">
        <v>911.94</v>
      </c>
      <c r="F26" s="29"/>
    </row>
    <row r="27" spans="1:6">
      <c r="A27" s="7">
        <f t="shared" si="0"/>
        <v>23</v>
      </c>
      <c r="B27" s="29" t="s">
        <v>239</v>
      </c>
      <c r="C27" s="37">
        <v>2121</v>
      </c>
      <c r="D27" s="7"/>
      <c r="E27" s="52">
        <v>530.16999999999996</v>
      </c>
      <c r="F27" s="29"/>
    </row>
    <row r="28" spans="1:6">
      <c r="A28" s="7">
        <f t="shared" si="0"/>
        <v>24</v>
      </c>
      <c r="B28" s="142" t="s">
        <v>422</v>
      </c>
      <c r="C28" s="37">
        <v>2030</v>
      </c>
      <c r="D28" s="58"/>
      <c r="E28" s="52">
        <v>976.62</v>
      </c>
      <c r="F28" s="29"/>
    </row>
    <row r="29" spans="1:6">
      <c r="A29" s="7">
        <f t="shared" si="0"/>
        <v>25</v>
      </c>
      <c r="B29" s="37" t="s">
        <v>290</v>
      </c>
      <c r="C29" s="37">
        <v>2003</v>
      </c>
      <c r="D29" s="58"/>
      <c r="E29" s="52">
        <v>555.32000000000005</v>
      </c>
      <c r="F29" s="29"/>
    </row>
    <row r="30" spans="1:6">
      <c r="A30" s="7">
        <f t="shared" si="0"/>
        <v>26</v>
      </c>
      <c r="B30" s="142" t="s">
        <v>420</v>
      </c>
      <c r="C30" s="37">
        <v>2019</v>
      </c>
      <c r="D30" s="58">
        <v>1</v>
      </c>
      <c r="E30" s="52">
        <v>948.53</v>
      </c>
      <c r="F30" s="29"/>
    </row>
    <row r="31" spans="1:6">
      <c r="A31" s="7">
        <f t="shared" si="0"/>
        <v>27</v>
      </c>
      <c r="B31" s="37" t="s">
        <v>294</v>
      </c>
      <c r="C31" s="37">
        <v>2184</v>
      </c>
      <c r="D31" s="58"/>
      <c r="E31" s="52">
        <v>457.43</v>
      </c>
      <c r="F31" s="29"/>
    </row>
    <row r="32" spans="1:6">
      <c r="A32" s="7">
        <f t="shared" si="0"/>
        <v>28</v>
      </c>
      <c r="B32" s="142" t="s">
        <v>414</v>
      </c>
      <c r="C32" s="37">
        <v>2172</v>
      </c>
      <c r="D32" s="58"/>
      <c r="E32" s="52">
        <v>1314.21</v>
      </c>
      <c r="F32" s="29"/>
    </row>
    <row r="33" spans="1:6">
      <c r="A33" s="7">
        <f t="shared" si="0"/>
        <v>29</v>
      </c>
      <c r="B33" s="29" t="s">
        <v>219</v>
      </c>
      <c r="C33" s="37">
        <v>2119</v>
      </c>
      <c r="D33" s="7"/>
      <c r="E33" s="52">
        <v>457.43</v>
      </c>
      <c r="F33" s="29"/>
    </row>
    <row r="34" spans="1:6" ht="15">
      <c r="A34" s="7">
        <f t="shared" si="0"/>
        <v>30</v>
      </c>
      <c r="B34" s="143" t="s">
        <v>412</v>
      </c>
      <c r="C34" s="37">
        <v>2231</v>
      </c>
      <c r="D34" s="7">
        <v>3</v>
      </c>
      <c r="E34" s="52">
        <v>2226.59</v>
      </c>
      <c r="F34" s="29"/>
    </row>
    <row r="35" spans="1:6">
      <c r="A35" s="7">
        <f t="shared" si="0"/>
        <v>31</v>
      </c>
      <c r="B35" s="29" t="s">
        <v>368</v>
      </c>
      <c r="C35" s="37">
        <v>1975</v>
      </c>
      <c r="D35" s="7"/>
      <c r="E35" s="52">
        <v>558.98</v>
      </c>
      <c r="F35" s="29"/>
    </row>
    <row r="36" spans="1:6">
      <c r="A36" s="7">
        <f t="shared" si="0"/>
        <v>32</v>
      </c>
      <c r="B36" s="29" t="s">
        <v>325</v>
      </c>
      <c r="C36" s="37">
        <v>2203</v>
      </c>
      <c r="D36" s="7"/>
      <c r="E36" s="52">
        <v>548.01</v>
      </c>
      <c r="F36" s="29"/>
    </row>
    <row r="37" spans="1:6" s="133" customFormat="1">
      <c r="A37" s="7">
        <f t="shared" si="0"/>
        <v>33</v>
      </c>
      <c r="B37" s="134" t="s">
        <v>233</v>
      </c>
      <c r="C37" s="37">
        <v>1595</v>
      </c>
      <c r="D37" s="136"/>
      <c r="E37" s="132">
        <v>1372.29</v>
      </c>
      <c r="F37" s="131" t="s">
        <v>407</v>
      </c>
    </row>
    <row r="38" spans="1:6">
      <c r="A38" s="7">
        <f t="shared" si="0"/>
        <v>34</v>
      </c>
      <c r="B38" s="37" t="s">
        <v>301</v>
      </c>
      <c r="C38" s="37">
        <v>2001</v>
      </c>
      <c r="D38" s="58"/>
      <c r="E38" s="52">
        <v>976.62</v>
      </c>
      <c r="F38" s="29"/>
    </row>
    <row r="39" spans="1:6">
      <c r="A39" s="7">
        <f t="shared" si="0"/>
        <v>35</v>
      </c>
      <c r="B39" s="37" t="s">
        <v>284</v>
      </c>
      <c r="C39" s="37">
        <v>2160</v>
      </c>
      <c r="D39" s="58">
        <v>1</v>
      </c>
      <c r="E39" s="52">
        <v>1477.51</v>
      </c>
      <c r="F39" s="29"/>
    </row>
    <row r="40" spans="1:6">
      <c r="A40" s="7">
        <f t="shared" si="0"/>
        <v>36</v>
      </c>
      <c r="B40" s="29" t="s">
        <v>272</v>
      </c>
      <c r="C40" s="37">
        <v>2018</v>
      </c>
      <c r="D40" s="7"/>
      <c r="E40" s="52">
        <v>1285.3900000000001</v>
      </c>
      <c r="F40" s="29"/>
    </row>
    <row r="41" spans="1:6">
      <c r="A41" s="7">
        <f t="shared" si="0"/>
        <v>37</v>
      </c>
      <c r="B41" s="37" t="s">
        <v>90</v>
      </c>
      <c r="C41" s="37">
        <v>1692</v>
      </c>
      <c r="D41" s="58">
        <v>2</v>
      </c>
      <c r="E41" s="52">
        <v>1477.51</v>
      </c>
      <c r="F41" s="29"/>
    </row>
    <row r="42" spans="1:6">
      <c r="A42" s="7">
        <f t="shared" si="0"/>
        <v>38</v>
      </c>
      <c r="B42" s="37" t="s">
        <v>134</v>
      </c>
      <c r="C42" s="37">
        <v>2027</v>
      </c>
      <c r="D42" s="58"/>
      <c r="E42" s="52">
        <v>541.14</v>
      </c>
      <c r="F42" s="29"/>
    </row>
    <row r="43" spans="1:6">
      <c r="A43" s="7">
        <f t="shared" si="0"/>
        <v>39</v>
      </c>
      <c r="B43" s="142" t="s">
        <v>411</v>
      </c>
      <c r="C43" s="37">
        <v>2060</v>
      </c>
      <c r="D43" s="58"/>
      <c r="E43" s="52">
        <v>747.9</v>
      </c>
      <c r="F43" s="29"/>
    </row>
    <row r="44" spans="1:6">
      <c r="A44" s="7">
        <f t="shared" si="0"/>
        <v>40</v>
      </c>
      <c r="B44" s="142" t="s">
        <v>419</v>
      </c>
      <c r="C44" s="37">
        <v>1649</v>
      </c>
      <c r="D44" s="58"/>
      <c r="E44" s="52">
        <v>1372.29</v>
      </c>
      <c r="F44" s="29"/>
    </row>
    <row r="45" spans="1:6">
      <c r="A45" s="7">
        <f t="shared" si="0"/>
        <v>41</v>
      </c>
      <c r="B45" s="29" t="s">
        <v>288</v>
      </c>
      <c r="C45" s="37">
        <v>2090</v>
      </c>
      <c r="D45" s="58"/>
      <c r="E45" s="52">
        <v>933.17</v>
      </c>
      <c r="F45" s="29"/>
    </row>
    <row r="46" spans="1:6">
      <c r="A46" s="7">
        <f t="shared" si="0"/>
        <v>42</v>
      </c>
      <c r="B46" s="29" t="s">
        <v>238</v>
      </c>
      <c r="C46" s="37">
        <v>1050</v>
      </c>
      <c r="D46" s="58"/>
      <c r="E46" s="52">
        <v>1372.29</v>
      </c>
      <c r="F46" s="29"/>
    </row>
    <row r="47" spans="1:6">
      <c r="A47" s="7">
        <f t="shared" si="0"/>
        <v>43</v>
      </c>
      <c r="B47" s="142" t="s">
        <v>413</v>
      </c>
      <c r="C47" s="37">
        <v>1964</v>
      </c>
      <c r="D47" s="58"/>
      <c r="E47" s="52">
        <v>639.04</v>
      </c>
      <c r="F47" s="29"/>
    </row>
    <row r="48" spans="1:6">
      <c r="A48" s="7">
        <f t="shared" si="0"/>
        <v>44</v>
      </c>
      <c r="B48" s="37" t="s">
        <v>54</v>
      </c>
      <c r="C48" s="37">
        <v>1981</v>
      </c>
      <c r="D48" s="58"/>
      <c r="E48" s="52">
        <v>562.64</v>
      </c>
      <c r="F48" s="29" t="s">
        <v>389</v>
      </c>
    </row>
    <row r="49" spans="1:9">
      <c r="A49" s="7">
        <f t="shared" si="0"/>
        <v>45</v>
      </c>
      <c r="B49" s="29" t="s">
        <v>33</v>
      </c>
      <c r="C49" s="37">
        <v>1662</v>
      </c>
      <c r="D49" s="58">
        <v>1</v>
      </c>
      <c r="E49" s="52">
        <v>1104.24</v>
      </c>
      <c r="F49" s="29"/>
    </row>
    <row r="50" spans="1:9">
      <c r="A50" s="7">
        <f t="shared" si="0"/>
        <v>46</v>
      </c>
      <c r="B50" s="37" t="s">
        <v>34</v>
      </c>
      <c r="C50" s="37">
        <v>1630</v>
      </c>
      <c r="D50" s="58">
        <v>1</v>
      </c>
      <c r="E50" s="54">
        <v>1350.34</v>
      </c>
      <c r="F50" s="29"/>
    </row>
    <row r="51" spans="1:9">
      <c r="A51" s="7">
        <f t="shared" si="0"/>
        <v>47</v>
      </c>
      <c r="B51" s="142" t="s">
        <v>410</v>
      </c>
      <c r="C51" s="37">
        <v>2006</v>
      </c>
      <c r="D51" s="7"/>
      <c r="E51" s="54">
        <v>555.32000000000005</v>
      </c>
      <c r="F51" s="29"/>
    </row>
    <row r="52" spans="1:9">
      <c r="A52" s="7">
        <f t="shared" si="0"/>
        <v>48</v>
      </c>
      <c r="B52" s="37" t="s">
        <v>333</v>
      </c>
      <c r="C52" s="37">
        <v>2212</v>
      </c>
      <c r="D52" s="7"/>
      <c r="E52" s="52">
        <v>530.16999999999996</v>
      </c>
      <c r="F52" s="29"/>
    </row>
    <row r="53" spans="1:9">
      <c r="A53" s="7">
        <f t="shared" si="0"/>
        <v>49</v>
      </c>
      <c r="B53" s="37" t="s">
        <v>350</v>
      </c>
      <c r="C53" s="37">
        <v>2095</v>
      </c>
      <c r="D53" s="7"/>
      <c r="E53" s="52">
        <v>511.87</v>
      </c>
      <c r="F53" s="29"/>
    </row>
    <row r="54" spans="1:9">
      <c r="D54" s="105" t="s">
        <v>313</v>
      </c>
      <c r="E54" s="116">
        <f>SUM(E5:E53)</f>
        <v>49936.259999999995</v>
      </c>
    </row>
    <row r="55" spans="1:9">
      <c r="A55" s="101" t="s">
        <v>289</v>
      </c>
      <c r="B55" s="142" t="s">
        <v>409</v>
      </c>
      <c r="C55" s="29">
        <v>2130</v>
      </c>
      <c r="D55" s="7"/>
      <c r="E55" s="52">
        <v>497.23</v>
      </c>
      <c r="F55" s="29"/>
    </row>
    <row r="56" spans="1:9">
      <c r="A56" s="106" t="s">
        <v>289</v>
      </c>
      <c r="B56" s="107" t="s">
        <v>268</v>
      </c>
      <c r="C56" s="107">
        <v>2082</v>
      </c>
      <c r="D56" s="108"/>
      <c r="E56" s="127">
        <v>541.14</v>
      </c>
      <c r="F56" s="110"/>
    </row>
    <row r="57" spans="1:9">
      <c r="A57" s="113"/>
      <c r="B57" s="102"/>
      <c r="C57" s="102"/>
      <c r="D57" s="115" t="s">
        <v>323</v>
      </c>
      <c r="E57" s="117">
        <f>SUM(E55:E56)</f>
        <v>1038.3699999999999</v>
      </c>
      <c r="F57" s="114"/>
      <c r="H57" s="15"/>
      <c r="I57" s="15"/>
    </row>
    <row r="58" spans="1:9">
      <c r="A58" s="458" t="s">
        <v>315</v>
      </c>
      <c r="B58" s="459"/>
      <c r="C58" s="459"/>
      <c r="D58" s="460"/>
      <c r="E58" s="111">
        <f>E54+E57</f>
        <v>50974.63</v>
      </c>
      <c r="F58" s="112"/>
    </row>
    <row r="59" spans="1:9">
      <c r="A59" s="431" t="s">
        <v>258</v>
      </c>
      <c r="B59" s="432"/>
      <c r="C59" s="141"/>
      <c r="D59" s="7">
        <f>COUNTA(B5:B57)</f>
        <v>51</v>
      </c>
      <c r="E59" s="52"/>
      <c r="F59" s="29"/>
    </row>
    <row r="60" spans="1:9">
      <c r="A60" s="431" t="s">
        <v>242</v>
      </c>
      <c r="B60" s="432"/>
      <c r="C60" s="141"/>
      <c r="D60" s="58">
        <v>17</v>
      </c>
      <c r="E60" s="52"/>
      <c r="F60" s="29"/>
    </row>
    <row r="61" spans="1:9">
      <c r="A61" s="433" t="s">
        <v>246</v>
      </c>
      <c r="B61" s="434"/>
      <c r="C61" s="92"/>
      <c r="D61" s="86">
        <f>D59+D60</f>
        <v>68</v>
      </c>
      <c r="E61" s="52"/>
      <c r="F61" s="29"/>
    </row>
    <row r="62" spans="1:9">
      <c r="A62" s="425" t="s">
        <v>257</v>
      </c>
      <c r="B62" s="426"/>
      <c r="C62" s="426"/>
      <c r="D62" s="427"/>
      <c r="E62" s="77"/>
      <c r="F62" s="75"/>
      <c r="H62" s="15"/>
    </row>
    <row r="63" spans="1:9" ht="28" customHeight="1">
      <c r="A63" s="91"/>
      <c r="B63" s="37"/>
      <c r="C63" s="82"/>
      <c r="D63" s="104"/>
      <c r="E63" s="135"/>
      <c r="F63" s="138"/>
    </row>
    <row r="64" spans="1:9" ht="28" customHeight="1">
      <c r="A64" s="91"/>
      <c r="B64" s="37"/>
      <c r="C64" s="82"/>
      <c r="D64" s="104"/>
      <c r="E64" s="135"/>
      <c r="F64" s="138"/>
    </row>
    <row r="65" spans="1:6" ht="23" customHeight="1">
      <c r="A65" s="91"/>
      <c r="B65" s="37"/>
      <c r="C65" s="82"/>
      <c r="D65" s="104"/>
      <c r="E65" s="94"/>
      <c r="F65" s="137"/>
    </row>
    <row r="66" spans="1:6" ht="12" customHeight="1">
      <c r="A66" s="428" t="s">
        <v>265</v>
      </c>
      <c r="B66" s="429"/>
      <c r="C66" s="429"/>
      <c r="D66" s="430"/>
      <c r="E66" s="83">
        <f>SUM(E63:E65)</f>
        <v>0</v>
      </c>
      <c r="F66" s="75"/>
    </row>
    <row r="67" spans="1:6">
      <c r="A67" s="422" t="s">
        <v>37</v>
      </c>
      <c r="B67" s="423"/>
      <c r="C67" s="423"/>
      <c r="D67" s="424"/>
      <c r="E67" s="80">
        <f>E58+E66</f>
        <v>50974.63</v>
      </c>
      <c r="F67" s="84"/>
    </row>
    <row r="68" spans="1:6" ht="18">
      <c r="E68" s="72" t="s">
        <v>250</v>
      </c>
      <c r="F68" s="118">
        <v>44435</v>
      </c>
    </row>
    <row r="69" spans="1:6" ht="18">
      <c r="E69" s="73" t="s">
        <v>251</v>
      </c>
      <c r="F69" s="119" t="s">
        <v>337</v>
      </c>
    </row>
  </sheetData>
  <mergeCells count="8">
    <mergeCell ref="A66:D66"/>
    <mergeCell ref="A67:D67"/>
    <mergeCell ref="E3:F3"/>
    <mergeCell ref="A58:D58"/>
    <mergeCell ref="A59:B59"/>
    <mergeCell ref="A60:B60"/>
    <mergeCell ref="A61:B61"/>
    <mergeCell ref="A62:D62"/>
  </mergeCells>
  <conditionalFormatting sqref="B12">
    <cfRule type="duplicateValues" dxfId="653" priority="7"/>
    <cfRule type="duplicateValues" dxfId="652" priority="10"/>
    <cfRule type="duplicateValues" dxfId="651" priority="11"/>
  </conditionalFormatting>
  <conditionalFormatting sqref="B14 D14">
    <cfRule type="duplicateValues" dxfId="650" priority="21"/>
    <cfRule type="duplicateValues" dxfId="649" priority="22"/>
    <cfRule type="duplicateValues" dxfId="648" priority="23"/>
  </conditionalFormatting>
  <conditionalFormatting sqref="B19 D19">
    <cfRule type="duplicateValues" dxfId="647" priority="18"/>
    <cfRule type="duplicateValues" dxfId="646" priority="19"/>
    <cfRule type="duplicateValues" dxfId="645" priority="20"/>
  </conditionalFormatting>
  <conditionalFormatting sqref="B56:C57 B13:B15 B7:B10 C5:C53 C55 B52:B53 B45:B46 B35:B42 B48:B50 B33 B17:B19 B26:B27 B21:B24 B31 B29">
    <cfRule type="duplicateValues" dxfId="644" priority="27"/>
  </conditionalFormatting>
  <conditionalFormatting sqref="B63:C64">
    <cfRule type="duplicateValues" dxfId="643" priority="28"/>
  </conditionalFormatting>
  <conditionalFormatting sqref="B65:C65">
    <cfRule type="duplicateValues" dxfId="642" priority="4"/>
    <cfRule type="duplicateValues" dxfId="641" priority="5"/>
    <cfRule type="duplicateValues" dxfId="640" priority="6"/>
  </conditionalFormatting>
  <conditionalFormatting sqref="B66:C69 B56:C62 B1:C3 B13:B15 B7:B10 C5:C53 B4 C55 B52:B53 B45:B46 B35:B42 B48:B50 B33 B17:B19 B26:B27 B21:B24 B31 B29">
    <cfRule type="duplicateValues" dxfId="639" priority="26"/>
  </conditionalFormatting>
  <conditionalFormatting sqref="B66:C1048576 B54:C54 B1:C3 B7:B10 B13:B15 C5:C53 B4 B56:C62 C55 B52:B53 B45:B46 B35:B42 B48:B50 B33 B17:B19 B26:B27 B21:B24 B31 B29">
    <cfRule type="duplicateValues" dxfId="638" priority="12"/>
  </conditionalFormatting>
  <conditionalFormatting sqref="B70:C1048576">
    <cfRule type="duplicateValues" dxfId="637" priority="24"/>
  </conditionalFormatting>
  <conditionalFormatting sqref="C4">
    <cfRule type="duplicateValues" dxfId="636" priority="1"/>
    <cfRule type="duplicateValues" dxfId="635" priority="2"/>
  </conditionalFormatting>
  <conditionalFormatting sqref="D5:D53">
    <cfRule type="notContainsBlanks" dxfId="634" priority="9">
      <formula>LEN(TRIM(D5))&gt;0</formula>
    </cfRule>
  </conditionalFormatting>
  <conditionalFormatting sqref="D20">
    <cfRule type="duplicateValues" dxfId="633" priority="15"/>
    <cfRule type="duplicateValues" dxfId="632" priority="16"/>
    <cfRule type="duplicateValues" dxfId="631" priority="17"/>
  </conditionalFormatting>
  <conditionalFormatting sqref="D55:D56">
    <cfRule type="notContainsBlanks" dxfId="630" priority="14">
      <formula>LEN(TRIM(D55))&gt;0</formula>
    </cfRule>
  </conditionalFormatting>
  <conditionalFormatting sqref="F5:F53">
    <cfRule type="notContainsBlanks" dxfId="629" priority="8">
      <formula>LEN(TRIM(F5))&gt;0</formula>
    </cfRule>
  </conditionalFormatting>
  <conditionalFormatting sqref="F55:F67">
    <cfRule type="notContainsBlanks" dxfId="628" priority="3">
      <formula>LEN(TRIM(F55))&gt;0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D33B-1251-9046-B306-B179046B66A7}">
  <sheetPr>
    <tabColor theme="8"/>
    <pageSetUpPr fitToPage="1"/>
  </sheetPr>
  <dimension ref="A1:I71"/>
  <sheetViews>
    <sheetView topLeftCell="A32" zoomScale="150" zoomScaleNormal="150" zoomScalePageLayoutView="140" workbookViewId="0">
      <selection activeCell="B5" sqref="B5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23.33203125" customWidth="1"/>
    <col min="4" max="4" width="10.5" style="3" bestFit="1" customWidth="1"/>
    <col min="5" max="5" width="14.83203125" customWidth="1"/>
    <col min="6" max="6" width="26.1640625" customWidth="1"/>
    <col min="7" max="7" width="13.6640625" customWidth="1"/>
    <col min="8" max="8" width="18.1640625" bestFit="1" customWidth="1"/>
  </cols>
  <sheetData>
    <row r="1" spans="1:6">
      <c r="A1" s="1" t="s">
        <v>0</v>
      </c>
      <c r="D1" s="88"/>
      <c r="E1" s="68" t="s">
        <v>342</v>
      </c>
      <c r="F1" s="68" t="s">
        <v>223</v>
      </c>
    </row>
    <row r="2" spans="1:6" ht="13.5" customHeight="1">
      <c r="A2" s="1" t="s">
        <v>249</v>
      </c>
      <c r="E2" s="7" t="s">
        <v>400</v>
      </c>
      <c r="F2" s="123">
        <v>44409</v>
      </c>
    </row>
    <row r="3" spans="1:6" ht="14" customHeight="1">
      <c r="E3" s="462" t="s">
        <v>358</v>
      </c>
      <c r="F3" s="462"/>
    </row>
    <row r="4" spans="1:6">
      <c r="A4" s="50" t="s">
        <v>226</v>
      </c>
      <c r="B4" s="50" t="s">
        <v>225</v>
      </c>
      <c r="C4" s="50" t="s">
        <v>408</v>
      </c>
      <c r="D4" s="50" t="s">
        <v>241</v>
      </c>
      <c r="E4" s="50" t="s">
        <v>224</v>
      </c>
      <c r="F4" s="50" t="s">
        <v>227</v>
      </c>
    </row>
    <row r="5" spans="1:6">
      <c r="A5" s="7">
        <v>1</v>
      </c>
      <c r="B5" s="142" t="s">
        <v>423</v>
      </c>
      <c r="C5" s="37">
        <v>2081</v>
      </c>
      <c r="D5" s="58"/>
      <c r="E5" s="54">
        <v>620.74</v>
      </c>
      <c r="F5" s="29"/>
    </row>
    <row r="6" spans="1:6">
      <c r="A6" s="7">
        <v>2</v>
      </c>
      <c r="B6" s="142" t="s">
        <v>421</v>
      </c>
      <c r="C6" s="37">
        <v>1593</v>
      </c>
      <c r="D6" s="7"/>
      <c r="E6" s="52">
        <v>1114.77</v>
      </c>
      <c r="F6" s="29"/>
    </row>
    <row r="7" spans="1:6">
      <c r="A7" s="7">
        <f t="shared" ref="A7:A55" si="0">A6+1</f>
        <v>3</v>
      </c>
      <c r="B7" s="37" t="s">
        <v>202</v>
      </c>
      <c r="C7" s="37">
        <v>2023</v>
      </c>
      <c r="D7" s="58"/>
      <c r="E7" s="52">
        <v>562.64</v>
      </c>
      <c r="F7" s="29"/>
    </row>
    <row r="8" spans="1:6">
      <c r="A8" s="7">
        <f t="shared" si="0"/>
        <v>4</v>
      </c>
      <c r="B8" s="29" t="s">
        <v>12</v>
      </c>
      <c r="C8" s="37">
        <v>1721</v>
      </c>
      <c r="D8" s="7">
        <v>1</v>
      </c>
      <c r="E8" s="52">
        <v>1622.97</v>
      </c>
      <c r="F8" s="29"/>
    </row>
    <row r="9" spans="1:6">
      <c r="A9" s="7">
        <v>5</v>
      </c>
      <c r="B9" s="29" t="s">
        <v>365</v>
      </c>
      <c r="C9">
        <v>2123</v>
      </c>
      <c r="D9" s="7"/>
      <c r="E9" s="52">
        <v>566.29999999999995</v>
      </c>
      <c r="F9" s="29"/>
    </row>
    <row r="10" spans="1:6">
      <c r="A10" s="7">
        <v>6</v>
      </c>
      <c r="B10" s="37" t="s">
        <v>48</v>
      </c>
      <c r="C10" s="37">
        <v>1970</v>
      </c>
      <c r="D10" s="58">
        <v>2</v>
      </c>
      <c r="E10" s="52">
        <v>1475.03</v>
      </c>
      <c r="F10" s="29"/>
    </row>
    <row r="11" spans="1:6">
      <c r="A11" s="7">
        <v>7</v>
      </c>
      <c r="B11" s="142" t="s">
        <v>417</v>
      </c>
      <c r="C11" s="37">
        <v>1794</v>
      </c>
      <c r="D11" s="58">
        <v>3</v>
      </c>
      <c r="E11" s="52">
        <v>2120.19</v>
      </c>
      <c r="F11" s="29"/>
    </row>
    <row r="12" spans="1:6">
      <c r="A12" s="7">
        <v>8</v>
      </c>
      <c r="B12" s="37" t="s">
        <v>316</v>
      </c>
      <c r="C12" s="37">
        <v>2201</v>
      </c>
      <c r="D12" s="58"/>
      <c r="E12" s="52">
        <v>933.17</v>
      </c>
      <c r="F12" s="29"/>
    </row>
    <row r="13" spans="1:6">
      <c r="A13" s="7">
        <f>A12+1</f>
        <v>9</v>
      </c>
      <c r="B13" s="37" t="s">
        <v>297</v>
      </c>
      <c r="C13" s="37">
        <v>2194</v>
      </c>
      <c r="D13" s="58"/>
      <c r="E13" s="52">
        <v>468.41</v>
      </c>
      <c r="F13" s="29"/>
    </row>
    <row r="14" spans="1:6">
      <c r="A14" s="7">
        <f t="shared" si="0"/>
        <v>10</v>
      </c>
      <c r="B14" s="37" t="s">
        <v>291</v>
      </c>
      <c r="C14" s="37">
        <v>2182</v>
      </c>
      <c r="D14" s="58">
        <v>1</v>
      </c>
      <c r="E14" s="52"/>
      <c r="F14" s="29" t="s">
        <v>403</v>
      </c>
    </row>
    <row r="15" spans="1:6" s="133" customFormat="1">
      <c r="A15" s="130">
        <f t="shared" si="0"/>
        <v>11</v>
      </c>
      <c r="B15" s="139" t="s">
        <v>230</v>
      </c>
      <c r="C15" s="37">
        <v>1040</v>
      </c>
      <c r="D15" s="140"/>
      <c r="E15" s="132">
        <v>1372.29</v>
      </c>
      <c r="F15" s="131" t="s">
        <v>402</v>
      </c>
    </row>
    <row r="16" spans="1:6">
      <c r="A16" s="7">
        <f t="shared" si="0"/>
        <v>12</v>
      </c>
      <c r="B16" s="29" t="s">
        <v>234</v>
      </c>
      <c r="C16" s="37">
        <v>1708</v>
      </c>
      <c r="D16" s="7"/>
      <c r="E16" s="52">
        <v>1314.21</v>
      </c>
      <c r="F16" s="29"/>
    </row>
    <row r="17" spans="1:6">
      <c r="A17" s="7">
        <f t="shared" si="0"/>
        <v>13</v>
      </c>
      <c r="B17" s="142" t="s">
        <v>415</v>
      </c>
      <c r="C17" s="37">
        <v>2228</v>
      </c>
      <c r="D17" s="7">
        <v>2</v>
      </c>
      <c r="E17" s="52">
        <v>1669.44</v>
      </c>
      <c r="F17" s="29"/>
    </row>
    <row r="18" spans="1:6">
      <c r="A18" s="7">
        <f t="shared" si="0"/>
        <v>14</v>
      </c>
      <c r="B18" s="29" t="s">
        <v>237</v>
      </c>
      <c r="C18" s="37">
        <v>2120</v>
      </c>
      <c r="D18" s="7">
        <v>1</v>
      </c>
      <c r="E18" s="52">
        <v>1258.03</v>
      </c>
      <c r="F18" s="29"/>
    </row>
    <row r="19" spans="1:6">
      <c r="A19" s="7">
        <f t="shared" si="0"/>
        <v>15</v>
      </c>
      <c r="B19" s="29" t="s">
        <v>298</v>
      </c>
      <c r="C19" s="37">
        <v>2193</v>
      </c>
      <c r="D19" s="7"/>
      <c r="E19" s="52">
        <v>541.14</v>
      </c>
      <c r="F19" s="29"/>
    </row>
    <row r="20" spans="1:6">
      <c r="A20" s="7">
        <f t="shared" si="0"/>
        <v>16</v>
      </c>
      <c r="B20" s="61" t="s">
        <v>228</v>
      </c>
      <c r="C20" s="37">
        <v>640</v>
      </c>
      <c r="D20" s="62"/>
      <c r="E20" s="52">
        <v>1020.08</v>
      </c>
      <c r="F20" s="29"/>
    </row>
    <row r="21" spans="1:6">
      <c r="A21" s="7">
        <f t="shared" si="0"/>
        <v>17</v>
      </c>
      <c r="B21" s="142" t="s">
        <v>418</v>
      </c>
      <c r="C21" s="37">
        <v>901</v>
      </c>
      <c r="D21" s="62"/>
      <c r="E21" s="52">
        <v>1372.29</v>
      </c>
      <c r="F21" s="29"/>
    </row>
    <row r="22" spans="1:6">
      <c r="A22" s="7">
        <f t="shared" si="0"/>
        <v>18</v>
      </c>
      <c r="B22" s="29" t="s">
        <v>235</v>
      </c>
      <c r="C22" s="37">
        <v>1741</v>
      </c>
      <c r="D22" s="7"/>
      <c r="E22" s="52">
        <v>853.11</v>
      </c>
      <c r="F22" s="29"/>
    </row>
    <row r="23" spans="1:6">
      <c r="A23" s="7">
        <f t="shared" si="0"/>
        <v>19</v>
      </c>
      <c r="B23" s="37" t="s">
        <v>63</v>
      </c>
      <c r="C23" s="37">
        <v>1757</v>
      </c>
      <c r="D23" s="58">
        <v>2</v>
      </c>
      <c r="E23" s="52">
        <v>1485.83</v>
      </c>
      <c r="F23" s="29"/>
    </row>
    <row r="24" spans="1:6">
      <c r="A24" s="7">
        <f t="shared" si="0"/>
        <v>20</v>
      </c>
      <c r="B24" s="37" t="s">
        <v>168</v>
      </c>
      <c r="C24" s="37">
        <v>2057</v>
      </c>
      <c r="D24" s="58"/>
      <c r="E24" s="52">
        <v>1314.21</v>
      </c>
      <c r="F24" s="29"/>
    </row>
    <row r="25" spans="1:6">
      <c r="A25" s="7">
        <f t="shared" si="0"/>
        <v>21</v>
      </c>
      <c r="B25" s="37" t="s">
        <v>88</v>
      </c>
      <c r="C25" s="37">
        <v>1210</v>
      </c>
      <c r="D25" s="58"/>
      <c r="E25" s="52">
        <v>1241.48</v>
      </c>
      <c r="F25" s="29"/>
    </row>
    <row r="26" spans="1:6">
      <c r="A26" s="7">
        <f t="shared" si="0"/>
        <v>22</v>
      </c>
      <c r="B26" s="142" t="s">
        <v>416</v>
      </c>
      <c r="C26" s="37">
        <v>1460</v>
      </c>
      <c r="D26" s="7"/>
      <c r="E26" s="52">
        <v>714.97</v>
      </c>
      <c r="F26" s="29"/>
    </row>
    <row r="27" spans="1:6">
      <c r="A27" s="7">
        <f t="shared" si="0"/>
        <v>23</v>
      </c>
      <c r="B27" s="29" t="s">
        <v>270</v>
      </c>
      <c r="C27" s="37">
        <v>2062</v>
      </c>
      <c r="D27" s="7">
        <v>1</v>
      </c>
      <c r="E27" s="52">
        <v>911.94</v>
      </c>
      <c r="F27" s="29"/>
    </row>
    <row r="28" spans="1:6">
      <c r="A28" s="7">
        <f t="shared" si="0"/>
        <v>24</v>
      </c>
      <c r="B28" s="29" t="s">
        <v>239</v>
      </c>
      <c r="C28" s="37">
        <v>2121</v>
      </c>
      <c r="D28" s="7"/>
      <c r="E28" s="52">
        <v>530.16999999999996</v>
      </c>
      <c r="F28" s="29"/>
    </row>
    <row r="29" spans="1:6">
      <c r="A29" s="7">
        <f t="shared" si="0"/>
        <v>25</v>
      </c>
      <c r="B29" s="142" t="s">
        <v>422</v>
      </c>
      <c r="C29" s="37">
        <v>2030</v>
      </c>
      <c r="D29" s="58"/>
      <c r="E29" s="52">
        <v>976.62</v>
      </c>
      <c r="F29" s="29"/>
    </row>
    <row r="30" spans="1:6">
      <c r="A30" s="7">
        <f t="shared" si="0"/>
        <v>26</v>
      </c>
      <c r="B30" s="37" t="s">
        <v>290</v>
      </c>
      <c r="C30" s="37">
        <v>2003</v>
      </c>
      <c r="D30" s="58"/>
      <c r="E30" s="52">
        <v>555.32000000000005</v>
      </c>
      <c r="F30" s="29"/>
    </row>
    <row r="31" spans="1:6">
      <c r="A31" s="7">
        <f t="shared" si="0"/>
        <v>27</v>
      </c>
      <c r="B31" s="142" t="s">
        <v>420</v>
      </c>
      <c r="C31" s="37">
        <v>2019</v>
      </c>
      <c r="D31" s="58">
        <v>1</v>
      </c>
      <c r="E31" s="52">
        <v>948.53</v>
      </c>
      <c r="F31" s="29"/>
    </row>
    <row r="32" spans="1:6">
      <c r="A32" s="7">
        <f t="shared" si="0"/>
        <v>28</v>
      </c>
      <c r="B32" s="37" t="s">
        <v>294</v>
      </c>
      <c r="C32" s="37">
        <v>2184</v>
      </c>
      <c r="D32" s="58"/>
      <c r="E32" s="52">
        <v>457.43</v>
      </c>
      <c r="F32" s="29"/>
    </row>
    <row r="33" spans="1:6">
      <c r="A33" s="7">
        <f t="shared" si="0"/>
        <v>29</v>
      </c>
      <c r="B33" s="142" t="s">
        <v>414</v>
      </c>
      <c r="C33" s="37">
        <v>2172</v>
      </c>
      <c r="D33" s="58"/>
      <c r="E33" s="52">
        <v>1314.21</v>
      </c>
      <c r="F33" s="29"/>
    </row>
    <row r="34" spans="1:6">
      <c r="A34" s="7">
        <f t="shared" si="0"/>
        <v>30</v>
      </c>
      <c r="B34" s="29" t="s">
        <v>219</v>
      </c>
      <c r="C34" s="37">
        <v>2119</v>
      </c>
      <c r="D34" s="7"/>
      <c r="E34" s="52">
        <v>457.43</v>
      </c>
      <c r="F34" s="29"/>
    </row>
    <row r="35" spans="1:6" ht="15">
      <c r="A35" s="7"/>
      <c r="B35" s="143" t="s">
        <v>412</v>
      </c>
      <c r="C35" s="37">
        <v>2231</v>
      </c>
      <c r="D35" s="7">
        <v>3</v>
      </c>
      <c r="E35" s="52">
        <v>2226.59</v>
      </c>
      <c r="F35" s="29"/>
    </row>
    <row r="36" spans="1:6">
      <c r="A36" s="7">
        <f>A34+1</f>
        <v>31</v>
      </c>
      <c r="B36" s="29" t="s">
        <v>368</v>
      </c>
      <c r="C36" s="37">
        <v>1975</v>
      </c>
      <c r="D36" s="7"/>
      <c r="E36" s="52">
        <v>558.98</v>
      </c>
      <c r="F36" s="29"/>
    </row>
    <row r="37" spans="1:6">
      <c r="A37" s="7">
        <f t="shared" si="0"/>
        <v>32</v>
      </c>
      <c r="B37" s="29" t="s">
        <v>325</v>
      </c>
      <c r="C37" s="37">
        <v>2203</v>
      </c>
      <c r="D37" s="7"/>
      <c r="E37" s="52">
        <v>548.01</v>
      </c>
      <c r="F37" s="29"/>
    </row>
    <row r="38" spans="1:6" s="133" customFormat="1">
      <c r="A38" s="130">
        <f t="shared" si="0"/>
        <v>33</v>
      </c>
      <c r="B38" s="134" t="s">
        <v>233</v>
      </c>
      <c r="C38" s="37">
        <v>1595</v>
      </c>
      <c r="D38" s="136"/>
      <c r="E38" s="132">
        <v>1372.29</v>
      </c>
      <c r="F38" s="131" t="s">
        <v>404</v>
      </c>
    </row>
    <row r="39" spans="1:6">
      <c r="A39" s="7">
        <f t="shared" si="0"/>
        <v>34</v>
      </c>
      <c r="B39" s="37" t="s">
        <v>301</v>
      </c>
      <c r="C39" s="37">
        <v>2001</v>
      </c>
      <c r="D39" s="58"/>
      <c r="E39" s="52">
        <v>976.62</v>
      </c>
      <c r="F39" s="29"/>
    </row>
    <row r="40" spans="1:6">
      <c r="A40" s="7">
        <f t="shared" si="0"/>
        <v>35</v>
      </c>
      <c r="B40" s="37" t="s">
        <v>214</v>
      </c>
      <c r="C40" s="37">
        <v>2109</v>
      </c>
      <c r="D40" s="58">
        <v>1</v>
      </c>
      <c r="E40" s="52">
        <v>0</v>
      </c>
      <c r="F40" s="29" t="s">
        <v>399</v>
      </c>
    </row>
    <row r="41" spans="1:6">
      <c r="A41" s="7">
        <f t="shared" si="0"/>
        <v>36</v>
      </c>
      <c r="B41" s="37" t="s">
        <v>284</v>
      </c>
      <c r="C41" s="37">
        <v>2160</v>
      </c>
      <c r="D41" s="58">
        <v>1</v>
      </c>
      <c r="E41" s="52">
        <v>1477.51</v>
      </c>
      <c r="F41" s="29"/>
    </row>
    <row r="42" spans="1:6">
      <c r="A42" s="7">
        <f t="shared" si="0"/>
        <v>37</v>
      </c>
      <c r="B42" s="29" t="s">
        <v>272</v>
      </c>
      <c r="C42" s="37">
        <v>2018</v>
      </c>
      <c r="D42" s="7"/>
      <c r="E42" s="52">
        <v>1285.3900000000001</v>
      </c>
      <c r="F42" s="29"/>
    </row>
    <row r="43" spans="1:6">
      <c r="A43" s="7">
        <f t="shared" si="0"/>
        <v>38</v>
      </c>
      <c r="B43" s="37" t="s">
        <v>90</v>
      </c>
      <c r="C43" s="37">
        <v>1692</v>
      </c>
      <c r="D43" s="58">
        <v>2</v>
      </c>
      <c r="E43" s="52">
        <v>1477.51</v>
      </c>
      <c r="F43" s="29"/>
    </row>
    <row r="44" spans="1:6">
      <c r="A44" s="7">
        <f t="shared" si="0"/>
        <v>39</v>
      </c>
      <c r="B44" s="37" t="s">
        <v>134</v>
      </c>
      <c r="C44" s="37">
        <v>2027</v>
      </c>
      <c r="D44" s="58"/>
      <c r="E44" s="52">
        <v>541.14</v>
      </c>
      <c r="F44" s="29"/>
    </row>
    <row r="45" spans="1:6">
      <c r="A45" s="7">
        <f t="shared" si="0"/>
        <v>40</v>
      </c>
      <c r="B45" s="142" t="s">
        <v>411</v>
      </c>
      <c r="C45" s="37">
        <v>2060</v>
      </c>
      <c r="D45" s="58"/>
      <c r="E45" s="52">
        <v>747.9</v>
      </c>
      <c r="F45" s="29"/>
    </row>
    <row r="46" spans="1:6">
      <c r="A46" s="7">
        <f t="shared" si="0"/>
        <v>41</v>
      </c>
      <c r="B46" s="142" t="s">
        <v>419</v>
      </c>
      <c r="C46" s="37">
        <v>1649</v>
      </c>
      <c r="D46" s="58"/>
      <c r="E46" s="52">
        <v>1372.29</v>
      </c>
      <c r="F46" s="29"/>
    </row>
    <row r="47" spans="1:6">
      <c r="A47" s="7">
        <f t="shared" si="0"/>
        <v>42</v>
      </c>
      <c r="B47" s="29" t="s">
        <v>288</v>
      </c>
      <c r="C47" s="37">
        <v>2090</v>
      </c>
      <c r="D47" s="58"/>
      <c r="E47" s="52">
        <v>933.17</v>
      </c>
      <c r="F47" s="29"/>
    </row>
    <row r="48" spans="1:6">
      <c r="A48" s="7">
        <f t="shared" si="0"/>
        <v>43</v>
      </c>
      <c r="B48" s="29" t="s">
        <v>238</v>
      </c>
      <c r="C48" s="37">
        <v>1050</v>
      </c>
      <c r="D48" s="58"/>
      <c r="E48" s="52">
        <v>1372.29</v>
      </c>
      <c r="F48" s="29"/>
    </row>
    <row r="49" spans="1:9">
      <c r="A49" s="7">
        <f t="shared" si="0"/>
        <v>44</v>
      </c>
      <c r="B49" s="142" t="s">
        <v>413</v>
      </c>
      <c r="C49" s="37">
        <v>1964</v>
      </c>
      <c r="D49" s="58"/>
      <c r="E49" s="52">
        <v>639.04</v>
      </c>
      <c r="F49" s="29"/>
    </row>
    <row r="50" spans="1:9">
      <c r="A50" s="7">
        <f t="shared" si="0"/>
        <v>45</v>
      </c>
      <c r="B50" s="37" t="s">
        <v>54</v>
      </c>
      <c r="C50" s="37">
        <v>1981</v>
      </c>
      <c r="D50" s="58"/>
      <c r="E50" s="52">
        <v>562.64</v>
      </c>
      <c r="F50" s="29" t="s">
        <v>389</v>
      </c>
    </row>
    <row r="51" spans="1:9">
      <c r="A51" s="7">
        <f t="shared" si="0"/>
        <v>46</v>
      </c>
      <c r="B51" s="29" t="s">
        <v>33</v>
      </c>
      <c r="C51" s="37">
        <v>1662</v>
      </c>
      <c r="D51" s="58">
        <v>1</v>
      </c>
      <c r="E51" s="52">
        <v>1104.24</v>
      </c>
      <c r="F51" s="29"/>
    </row>
    <row r="52" spans="1:9">
      <c r="A52" s="7">
        <f t="shared" si="0"/>
        <v>47</v>
      </c>
      <c r="B52" s="37" t="s">
        <v>34</v>
      </c>
      <c r="C52" s="37">
        <v>1630</v>
      </c>
      <c r="D52" s="58">
        <v>1</v>
      </c>
      <c r="E52" s="54">
        <v>1350.34</v>
      </c>
      <c r="F52" s="29"/>
    </row>
    <row r="53" spans="1:9">
      <c r="A53" s="7">
        <f t="shared" si="0"/>
        <v>48</v>
      </c>
      <c r="B53" s="142" t="s">
        <v>410</v>
      </c>
      <c r="C53" s="37">
        <v>2006</v>
      </c>
      <c r="D53" s="7"/>
      <c r="E53" s="54">
        <v>555.32000000000005</v>
      </c>
      <c r="F53" s="29"/>
    </row>
    <row r="54" spans="1:9">
      <c r="A54" s="7">
        <f t="shared" si="0"/>
        <v>49</v>
      </c>
      <c r="B54" s="37" t="s">
        <v>333</v>
      </c>
      <c r="C54" s="37">
        <v>2212</v>
      </c>
      <c r="D54" s="7"/>
      <c r="E54" s="52">
        <v>530.16999999999996</v>
      </c>
      <c r="F54" s="29"/>
    </row>
    <row r="55" spans="1:9">
      <c r="A55" s="7">
        <f t="shared" si="0"/>
        <v>50</v>
      </c>
      <c r="B55" s="37" t="s">
        <v>350</v>
      </c>
      <c r="C55" s="37">
        <v>2095</v>
      </c>
      <c r="D55" s="7"/>
      <c r="E55" s="52">
        <v>511.87</v>
      </c>
      <c r="F55" s="29"/>
    </row>
    <row r="56" spans="1:9">
      <c r="D56" s="105" t="s">
        <v>313</v>
      </c>
      <c r="E56" s="116">
        <f>SUM(E5:E55)</f>
        <v>49936.259999999995</v>
      </c>
    </row>
    <row r="57" spans="1:9">
      <c r="A57" s="101" t="s">
        <v>289</v>
      </c>
      <c r="B57" s="142" t="s">
        <v>409</v>
      </c>
      <c r="C57" s="29">
        <v>2130</v>
      </c>
      <c r="D57" s="7"/>
      <c r="E57" s="52">
        <v>497.23</v>
      </c>
      <c r="F57" s="29"/>
    </row>
    <row r="58" spans="1:9">
      <c r="A58" s="106" t="s">
        <v>289</v>
      </c>
      <c r="B58" s="107" t="s">
        <v>268</v>
      </c>
      <c r="C58" s="107">
        <v>2082</v>
      </c>
      <c r="D58" s="108"/>
      <c r="E58" s="127">
        <v>541.14</v>
      </c>
      <c r="F58" s="110"/>
    </row>
    <row r="59" spans="1:9">
      <c r="A59" s="113"/>
      <c r="B59" s="102"/>
      <c r="C59" s="102"/>
      <c r="D59" s="115" t="s">
        <v>323</v>
      </c>
      <c r="E59" s="117">
        <f>SUM(E57:E58)</f>
        <v>1038.3699999999999</v>
      </c>
      <c r="F59" s="114"/>
      <c r="H59" s="15"/>
      <c r="I59" s="15"/>
    </row>
    <row r="60" spans="1:9">
      <c r="A60" s="458" t="s">
        <v>315</v>
      </c>
      <c r="B60" s="459"/>
      <c r="C60" s="459"/>
      <c r="D60" s="460"/>
      <c r="E60" s="111">
        <f>E56+E59</f>
        <v>50974.63</v>
      </c>
      <c r="F60" s="112"/>
    </row>
    <row r="61" spans="1:9">
      <c r="A61" s="431" t="s">
        <v>258</v>
      </c>
      <c r="B61" s="432"/>
      <c r="C61" s="141"/>
      <c r="D61" s="7">
        <f>COUNTA(B5:B59)</f>
        <v>53</v>
      </c>
      <c r="E61" s="52"/>
      <c r="F61" s="29"/>
    </row>
    <row r="62" spans="1:9">
      <c r="A62" s="431" t="s">
        <v>242</v>
      </c>
      <c r="B62" s="432"/>
      <c r="C62" s="141"/>
      <c r="D62" s="58">
        <v>17</v>
      </c>
      <c r="E62" s="52"/>
      <c r="F62" s="29"/>
    </row>
    <row r="63" spans="1:9">
      <c r="A63" s="433" t="s">
        <v>246</v>
      </c>
      <c r="B63" s="434"/>
      <c r="C63" s="92"/>
      <c r="D63" s="86">
        <f>D61+D62</f>
        <v>70</v>
      </c>
      <c r="E63" s="52"/>
      <c r="F63" s="29"/>
    </row>
    <row r="64" spans="1:9">
      <c r="A64" s="425" t="s">
        <v>257</v>
      </c>
      <c r="B64" s="426"/>
      <c r="C64" s="426"/>
      <c r="D64" s="427"/>
      <c r="E64" s="77"/>
      <c r="F64" s="75"/>
      <c r="H64" s="15"/>
    </row>
    <row r="65" spans="1:6" ht="28" customHeight="1">
      <c r="A65" s="91"/>
      <c r="B65" s="37" t="s">
        <v>291</v>
      </c>
      <c r="C65" s="82"/>
      <c r="D65" s="104"/>
      <c r="E65" s="135">
        <v>-2840.66</v>
      </c>
      <c r="F65" s="138" t="s">
        <v>401</v>
      </c>
    </row>
    <row r="66" spans="1:6" ht="28" customHeight="1">
      <c r="A66" s="91"/>
      <c r="B66" s="37"/>
      <c r="C66" s="82"/>
      <c r="D66" s="104"/>
      <c r="E66" s="135"/>
      <c r="F66" s="138"/>
    </row>
    <row r="67" spans="1:6" ht="23" customHeight="1">
      <c r="A67" s="91"/>
      <c r="B67" s="37"/>
      <c r="C67" s="82"/>
      <c r="D67" s="104"/>
      <c r="E67" s="94"/>
      <c r="F67" s="137"/>
    </row>
    <row r="68" spans="1:6" ht="12" customHeight="1">
      <c r="A68" s="428" t="s">
        <v>265</v>
      </c>
      <c r="B68" s="429"/>
      <c r="C68" s="429"/>
      <c r="D68" s="430"/>
      <c r="E68" s="83">
        <f>SUM(E65:E67)</f>
        <v>-2840.66</v>
      </c>
      <c r="F68" s="75"/>
    </row>
    <row r="69" spans="1:6">
      <c r="A69" s="422" t="s">
        <v>37</v>
      </c>
      <c r="B69" s="423"/>
      <c r="C69" s="423"/>
      <c r="D69" s="424"/>
      <c r="E69" s="80">
        <f>E60+E68</f>
        <v>48133.97</v>
      </c>
      <c r="F69" s="84"/>
    </row>
    <row r="70" spans="1:6" ht="18">
      <c r="E70" s="72" t="s">
        <v>250</v>
      </c>
      <c r="F70" s="118">
        <v>44404</v>
      </c>
    </row>
    <row r="71" spans="1:6" ht="18">
      <c r="E71" s="73" t="s">
        <v>251</v>
      </c>
      <c r="F71" s="119" t="s">
        <v>337</v>
      </c>
    </row>
  </sheetData>
  <mergeCells count="8">
    <mergeCell ref="A68:D68"/>
    <mergeCell ref="A69:D69"/>
    <mergeCell ref="E3:F3"/>
    <mergeCell ref="A60:D60"/>
    <mergeCell ref="A61:B61"/>
    <mergeCell ref="A62:B62"/>
    <mergeCell ref="A63:B63"/>
    <mergeCell ref="A64:D64"/>
  </mergeCells>
  <conditionalFormatting sqref="B12">
    <cfRule type="duplicateValues" dxfId="627" priority="5"/>
    <cfRule type="duplicateValues" dxfId="626" priority="8"/>
    <cfRule type="duplicateValues" dxfId="625" priority="9"/>
  </conditionalFormatting>
  <conditionalFormatting sqref="B15 D15">
    <cfRule type="duplicateValues" dxfId="624" priority="19"/>
    <cfRule type="duplicateValues" dxfId="623" priority="20"/>
    <cfRule type="duplicateValues" dxfId="622" priority="21"/>
  </conditionalFormatting>
  <conditionalFormatting sqref="B20 D20">
    <cfRule type="duplicateValues" dxfId="621" priority="16"/>
    <cfRule type="duplicateValues" dxfId="620" priority="17"/>
    <cfRule type="duplicateValues" dxfId="619" priority="18"/>
  </conditionalFormatting>
  <conditionalFormatting sqref="B58:C59 B13:B16 B7:B10 C5:C55 C57 B54:B55 B47:B48 B36:B44 B50:B52 B34 B18:B20 B27:B28 B22:B25 B32 B30">
    <cfRule type="duplicateValues" dxfId="618" priority="25"/>
  </conditionalFormatting>
  <conditionalFormatting sqref="B65:C66">
    <cfRule type="duplicateValues" dxfId="617" priority="127"/>
  </conditionalFormatting>
  <conditionalFormatting sqref="B67:C67">
    <cfRule type="duplicateValues" dxfId="616" priority="2"/>
    <cfRule type="duplicateValues" dxfId="615" priority="3"/>
    <cfRule type="duplicateValues" dxfId="614" priority="4"/>
  </conditionalFormatting>
  <conditionalFormatting sqref="B68:C71 B58:C64 B1:C4 B13:B16 B7:B10 C57 B54:B55 B47:B48 B36:B44 B50:B52 B34 B18:B20 B27:B28 B22:B25 B32 B30 C5:C55">
    <cfRule type="duplicateValues" dxfId="613" priority="24"/>
  </conditionalFormatting>
  <conditionalFormatting sqref="B68:C1048576 B56:C56 B1:C4 B7:B10 B13:B16 B58:C64 C57 B54:B55 B47:B48 B36:B44 B50:B52 B34 B18:B20 B27:B28 B22:B25 B32 B30 C5:C55">
    <cfRule type="duplicateValues" dxfId="612" priority="10"/>
  </conditionalFormatting>
  <conditionalFormatting sqref="B72:C1048576">
    <cfRule type="duplicateValues" dxfId="611" priority="22"/>
  </conditionalFormatting>
  <conditionalFormatting sqref="D5:D55">
    <cfRule type="notContainsBlanks" dxfId="610" priority="7">
      <formula>LEN(TRIM(D5))&gt;0</formula>
    </cfRule>
  </conditionalFormatting>
  <conditionalFormatting sqref="D21">
    <cfRule type="duplicateValues" dxfId="609" priority="13"/>
    <cfRule type="duplicateValues" dxfId="608" priority="14"/>
    <cfRule type="duplicateValues" dxfId="607" priority="15"/>
  </conditionalFormatting>
  <conditionalFormatting sqref="D57:D58">
    <cfRule type="notContainsBlanks" dxfId="606" priority="12">
      <formula>LEN(TRIM(D57))&gt;0</formula>
    </cfRule>
  </conditionalFormatting>
  <conditionalFormatting sqref="F5:F55">
    <cfRule type="notContainsBlanks" dxfId="605" priority="6">
      <formula>LEN(TRIM(F5))&gt;0</formula>
    </cfRule>
  </conditionalFormatting>
  <conditionalFormatting sqref="F57:F69">
    <cfRule type="notContainsBlanks" dxfId="604" priority="1">
      <formula>LEN(TRIM(F57))&gt;0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7538-DC17-AB44-A66E-0DFD26F213AD}">
  <sheetPr>
    <tabColor theme="8"/>
    <pageSetUpPr fitToPage="1"/>
  </sheetPr>
  <dimension ref="A1:H74"/>
  <sheetViews>
    <sheetView topLeftCell="A57" zoomScale="150" zoomScaleNormal="150" zoomScalePageLayoutView="140" workbookViewId="0">
      <selection activeCell="G71" sqref="G71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390</v>
      </c>
      <c r="E2" s="123">
        <v>44378</v>
      </c>
    </row>
    <row r="3" spans="1:5" ht="14" customHeight="1">
      <c r="D3" s="462" t="s">
        <v>358</v>
      </c>
      <c r="E3" s="462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620.74</v>
      </c>
      <c r="E5" s="29"/>
    </row>
    <row r="6" spans="1:5">
      <c r="A6" s="7">
        <v>2</v>
      </c>
      <c r="B6" s="29" t="s">
        <v>62</v>
      </c>
      <c r="C6" s="7"/>
      <c r="D6" s="52">
        <v>1114.77</v>
      </c>
      <c r="E6" s="29"/>
    </row>
    <row r="7" spans="1:5">
      <c r="A7" s="7">
        <f t="shared" ref="A7:A55" si="0">A6+1</f>
        <v>3</v>
      </c>
      <c r="B7" s="37" t="s">
        <v>202</v>
      </c>
      <c r="C7" s="58"/>
      <c r="D7" s="52">
        <v>562.64</v>
      </c>
      <c r="E7" s="29"/>
    </row>
    <row r="8" spans="1:5">
      <c r="A8" s="7">
        <f t="shared" si="0"/>
        <v>4</v>
      </c>
      <c r="B8" s="29" t="s">
        <v>12</v>
      </c>
      <c r="C8" s="7">
        <v>1</v>
      </c>
      <c r="D8" s="52">
        <v>1622.97</v>
      </c>
      <c r="E8" s="29"/>
    </row>
    <row r="9" spans="1:5">
      <c r="A9" s="7">
        <v>5</v>
      </c>
      <c r="B9" s="29" t="s">
        <v>365</v>
      </c>
      <c r="C9" s="7"/>
      <c r="D9" s="52">
        <v>566.29999999999995</v>
      </c>
      <c r="E9" s="29"/>
    </row>
    <row r="10" spans="1:5">
      <c r="A10" s="7">
        <v>6</v>
      </c>
      <c r="B10" s="37" t="s">
        <v>48</v>
      </c>
      <c r="C10" s="58">
        <v>2</v>
      </c>
      <c r="D10" s="52">
        <v>1475.03</v>
      </c>
      <c r="E10" s="29"/>
    </row>
    <row r="11" spans="1:5">
      <c r="A11" s="7">
        <v>7</v>
      </c>
      <c r="B11" s="37" t="s">
        <v>236</v>
      </c>
      <c r="C11" s="58">
        <v>3</v>
      </c>
      <c r="D11" s="52">
        <v>2120.19</v>
      </c>
      <c r="E11" s="29"/>
    </row>
    <row r="12" spans="1:5">
      <c r="A12" s="7">
        <v>8</v>
      </c>
      <c r="B12" s="37" t="s">
        <v>316</v>
      </c>
      <c r="C12" s="58"/>
      <c r="D12" s="52">
        <v>933.17</v>
      </c>
      <c r="E12" s="29"/>
    </row>
    <row r="13" spans="1:5">
      <c r="A13" s="7">
        <f>A12+1</f>
        <v>9</v>
      </c>
      <c r="B13" s="37" t="s">
        <v>297</v>
      </c>
      <c r="C13" s="58"/>
      <c r="D13" s="52">
        <v>468.41</v>
      </c>
      <c r="E13" s="29"/>
    </row>
    <row r="14" spans="1:5">
      <c r="A14" s="7">
        <f t="shared" si="0"/>
        <v>10</v>
      </c>
      <c r="B14" s="37" t="s">
        <v>291</v>
      </c>
      <c r="C14" s="58">
        <v>1</v>
      </c>
      <c r="D14" s="52">
        <v>1420.33</v>
      </c>
      <c r="E14" s="29"/>
    </row>
    <row r="15" spans="1:5">
      <c r="A15" s="7">
        <f t="shared" si="0"/>
        <v>11</v>
      </c>
      <c r="B15" s="61" t="s">
        <v>230</v>
      </c>
      <c r="C15" s="62"/>
      <c r="D15" s="52">
        <v>1372.29</v>
      </c>
      <c r="E15" s="29"/>
    </row>
    <row r="16" spans="1:5">
      <c r="A16" s="7">
        <f t="shared" si="0"/>
        <v>12</v>
      </c>
      <c r="B16" s="29" t="s">
        <v>234</v>
      </c>
      <c r="C16" s="7"/>
      <c r="D16" s="52">
        <v>1314.21</v>
      </c>
      <c r="E16" s="29"/>
    </row>
    <row r="17" spans="1:5">
      <c r="A17" s="7">
        <f t="shared" si="0"/>
        <v>13</v>
      </c>
      <c r="B17" s="29" t="s">
        <v>393</v>
      </c>
      <c r="C17" s="7">
        <v>2</v>
      </c>
      <c r="D17" s="52">
        <v>1669.44</v>
      </c>
      <c r="E17" s="29" t="s">
        <v>398</v>
      </c>
    </row>
    <row r="18" spans="1:5">
      <c r="A18" s="7">
        <f t="shared" si="0"/>
        <v>14</v>
      </c>
      <c r="B18" s="29" t="s">
        <v>237</v>
      </c>
      <c r="C18" s="7">
        <v>1</v>
      </c>
      <c r="D18" s="52">
        <v>1258.03</v>
      </c>
      <c r="E18" s="29"/>
    </row>
    <row r="19" spans="1:5">
      <c r="A19" s="7">
        <f t="shared" si="0"/>
        <v>15</v>
      </c>
      <c r="B19" s="29" t="s">
        <v>298</v>
      </c>
      <c r="C19" s="7"/>
      <c r="D19" s="52">
        <v>541.14</v>
      </c>
      <c r="E19" s="29"/>
    </row>
    <row r="20" spans="1:5">
      <c r="A20" s="7">
        <f t="shared" si="0"/>
        <v>16</v>
      </c>
      <c r="B20" s="61" t="s">
        <v>228</v>
      </c>
      <c r="C20" s="62"/>
      <c r="D20" s="52">
        <v>1020.08</v>
      </c>
      <c r="E20" s="29"/>
    </row>
    <row r="21" spans="1:5">
      <c r="A21" s="7">
        <f t="shared" si="0"/>
        <v>17</v>
      </c>
      <c r="B21" s="61" t="s">
        <v>229</v>
      </c>
      <c r="C21" s="62"/>
      <c r="D21" s="52">
        <v>1372.29</v>
      </c>
      <c r="E21" s="29"/>
    </row>
    <row r="22" spans="1:5">
      <c r="A22" s="7">
        <f t="shared" si="0"/>
        <v>18</v>
      </c>
      <c r="B22" s="29" t="s">
        <v>235</v>
      </c>
      <c r="C22" s="7"/>
      <c r="D22" s="52">
        <v>853.11</v>
      </c>
      <c r="E22" s="29"/>
    </row>
    <row r="23" spans="1:5">
      <c r="A23" s="7">
        <f t="shared" si="0"/>
        <v>19</v>
      </c>
      <c r="B23" s="37" t="s">
        <v>63</v>
      </c>
      <c r="C23" s="58">
        <v>2</v>
      </c>
      <c r="D23" s="52">
        <v>1485.83</v>
      </c>
      <c r="E23" s="29"/>
    </row>
    <row r="24" spans="1:5">
      <c r="A24" s="7">
        <f t="shared" si="0"/>
        <v>20</v>
      </c>
      <c r="B24" s="37" t="s">
        <v>168</v>
      </c>
      <c r="C24" s="58"/>
      <c r="D24" s="52">
        <v>1314.21</v>
      </c>
      <c r="E24" s="29"/>
    </row>
    <row r="25" spans="1:5">
      <c r="A25" s="7">
        <f t="shared" si="0"/>
        <v>21</v>
      </c>
      <c r="B25" s="37" t="s">
        <v>88</v>
      </c>
      <c r="C25" s="58"/>
      <c r="D25" s="52">
        <v>1241.48</v>
      </c>
      <c r="E25" s="29"/>
    </row>
    <row r="26" spans="1:5">
      <c r="A26" s="7">
        <f t="shared" si="0"/>
        <v>22</v>
      </c>
      <c r="B26" s="55" t="s">
        <v>232</v>
      </c>
      <c r="C26" s="7"/>
      <c r="D26" s="52">
        <v>714.97</v>
      </c>
      <c r="E26" s="29"/>
    </row>
    <row r="27" spans="1:5">
      <c r="A27" s="7">
        <f t="shared" si="0"/>
        <v>23</v>
      </c>
      <c r="B27" s="29" t="s">
        <v>270</v>
      </c>
      <c r="C27" s="7">
        <v>1</v>
      </c>
      <c r="D27" s="52">
        <v>911.94</v>
      </c>
      <c r="E27" s="29"/>
    </row>
    <row r="28" spans="1:5">
      <c r="A28" s="7">
        <f t="shared" si="0"/>
        <v>24</v>
      </c>
      <c r="B28" s="29" t="s">
        <v>239</v>
      </c>
      <c r="C28" s="7"/>
      <c r="D28" s="52">
        <v>530.16999999999996</v>
      </c>
      <c r="E28" s="29"/>
    </row>
    <row r="29" spans="1:5">
      <c r="A29" s="7">
        <f t="shared" si="0"/>
        <v>25</v>
      </c>
      <c r="B29" s="37" t="s">
        <v>133</v>
      </c>
      <c r="C29" s="58"/>
      <c r="D29" s="52">
        <v>976.62</v>
      </c>
      <c r="E29" s="29"/>
    </row>
    <row r="30" spans="1:5">
      <c r="A30" s="7">
        <f t="shared" si="0"/>
        <v>26</v>
      </c>
      <c r="B30" s="37" t="s">
        <v>290</v>
      </c>
      <c r="C30" s="58"/>
      <c r="D30" s="52">
        <v>555.32000000000005</v>
      </c>
      <c r="E30" s="29"/>
    </row>
    <row r="31" spans="1:5">
      <c r="A31" s="7">
        <f t="shared" si="0"/>
        <v>27</v>
      </c>
      <c r="B31" s="37" t="s">
        <v>271</v>
      </c>
      <c r="C31" s="58">
        <v>1</v>
      </c>
      <c r="D31" s="52">
        <v>948.53</v>
      </c>
      <c r="E31" s="29"/>
    </row>
    <row r="32" spans="1:5">
      <c r="A32" s="7">
        <f t="shared" si="0"/>
        <v>28</v>
      </c>
      <c r="B32" s="37" t="s">
        <v>294</v>
      </c>
      <c r="C32" s="58"/>
      <c r="D32" s="52">
        <v>457.43</v>
      </c>
      <c r="E32" s="29"/>
    </row>
    <row r="33" spans="1:5">
      <c r="A33" s="7">
        <f t="shared" si="0"/>
        <v>29</v>
      </c>
      <c r="B33" s="37" t="s">
        <v>287</v>
      </c>
      <c r="C33" s="58"/>
      <c r="D33" s="52">
        <v>1314.21</v>
      </c>
      <c r="E33" s="29"/>
    </row>
    <row r="34" spans="1:5">
      <c r="A34" s="7">
        <f t="shared" si="0"/>
        <v>30</v>
      </c>
      <c r="B34" s="29" t="s">
        <v>219</v>
      </c>
      <c r="C34" s="7"/>
      <c r="D34" s="52">
        <v>457.43</v>
      </c>
      <c r="E34" s="29"/>
    </row>
    <row r="35" spans="1:5">
      <c r="A35" s="7"/>
      <c r="B35" s="29" t="s">
        <v>394</v>
      </c>
      <c r="C35" s="7">
        <v>3</v>
      </c>
      <c r="D35" s="52">
        <v>2226.59</v>
      </c>
      <c r="E35" s="29"/>
    </row>
    <row r="36" spans="1:5">
      <c r="A36" s="7">
        <f>A34+1</f>
        <v>31</v>
      </c>
      <c r="B36" s="29" t="s">
        <v>368</v>
      </c>
      <c r="C36" s="7"/>
      <c r="D36" s="52">
        <v>558.98</v>
      </c>
      <c r="E36" s="29"/>
    </row>
    <row r="37" spans="1:5">
      <c r="A37" s="7">
        <f t="shared" si="0"/>
        <v>32</v>
      </c>
      <c r="B37" s="29" t="s">
        <v>325</v>
      </c>
      <c r="C37" s="7"/>
      <c r="D37" s="52">
        <v>548.01</v>
      </c>
      <c r="E37" s="29"/>
    </row>
    <row r="38" spans="1:5">
      <c r="A38" s="7">
        <f t="shared" si="0"/>
        <v>33</v>
      </c>
      <c r="B38" s="37" t="s">
        <v>233</v>
      </c>
      <c r="C38" s="58"/>
      <c r="D38" s="52">
        <v>1372.29</v>
      </c>
      <c r="E38" s="29"/>
    </row>
    <row r="39" spans="1:5">
      <c r="A39" s="7">
        <f t="shared" si="0"/>
        <v>34</v>
      </c>
      <c r="B39" s="37" t="s">
        <v>301</v>
      </c>
      <c r="C39" s="58"/>
      <c r="D39" s="52">
        <v>976.62</v>
      </c>
      <c r="E39" s="29"/>
    </row>
    <row r="40" spans="1:5">
      <c r="A40" s="7">
        <f t="shared" si="0"/>
        <v>35</v>
      </c>
      <c r="B40" s="37" t="s">
        <v>214</v>
      </c>
      <c r="C40" s="58">
        <v>1</v>
      </c>
      <c r="D40" s="52">
        <v>0</v>
      </c>
      <c r="E40" s="29" t="s">
        <v>399</v>
      </c>
    </row>
    <row r="41" spans="1:5">
      <c r="A41" s="7">
        <f t="shared" si="0"/>
        <v>36</v>
      </c>
      <c r="B41" s="37" t="s">
        <v>284</v>
      </c>
      <c r="C41" s="58">
        <v>1</v>
      </c>
      <c r="D41" s="52">
        <v>1477.51</v>
      </c>
      <c r="E41" s="29"/>
    </row>
    <row r="42" spans="1:5">
      <c r="A42" s="7">
        <f t="shared" si="0"/>
        <v>37</v>
      </c>
      <c r="B42" s="29" t="s">
        <v>272</v>
      </c>
      <c r="C42" s="7"/>
      <c r="D42" s="52">
        <v>1285.3900000000001</v>
      </c>
      <c r="E42" s="29"/>
    </row>
    <row r="43" spans="1:5">
      <c r="A43" s="7">
        <f t="shared" si="0"/>
        <v>38</v>
      </c>
      <c r="B43" s="37" t="s">
        <v>90</v>
      </c>
      <c r="C43" s="58">
        <v>2</v>
      </c>
      <c r="D43" s="52">
        <v>1477.51</v>
      </c>
      <c r="E43" s="29"/>
    </row>
    <row r="44" spans="1:5">
      <c r="A44" s="7">
        <f t="shared" si="0"/>
        <v>39</v>
      </c>
      <c r="B44" s="37" t="s">
        <v>134</v>
      </c>
      <c r="C44" s="58"/>
      <c r="D44" s="52">
        <v>541.14</v>
      </c>
      <c r="E44" s="29"/>
    </row>
    <row r="45" spans="1:5">
      <c r="A45" s="7">
        <f t="shared" si="0"/>
        <v>40</v>
      </c>
      <c r="B45" s="37" t="s">
        <v>273</v>
      </c>
      <c r="C45" s="58"/>
      <c r="D45" s="52">
        <v>747.9</v>
      </c>
      <c r="E45" s="29"/>
    </row>
    <row r="46" spans="1:5">
      <c r="A46" s="7">
        <f t="shared" si="0"/>
        <v>41</v>
      </c>
      <c r="B46" s="29" t="s">
        <v>41</v>
      </c>
      <c r="C46" s="58"/>
      <c r="D46" s="52">
        <v>1372.29</v>
      </c>
      <c r="E46" s="29"/>
    </row>
    <row r="47" spans="1:5">
      <c r="A47" s="7">
        <f t="shared" si="0"/>
        <v>42</v>
      </c>
      <c r="B47" s="29" t="s">
        <v>288</v>
      </c>
      <c r="C47" s="58"/>
      <c r="D47" s="52">
        <v>933.17</v>
      </c>
      <c r="E47" s="29"/>
    </row>
    <row r="48" spans="1:5">
      <c r="A48" s="7">
        <f t="shared" si="0"/>
        <v>43</v>
      </c>
      <c r="B48" s="29" t="s">
        <v>238</v>
      </c>
      <c r="C48" s="58"/>
      <c r="D48" s="52">
        <v>1372.29</v>
      </c>
      <c r="E48" s="29"/>
    </row>
    <row r="49" spans="1:8">
      <c r="A49" s="7">
        <f t="shared" si="0"/>
        <v>44</v>
      </c>
      <c r="B49" s="37" t="s">
        <v>150</v>
      </c>
      <c r="C49" s="58"/>
      <c r="D49" s="52">
        <v>639.04</v>
      </c>
      <c r="E49" s="29"/>
    </row>
    <row r="50" spans="1:8">
      <c r="A50" s="7">
        <f t="shared" si="0"/>
        <v>45</v>
      </c>
      <c r="B50" s="37" t="s">
        <v>54</v>
      </c>
      <c r="C50" s="58"/>
      <c r="D50" s="52">
        <v>562.64</v>
      </c>
      <c r="E50" s="29" t="s">
        <v>389</v>
      </c>
    </row>
    <row r="51" spans="1:8">
      <c r="A51" s="7">
        <f t="shared" si="0"/>
        <v>46</v>
      </c>
      <c r="B51" s="29" t="s">
        <v>33</v>
      </c>
      <c r="C51" s="58">
        <v>1</v>
      </c>
      <c r="D51" s="52">
        <v>1104.24</v>
      </c>
      <c r="E51" s="29"/>
    </row>
    <row r="52" spans="1:8">
      <c r="A52" s="7">
        <f t="shared" si="0"/>
        <v>47</v>
      </c>
      <c r="B52" s="37" t="s">
        <v>34</v>
      </c>
      <c r="C52" s="58">
        <v>1</v>
      </c>
      <c r="D52" s="54">
        <v>1350.34</v>
      </c>
      <c r="E52" s="29"/>
    </row>
    <row r="53" spans="1:8">
      <c r="A53" s="7">
        <f t="shared" si="0"/>
        <v>48</v>
      </c>
      <c r="B53" s="29" t="s">
        <v>91</v>
      </c>
      <c r="C53" s="7"/>
      <c r="D53" s="54">
        <v>555.32000000000005</v>
      </c>
      <c r="E53" s="29"/>
    </row>
    <row r="54" spans="1:8">
      <c r="A54" s="7">
        <f t="shared" si="0"/>
        <v>49</v>
      </c>
      <c r="B54" s="37" t="s">
        <v>333</v>
      </c>
      <c r="C54" s="7"/>
      <c r="D54" s="52">
        <v>530.16999999999996</v>
      </c>
      <c r="E54" s="29"/>
    </row>
    <row r="55" spans="1:8">
      <c r="A55" s="7">
        <f t="shared" si="0"/>
        <v>50</v>
      </c>
      <c r="B55" s="37" t="s">
        <v>350</v>
      </c>
      <c r="C55" s="7"/>
      <c r="D55" s="52">
        <v>511.87</v>
      </c>
      <c r="E55" s="29"/>
    </row>
    <row r="56" spans="1:8">
      <c r="C56" s="105" t="s">
        <v>313</v>
      </c>
      <c r="D56" s="116">
        <f>SUM(D5:D55)</f>
        <v>51356.590000000004</v>
      </c>
    </row>
    <row r="57" spans="1:8">
      <c r="A57" s="101" t="s">
        <v>289</v>
      </c>
      <c r="B57" s="29" t="s">
        <v>254</v>
      </c>
      <c r="C57" s="7"/>
      <c r="D57" s="52">
        <v>497.23</v>
      </c>
      <c r="E57" s="29"/>
    </row>
    <row r="58" spans="1:8">
      <c r="A58" s="106" t="s">
        <v>289</v>
      </c>
      <c r="B58" s="107" t="s">
        <v>268</v>
      </c>
      <c r="C58" s="108"/>
      <c r="D58" s="127">
        <v>541.14</v>
      </c>
      <c r="E58" s="110"/>
    </row>
    <row r="59" spans="1:8">
      <c r="A59" s="113"/>
      <c r="B59" s="102"/>
      <c r="C59" s="115" t="s">
        <v>323</v>
      </c>
      <c r="D59" s="117">
        <f>SUM(D57:D58)</f>
        <v>1038.3699999999999</v>
      </c>
      <c r="E59" s="114"/>
      <c r="G59" s="15"/>
      <c r="H59" s="15"/>
    </row>
    <row r="60" spans="1:8">
      <c r="A60" s="458" t="s">
        <v>315</v>
      </c>
      <c r="B60" s="459"/>
      <c r="C60" s="460"/>
      <c r="D60" s="111">
        <f>D56+D59</f>
        <v>52394.960000000006</v>
      </c>
      <c r="E60" s="112"/>
    </row>
    <row r="61" spans="1:8">
      <c r="A61" s="431" t="s">
        <v>258</v>
      </c>
      <c r="B61" s="432"/>
      <c r="C61" s="7">
        <f>COUNTA(B5:B59)</f>
        <v>53</v>
      </c>
      <c r="D61" s="52"/>
      <c r="E61" s="29"/>
    </row>
    <row r="62" spans="1:8">
      <c r="A62" s="431" t="s">
        <v>242</v>
      </c>
      <c r="B62" s="432"/>
      <c r="C62" s="58">
        <v>17</v>
      </c>
      <c r="D62" s="52"/>
      <c r="E62" s="29"/>
    </row>
    <row r="63" spans="1:8">
      <c r="A63" s="433" t="s">
        <v>246</v>
      </c>
      <c r="B63" s="434"/>
      <c r="C63" s="86">
        <f>C61+C62</f>
        <v>70</v>
      </c>
      <c r="D63" s="52"/>
      <c r="E63" s="29"/>
    </row>
    <row r="64" spans="1:8">
      <c r="A64" s="425" t="s">
        <v>257</v>
      </c>
      <c r="B64" s="426"/>
      <c r="C64" s="427"/>
      <c r="D64" s="77"/>
      <c r="E64" s="75"/>
      <c r="G64" s="15"/>
    </row>
    <row r="65" spans="1:5" ht="28" customHeight="1">
      <c r="A65" s="91"/>
      <c r="B65" s="37" t="s">
        <v>393</v>
      </c>
      <c r="C65" s="104"/>
      <c r="D65" s="135">
        <v>3338.88</v>
      </c>
      <c r="E65" s="138" t="s">
        <v>395</v>
      </c>
    </row>
    <row r="66" spans="1:5" ht="28" customHeight="1">
      <c r="A66" s="91"/>
      <c r="B66" s="37" t="s">
        <v>394</v>
      </c>
      <c r="C66" s="104"/>
      <c r="D66" s="135">
        <v>4453.18</v>
      </c>
      <c r="E66" s="138" t="s">
        <v>396</v>
      </c>
    </row>
    <row r="67" spans="1:5" ht="41" customHeight="1">
      <c r="A67" s="91"/>
      <c r="B67" s="37" t="s">
        <v>48</v>
      </c>
      <c r="C67" s="104"/>
      <c r="D67" s="135">
        <v>-569.96</v>
      </c>
      <c r="E67" s="138" t="s">
        <v>391</v>
      </c>
    </row>
    <row r="68" spans="1:5" ht="40" customHeight="1">
      <c r="A68" s="91"/>
      <c r="B68" s="37" t="s">
        <v>237</v>
      </c>
      <c r="C68" s="104"/>
      <c r="D68" s="135">
        <v>-363.93</v>
      </c>
      <c r="E68" s="138" t="s">
        <v>392</v>
      </c>
    </row>
    <row r="69" spans="1:5" ht="40" customHeight="1">
      <c r="A69" s="91"/>
      <c r="B69" s="37" t="s">
        <v>214</v>
      </c>
      <c r="C69" s="104"/>
      <c r="D69" s="135">
        <v>-3168.72</v>
      </c>
      <c r="E69" s="138" t="s">
        <v>397</v>
      </c>
    </row>
    <row r="70" spans="1:5" ht="23" customHeight="1">
      <c r="A70" s="91"/>
      <c r="B70" s="37"/>
      <c r="C70" s="104"/>
      <c r="D70" s="94"/>
      <c r="E70" s="137"/>
    </row>
    <row r="71" spans="1:5" ht="12" customHeight="1">
      <c r="A71" s="428" t="s">
        <v>265</v>
      </c>
      <c r="B71" s="429"/>
      <c r="C71" s="430"/>
      <c r="D71" s="83">
        <f>SUM(D65:D70)</f>
        <v>3689.4500000000003</v>
      </c>
      <c r="E71" s="75"/>
    </row>
    <row r="72" spans="1:5">
      <c r="A72" s="422" t="s">
        <v>37</v>
      </c>
      <c r="B72" s="423"/>
      <c r="C72" s="424"/>
      <c r="D72" s="80">
        <f>D60+D71</f>
        <v>56084.41</v>
      </c>
      <c r="E72" s="84"/>
    </row>
    <row r="73" spans="1:5" ht="18">
      <c r="D73" s="72" t="s">
        <v>250</v>
      </c>
      <c r="E73" s="118">
        <v>44376</v>
      </c>
    </row>
    <row r="74" spans="1:5" ht="18">
      <c r="D74" s="73" t="s">
        <v>251</v>
      </c>
      <c r="E74" s="119" t="s">
        <v>337</v>
      </c>
    </row>
  </sheetData>
  <mergeCells count="8">
    <mergeCell ref="A71:C71"/>
    <mergeCell ref="A72:C72"/>
    <mergeCell ref="D3:E3"/>
    <mergeCell ref="A60:C60"/>
    <mergeCell ref="A61:B61"/>
    <mergeCell ref="A62:B62"/>
    <mergeCell ref="A63:B63"/>
    <mergeCell ref="A64:C64"/>
  </mergeCells>
  <conditionalFormatting sqref="B12">
    <cfRule type="duplicateValues" dxfId="603" priority="5"/>
    <cfRule type="duplicateValues" dxfId="602" priority="8"/>
    <cfRule type="duplicateValues" dxfId="601" priority="9"/>
  </conditionalFormatting>
  <conditionalFormatting sqref="B26">
    <cfRule type="duplicateValues" dxfId="600" priority="23"/>
  </conditionalFormatting>
  <conditionalFormatting sqref="B57:B59 B5:B11 B13:B55">
    <cfRule type="duplicateValues" dxfId="599" priority="25"/>
  </conditionalFormatting>
  <conditionalFormatting sqref="B65:B69">
    <cfRule type="duplicateValues" dxfId="598" priority="26"/>
  </conditionalFormatting>
  <conditionalFormatting sqref="B70">
    <cfRule type="duplicateValues" dxfId="597" priority="2"/>
    <cfRule type="duplicateValues" dxfId="596" priority="3"/>
    <cfRule type="duplicateValues" dxfId="595" priority="4"/>
  </conditionalFormatting>
  <conditionalFormatting sqref="B71:B74 B57:B64 B1:B11 B13:B55">
    <cfRule type="duplicateValues" dxfId="594" priority="24"/>
  </conditionalFormatting>
  <conditionalFormatting sqref="B71:B1048576 B13:B64 B1:B11">
    <cfRule type="duplicateValues" dxfId="593" priority="10"/>
  </conditionalFormatting>
  <conditionalFormatting sqref="B75:B1048576">
    <cfRule type="duplicateValues" dxfId="592" priority="22"/>
  </conditionalFormatting>
  <conditionalFormatting sqref="B15:C15">
    <cfRule type="duplicateValues" dxfId="591" priority="19"/>
    <cfRule type="duplicateValues" dxfId="590" priority="20"/>
    <cfRule type="duplicateValues" dxfId="589" priority="21"/>
  </conditionalFormatting>
  <conditionalFormatting sqref="B20:C20">
    <cfRule type="duplicateValues" dxfId="588" priority="16"/>
    <cfRule type="duplicateValues" dxfId="587" priority="17"/>
    <cfRule type="duplicateValues" dxfId="586" priority="18"/>
  </conditionalFormatting>
  <conditionalFormatting sqref="B21:C21">
    <cfRule type="duplicateValues" dxfId="585" priority="13"/>
    <cfRule type="duplicateValues" dxfId="584" priority="14"/>
    <cfRule type="duplicateValues" dxfId="583" priority="15"/>
  </conditionalFormatting>
  <conditionalFormatting sqref="C5:C55">
    <cfRule type="notContainsBlanks" dxfId="582" priority="7">
      <formula>LEN(TRIM(C5))&gt;0</formula>
    </cfRule>
  </conditionalFormatting>
  <conditionalFormatting sqref="C57:C58">
    <cfRule type="notContainsBlanks" dxfId="581" priority="12">
      <formula>LEN(TRIM(C57))&gt;0</formula>
    </cfRule>
  </conditionalFormatting>
  <conditionalFormatting sqref="E5:E55">
    <cfRule type="notContainsBlanks" dxfId="580" priority="6">
      <formula>LEN(TRIM(E5))&gt;0</formula>
    </cfRule>
  </conditionalFormatting>
  <conditionalFormatting sqref="E57:E72">
    <cfRule type="notContainsBlanks" dxfId="579" priority="1">
      <formula>LEN(TRIM(E57))&gt;0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729B-23CE-244B-B66C-F8947FF65330}">
  <sheetPr>
    <tabColor theme="8"/>
    <pageSetUpPr fitToPage="1"/>
  </sheetPr>
  <dimension ref="A1:H70"/>
  <sheetViews>
    <sheetView topLeftCell="A53" zoomScale="150" zoomScaleNormal="150" zoomScalePageLayoutView="140" workbookViewId="0">
      <selection activeCell="E73" sqref="E73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383</v>
      </c>
      <c r="E2" s="123">
        <v>44348</v>
      </c>
    </row>
    <row r="3" spans="1:5" ht="14" customHeight="1">
      <c r="D3" s="462" t="s">
        <v>358</v>
      </c>
      <c r="E3" s="462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620.74</v>
      </c>
      <c r="E5" s="29"/>
    </row>
    <row r="6" spans="1:5">
      <c r="A6" s="7">
        <v>2</v>
      </c>
      <c r="B6" s="29" t="s">
        <v>62</v>
      </c>
      <c r="C6" s="7"/>
      <c r="D6" s="52">
        <v>1114.77</v>
      </c>
      <c r="E6" s="29"/>
    </row>
    <row r="7" spans="1:5">
      <c r="A7" s="7">
        <f t="shared" ref="A7:A53" si="0">A6+1</f>
        <v>3</v>
      </c>
      <c r="B7" s="37" t="s">
        <v>202</v>
      </c>
      <c r="C7" s="58"/>
      <c r="D7" s="52">
        <v>562.64</v>
      </c>
      <c r="E7" s="29"/>
    </row>
    <row r="8" spans="1:5">
      <c r="A8" s="7">
        <f t="shared" si="0"/>
        <v>4</v>
      </c>
      <c r="B8" s="29" t="s">
        <v>12</v>
      </c>
      <c r="C8" s="7">
        <v>1</v>
      </c>
      <c r="D8" s="52">
        <v>1622.97</v>
      </c>
      <c r="E8" s="29"/>
    </row>
    <row r="9" spans="1:5">
      <c r="A9" s="7">
        <v>5</v>
      </c>
      <c r="B9" s="29" t="s">
        <v>365</v>
      </c>
      <c r="C9" s="7"/>
      <c r="D9" s="52">
        <v>566.29999999999995</v>
      </c>
      <c r="E9" s="29"/>
    </row>
    <row r="10" spans="1:5">
      <c r="A10" s="7">
        <v>6</v>
      </c>
      <c r="B10" s="37" t="s">
        <v>48</v>
      </c>
      <c r="C10" s="58">
        <v>2</v>
      </c>
      <c r="D10" s="52">
        <v>1475.03</v>
      </c>
      <c r="E10" s="29" t="s">
        <v>387</v>
      </c>
    </row>
    <row r="11" spans="1:5">
      <c r="A11" s="7">
        <v>7</v>
      </c>
      <c r="B11" s="37" t="s">
        <v>236</v>
      </c>
      <c r="C11" s="58">
        <v>3</v>
      </c>
      <c r="D11" s="52">
        <v>2120.19</v>
      </c>
      <c r="E11" s="29"/>
    </row>
    <row r="12" spans="1:5">
      <c r="A12" s="7">
        <v>8</v>
      </c>
      <c r="B12" s="37" t="s">
        <v>316</v>
      </c>
      <c r="C12" s="58"/>
      <c r="D12" s="52">
        <v>933.17</v>
      </c>
      <c r="E12" s="29"/>
    </row>
    <row r="13" spans="1:5">
      <c r="A13" s="7">
        <f>A12+1</f>
        <v>9</v>
      </c>
      <c r="B13" s="37" t="s">
        <v>297</v>
      </c>
      <c r="C13" s="58"/>
      <c r="D13" s="52">
        <v>468.41</v>
      </c>
      <c r="E13" s="29"/>
    </row>
    <row r="14" spans="1:5">
      <c r="A14" s="7">
        <f t="shared" si="0"/>
        <v>10</v>
      </c>
      <c r="B14" s="37" t="s">
        <v>291</v>
      </c>
      <c r="C14" s="58">
        <v>1</v>
      </c>
      <c r="D14" s="52">
        <v>1420.33</v>
      </c>
      <c r="E14" s="29"/>
    </row>
    <row r="15" spans="1:5">
      <c r="A15" s="7">
        <f t="shared" si="0"/>
        <v>11</v>
      </c>
      <c r="B15" s="61" t="s">
        <v>230</v>
      </c>
      <c r="C15" s="62"/>
      <c r="D15" s="52">
        <v>1372.29</v>
      </c>
      <c r="E15" s="29"/>
    </row>
    <row r="16" spans="1:5">
      <c r="A16" s="7">
        <f t="shared" si="0"/>
        <v>12</v>
      </c>
      <c r="B16" s="29" t="s">
        <v>234</v>
      </c>
      <c r="C16" s="7"/>
      <c r="D16" s="52">
        <v>1314.21</v>
      </c>
      <c r="E16" s="29"/>
    </row>
    <row r="17" spans="1:5">
      <c r="A17" s="7">
        <f t="shared" si="0"/>
        <v>13</v>
      </c>
      <c r="B17" s="29" t="s">
        <v>237</v>
      </c>
      <c r="C17" s="7">
        <v>1</v>
      </c>
      <c r="D17" s="52">
        <v>1258.03</v>
      </c>
      <c r="E17" s="29" t="s">
        <v>388</v>
      </c>
    </row>
    <row r="18" spans="1:5">
      <c r="A18" s="7">
        <f t="shared" si="0"/>
        <v>14</v>
      </c>
      <c r="B18" s="29" t="s">
        <v>298</v>
      </c>
      <c r="C18" s="7"/>
      <c r="D18" s="52">
        <v>541.14</v>
      </c>
      <c r="E18" s="29"/>
    </row>
    <row r="19" spans="1:5">
      <c r="A19" s="7">
        <f t="shared" si="0"/>
        <v>15</v>
      </c>
      <c r="B19" s="61" t="s">
        <v>228</v>
      </c>
      <c r="C19" s="62"/>
      <c r="D19" s="52">
        <v>1020.08</v>
      </c>
      <c r="E19" s="29"/>
    </row>
    <row r="20" spans="1:5">
      <c r="A20" s="7">
        <f t="shared" si="0"/>
        <v>16</v>
      </c>
      <c r="B20" s="61" t="s">
        <v>229</v>
      </c>
      <c r="C20" s="62"/>
      <c r="D20" s="52">
        <v>1372.29</v>
      </c>
      <c r="E20" s="29"/>
    </row>
    <row r="21" spans="1:5">
      <c r="A21" s="7">
        <f t="shared" si="0"/>
        <v>17</v>
      </c>
      <c r="B21" s="29" t="s">
        <v>235</v>
      </c>
      <c r="C21" s="7"/>
      <c r="D21" s="52">
        <v>853.11</v>
      </c>
      <c r="E21" s="29"/>
    </row>
    <row r="22" spans="1:5">
      <c r="A22" s="7">
        <f t="shared" si="0"/>
        <v>18</v>
      </c>
      <c r="B22" s="37" t="s">
        <v>63</v>
      </c>
      <c r="C22" s="58">
        <v>2</v>
      </c>
      <c r="D22" s="52">
        <v>1485.83</v>
      </c>
      <c r="E22" s="29"/>
    </row>
    <row r="23" spans="1:5">
      <c r="A23" s="7">
        <f t="shared" si="0"/>
        <v>19</v>
      </c>
      <c r="B23" s="37" t="s">
        <v>168</v>
      </c>
      <c r="C23" s="58"/>
      <c r="D23" s="52">
        <v>1314.21</v>
      </c>
      <c r="E23" s="29"/>
    </row>
    <row r="24" spans="1:5">
      <c r="A24" s="7">
        <f t="shared" si="0"/>
        <v>20</v>
      </c>
      <c r="B24" s="37" t="s">
        <v>88</v>
      </c>
      <c r="C24" s="58"/>
      <c r="D24" s="52">
        <v>1241.48</v>
      </c>
      <c r="E24" s="29"/>
    </row>
    <row r="25" spans="1:5">
      <c r="A25" s="7">
        <f t="shared" si="0"/>
        <v>21</v>
      </c>
      <c r="B25" s="55" t="s">
        <v>232</v>
      </c>
      <c r="C25" s="7"/>
      <c r="D25" s="52">
        <v>714.97</v>
      </c>
      <c r="E25" s="29"/>
    </row>
    <row r="26" spans="1:5">
      <c r="A26" s="7">
        <f t="shared" si="0"/>
        <v>22</v>
      </c>
      <c r="B26" s="29" t="s">
        <v>270</v>
      </c>
      <c r="C26" s="7">
        <v>1</v>
      </c>
      <c r="D26" s="52">
        <v>911.94</v>
      </c>
      <c r="E26" s="29"/>
    </row>
    <row r="27" spans="1:5">
      <c r="A27" s="7">
        <f t="shared" si="0"/>
        <v>23</v>
      </c>
      <c r="B27" s="29" t="s">
        <v>239</v>
      </c>
      <c r="C27" s="7"/>
      <c r="D27" s="52">
        <v>530.16999999999996</v>
      </c>
      <c r="E27" s="29"/>
    </row>
    <row r="28" spans="1:5">
      <c r="A28" s="7">
        <f t="shared" si="0"/>
        <v>24</v>
      </c>
      <c r="B28" s="37" t="s">
        <v>133</v>
      </c>
      <c r="C28" s="58"/>
      <c r="D28" s="52">
        <v>976.62</v>
      </c>
      <c r="E28" s="29"/>
    </row>
    <row r="29" spans="1:5">
      <c r="A29" s="7">
        <f t="shared" si="0"/>
        <v>25</v>
      </c>
      <c r="B29" s="37" t="s">
        <v>290</v>
      </c>
      <c r="C29" s="58"/>
      <c r="D29" s="52">
        <v>555.32000000000005</v>
      </c>
      <c r="E29" s="29"/>
    </row>
    <row r="30" spans="1:5">
      <c r="A30" s="7">
        <f t="shared" si="0"/>
        <v>26</v>
      </c>
      <c r="B30" s="37" t="s">
        <v>271</v>
      </c>
      <c r="C30" s="58">
        <v>1</v>
      </c>
      <c r="D30" s="52">
        <v>948.53</v>
      </c>
      <c r="E30" s="29"/>
    </row>
    <row r="31" spans="1:5">
      <c r="A31" s="7">
        <f t="shared" si="0"/>
        <v>27</v>
      </c>
      <c r="B31" s="37" t="s">
        <v>294</v>
      </c>
      <c r="C31" s="58"/>
      <c r="D31" s="52">
        <v>457.43</v>
      </c>
      <c r="E31" s="29"/>
    </row>
    <row r="32" spans="1:5">
      <c r="A32" s="7">
        <f t="shared" si="0"/>
        <v>28</v>
      </c>
      <c r="B32" s="37" t="s">
        <v>287</v>
      </c>
      <c r="C32" s="58"/>
      <c r="D32" s="52">
        <v>1314.21</v>
      </c>
      <c r="E32" s="29"/>
    </row>
    <row r="33" spans="1:5">
      <c r="A33" s="7">
        <f t="shared" si="0"/>
        <v>29</v>
      </c>
      <c r="B33" s="29" t="s">
        <v>219</v>
      </c>
      <c r="C33" s="7"/>
      <c r="D33" s="52">
        <v>457.43</v>
      </c>
      <c r="E33" s="29"/>
    </row>
    <row r="34" spans="1:5">
      <c r="A34" s="7">
        <f t="shared" si="0"/>
        <v>30</v>
      </c>
      <c r="B34" s="29" t="s">
        <v>368</v>
      </c>
      <c r="C34" s="7"/>
      <c r="D34" s="52">
        <v>558.98</v>
      </c>
      <c r="E34" s="29"/>
    </row>
    <row r="35" spans="1:5">
      <c r="A35" s="7">
        <f t="shared" si="0"/>
        <v>31</v>
      </c>
      <c r="B35" s="29" t="s">
        <v>325</v>
      </c>
      <c r="C35" s="7"/>
      <c r="D35" s="52">
        <v>548.01</v>
      </c>
      <c r="E35" s="29"/>
    </row>
    <row r="36" spans="1:5">
      <c r="A36" s="7">
        <f t="shared" si="0"/>
        <v>32</v>
      </c>
      <c r="B36" s="37" t="s">
        <v>233</v>
      </c>
      <c r="C36" s="58"/>
      <c r="D36" s="52">
        <v>1372.29</v>
      </c>
      <c r="E36" s="29"/>
    </row>
    <row r="37" spans="1:5">
      <c r="A37" s="7">
        <f t="shared" si="0"/>
        <v>33</v>
      </c>
      <c r="B37" s="37" t="s">
        <v>301</v>
      </c>
      <c r="C37" s="58"/>
      <c r="D37" s="52">
        <v>976.62</v>
      </c>
      <c r="E37" s="29"/>
    </row>
    <row r="38" spans="1:5">
      <c r="A38" s="7">
        <f t="shared" si="0"/>
        <v>34</v>
      </c>
      <c r="B38" s="37" t="s">
        <v>214</v>
      </c>
      <c r="C38" s="58">
        <v>1</v>
      </c>
      <c r="D38" s="52">
        <v>1584.36</v>
      </c>
      <c r="E38" s="29"/>
    </row>
    <row r="39" spans="1:5">
      <c r="A39" s="7">
        <f t="shared" si="0"/>
        <v>35</v>
      </c>
      <c r="B39" s="37" t="s">
        <v>284</v>
      </c>
      <c r="C39" s="58">
        <v>1</v>
      </c>
      <c r="D39" s="52">
        <v>1477.51</v>
      </c>
      <c r="E39" s="29"/>
    </row>
    <row r="40" spans="1:5">
      <c r="A40" s="7">
        <f t="shared" si="0"/>
        <v>36</v>
      </c>
      <c r="B40" s="29" t="s">
        <v>272</v>
      </c>
      <c r="C40" s="7"/>
      <c r="D40" s="52">
        <v>1285.3900000000001</v>
      </c>
      <c r="E40" s="29"/>
    </row>
    <row r="41" spans="1:5">
      <c r="A41" s="7">
        <f t="shared" si="0"/>
        <v>37</v>
      </c>
      <c r="B41" s="37" t="s">
        <v>90</v>
      </c>
      <c r="C41" s="58">
        <v>2</v>
      </c>
      <c r="D41" s="52">
        <v>1477.51</v>
      </c>
      <c r="E41" s="29"/>
    </row>
    <row r="42" spans="1:5">
      <c r="A42" s="7">
        <f t="shared" si="0"/>
        <v>38</v>
      </c>
      <c r="B42" s="37" t="s">
        <v>134</v>
      </c>
      <c r="C42" s="58"/>
      <c r="D42" s="52">
        <v>541.14</v>
      </c>
      <c r="E42" s="29"/>
    </row>
    <row r="43" spans="1:5">
      <c r="A43" s="7">
        <f t="shared" si="0"/>
        <v>39</v>
      </c>
      <c r="B43" s="37" t="s">
        <v>273</v>
      </c>
      <c r="C43" s="58"/>
      <c r="D43" s="52">
        <v>747.9</v>
      </c>
      <c r="E43" s="29"/>
    </row>
    <row r="44" spans="1:5">
      <c r="A44" s="7">
        <f t="shared" si="0"/>
        <v>40</v>
      </c>
      <c r="B44" s="29" t="s">
        <v>41</v>
      </c>
      <c r="C44" s="58"/>
      <c r="D44" s="52">
        <v>1372.29</v>
      </c>
      <c r="E44" s="29"/>
    </row>
    <row r="45" spans="1:5">
      <c r="A45" s="7">
        <f t="shared" si="0"/>
        <v>41</v>
      </c>
      <c r="B45" s="29" t="s">
        <v>288</v>
      </c>
      <c r="C45" s="58"/>
      <c r="D45" s="52">
        <v>933.17</v>
      </c>
      <c r="E45" s="29"/>
    </row>
    <row r="46" spans="1:5">
      <c r="A46" s="7">
        <f t="shared" si="0"/>
        <v>42</v>
      </c>
      <c r="B46" s="29" t="s">
        <v>238</v>
      </c>
      <c r="C46" s="58"/>
      <c r="D46" s="52">
        <v>1372.29</v>
      </c>
      <c r="E46" s="29"/>
    </row>
    <row r="47" spans="1:5">
      <c r="A47" s="7">
        <f t="shared" si="0"/>
        <v>43</v>
      </c>
      <c r="B47" s="37" t="s">
        <v>150</v>
      </c>
      <c r="C47" s="58"/>
      <c r="D47" s="52">
        <v>639.04</v>
      </c>
      <c r="E47" s="29"/>
    </row>
    <row r="48" spans="1:5">
      <c r="A48" s="7">
        <f t="shared" si="0"/>
        <v>44</v>
      </c>
      <c r="B48" s="37" t="s">
        <v>54</v>
      </c>
      <c r="C48" s="58"/>
      <c r="D48" s="52">
        <v>562.64</v>
      </c>
      <c r="E48" s="29" t="s">
        <v>389</v>
      </c>
    </row>
    <row r="49" spans="1:8">
      <c r="A49" s="7">
        <f t="shared" si="0"/>
        <v>45</v>
      </c>
      <c r="B49" s="29" t="s">
        <v>33</v>
      </c>
      <c r="C49" s="58">
        <v>1</v>
      </c>
      <c r="D49" s="52">
        <v>1104.24</v>
      </c>
      <c r="E49" s="29"/>
    </row>
    <row r="50" spans="1:8">
      <c r="A50" s="7">
        <f t="shared" si="0"/>
        <v>46</v>
      </c>
      <c r="B50" s="37" t="s">
        <v>34</v>
      </c>
      <c r="C50" s="58">
        <v>1</v>
      </c>
      <c r="D50" s="54">
        <v>1350.34</v>
      </c>
      <c r="E50" s="29"/>
    </row>
    <row r="51" spans="1:8">
      <c r="A51" s="7">
        <f t="shared" si="0"/>
        <v>47</v>
      </c>
      <c r="B51" s="29" t="s">
        <v>91</v>
      </c>
      <c r="C51" s="7"/>
      <c r="D51" s="54">
        <v>555.32000000000005</v>
      </c>
      <c r="E51" s="29"/>
    </row>
    <row r="52" spans="1:8">
      <c r="A52" s="7">
        <f t="shared" si="0"/>
        <v>48</v>
      </c>
      <c r="B52" s="37" t="s">
        <v>333</v>
      </c>
      <c r="C52" s="7"/>
      <c r="D52" s="52">
        <v>530.16999999999996</v>
      </c>
      <c r="E52" s="29"/>
    </row>
    <row r="53" spans="1:8">
      <c r="A53" s="7">
        <f t="shared" si="0"/>
        <v>49</v>
      </c>
      <c r="B53" s="37" t="s">
        <v>350</v>
      </c>
      <c r="C53" s="7"/>
      <c r="D53" s="52">
        <v>511.87</v>
      </c>
      <c r="E53" s="29"/>
    </row>
    <row r="54" spans="1:8">
      <c r="C54" s="105" t="s">
        <v>313</v>
      </c>
      <c r="D54" s="116">
        <f>SUM(D5:D53)</f>
        <v>49044.919999999991</v>
      </c>
    </row>
    <row r="55" spans="1:8">
      <c r="A55" s="101" t="s">
        <v>289</v>
      </c>
      <c r="B55" s="29" t="s">
        <v>254</v>
      </c>
      <c r="C55" s="7"/>
      <c r="D55" s="52">
        <v>497.23</v>
      </c>
      <c r="E55" s="29"/>
    </row>
    <row r="56" spans="1:8">
      <c r="A56" s="106" t="s">
        <v>289</v>
      </c>
      <c r="B56" s="107" t="s">
        <v>268</v>
      </c>
      <c r="C56" s="108"/>
      <c r="D56" s="127">
        <v>541.14</v>
      </c>
      <c r="E56" s="110"/>
    </row>
    <row r="57" spans="1:8">
      <c r="A57" s="113"/>
      <c r="B57" s="102"/>
      <c r="C57" s="115" t="s">
        <v>323</v>
      </c>
      <c r="D57" s="117">
        <f>SUM(D55:D56)</f>
        <v>1038.3699999999999</v>
      </c>
      <c r="E57" s="114"/>
      <c r="G57" s="15"/>
      <c r="H57" s="15"/>
    </row>
    <row r="58" spans="1:8">
      <c r="A58" s="458" t="s">
        <v>315</v>
      </c>
      <c r="B58" s="459"/>
      <c r="C58" s="460"/>
      <c r="D58" s="111">
        <f>D54+D57</f>
        <v>50083.289999999994</v>
      </c>
      <c r="E58" s="112"/>
    </row>
    <row r="59" spans="1:8">
      <c r="A59" s="431" t="s">
        <v>258</v>
      </c>
      <c r="B59" s="432"/>
      <c r="C59" s="7">
        <f>COUNTA(B5:B57)</f>
        <v>51</v>
      </c>
      <c r="D59" s="52"/>
      <c r="E59" s="29"/>
    </row>
    <row r="60" spans="1:8">
      <c r="A60" s="431" t="s">
        <v>242</v>
      </c>
      <c r="B60" s="432"/>
      <c r="C60" s="58">
        <v>17</v>
      </c>
      <c r="D60" s="52"/>
      <c r="E60" s="29"/>
    </row>
    <row r="61" spans="1:8">
      <c r="A61" s="433" t="s">
        <v>246</v>
      </c>
      <c r="B61" s="434"/>
      <c r="C61" s="86">
        <f>C59+C60</f>
        <v>68</v>
      </c>
      <c r="D61" s="52"/>
      <c r="E61" s="29"/>
    </row>
    <row r="62" spans="1:8">
      <c r="A62" s="425" t="s">
        <v>257</v>
      </c>
      <c r="B62" s="426"/>
      <c r="C62" s="427"/>
      <c r="D62" s="77"/>
      <c r="E62" s="75"/>
      <c r="G62" s="15"/>
    </row>
    <row r="63" spans="1:8" ht="28" customHeight="1">
      <c r="A63" s="91"/>
      <c r="B63" s="37" t="s">
        <v>54</v>
      </c>
      <c r="C63" s="104"/>
      <c r="D63" s="135">
        <v>1125.28</v>
      </c>
      <c r="E63" s="138" t="s">
        <v>386</v>
      </c>
    </row>
    <row r="64" spans="1:8" ht="41" customHeight="1">
      <c r="A64" s="91"/>
      <c r="B64" s="37" t="s">
        <v>48</v>
      </c>
      <c r="C64" s="104"/>
      <c r="D64" s="135">
        <v>1709.88</v>
      </c>
      <c r="E64" s="138" t="s">
        <v>384</v>
      </c>
    </row>
    <row r="65" spans="1:5" ht="40" customHeight="1">
      <c r="A65" s="91"/>
      <c r="B65" s="37" t="s">
        <v>237</v>
      </c>
      <c r="C65" s="104"/>
      <c r="D65" s="135">
        <v>1091.79</v>
      </c>
      <c r="E65" s="138" t="s">
        <v>385</v>
      </c>
    </row>
    <row r="66" spans="1:5" ht="23" customHeight="1">
      <c r="A66" s="91"/>
      <c r="B66" s="37"/>
      <c r="C66" s="104"/>
      <c r="D66" s="94"/>
      <c r="E66" s="137"/>
    </row>
    <row r="67" spans="1:5" ht="12" customHeight="1">
      <c r="A67" s="428" t="s">
        <v>265</v>
      </c>
      <c r="B67" s="429"/>
      <c r="C67" s="430"/>
      <c r="D67" s="83">
        <f>SUM(D63:D66)</f>
        <v>3926.95</v>
      </c>
      <c r="E67" s="75"/>
    </row>
    <row r="68" spans="1:5">
      <c r="A68" s="422" t="s">
        <v>37</v>
      </c>
      <c r="B68" s="423"/>
      <c r="C68" s="424"/>
      <c r="D68" s="80">
        <f>D58+D67</f>
        <v>54010.239999999991</v>
      </c>
      <c r="E68" s="84"/>
    </row>
    <row r="69" spans="1:5" ht="18">
      <c r="D69" s="72" t="s">
        <v>250</v>
      </c>
      <c r="E69" s="118">
        <v>44344</v>
      </c>
    </row>
    <row r="70" spans="1:5" ht="18">
      <c r="D70" s="73" t="s">
        <v>251</v>
      </c>
      <c r="E70" s="119" t="s">
        <v>337</v>
      </c>
    </row>
  </sheetData>
  <mergeCells count="8">
    <mergeCell ref="A67:C67"/>
    <mergeCell ref="A68:C68"/>
    <mergeCell ref="D3:E3"/>
    <mergeCell ref="A58:C58"/>
    <mergeCell ref="A59:B59"/>
    <mergeCell ref="A60:B60"/>
    <mergeCell ref="A61:B61"/>
    <mergeCell ref="A62:C62"/>
  </mergeCells>
  <conditionalFormatting sqref="B12">
    <cfRule type="duplicateValues" dxfId="578" priority="5"/>
    <cfRule type="duplicateValues" dxfId="577" priority="8"/>
    <cfRule type="duplicateValues" dxfId="576" priority="9"/>
  </conditionalFormatting>
  <conditionalFormatting sqref="B25">
    <cfRule type="duplicateValues" dxfId="575" priority="23"/>
  </conditionalFormatting>
  <conditionalFormatting sqref="B55:B57 B5:B11 B13:B53">
    <cfRule type="duplicateValues" dxfId="574" priority="25"/>
  </conditionalFormatting>
  <conditionalFormatting sqref="B63:B65">
    <cfRule type="duplicateValues" dxfId="573" priority="26"/>
  </conditionalFormatting>
  <conditionalFormatting sqref="B66">
    <cfRule type="duplicateValues" dxfId="572" priority="2"/>
    <cfRule type="duplicateValues" dxfId="571" priority="3"/>
    <cfRule type="duplicateValues" dxfId="570" priority="4"/>
  </conditionalFormatting>
  <conditionalFormatting sqref="B67:B70 B55:B62 B1:B11 B13:B53">
    <cfRule type="duplicateValues" dxfId="569" priority="24"/>
  </conditionalFormatting>
  <conditionalFormatting sqref="B67:B1048576 B13:B62 B1:B11">
    <cfRule type="duplicateValues" dxfId="568" priority="10"/>
  </conditionalFormatting>
  <conditionalFormatting sqref="B71:B1048576">
    <cfRule type="duplicateValues" dxfId="567" priority="22"/>
  </conditionalFormatting>
  <conditionalFormatting sqref="B15:C15">
    <cfRule type="duplicateValues" dxfId="566" priority="19"/>
    <cfRule type="duplicateValues" dxfId="565" priority="20"/>
    <cfRule type="duplicateValues" dxfId="564" priority="21"/>
  </conditionalFormatting>
  <conditionalFormatting sqref="B19:C19">
    <cfRule type="duplicateValues" dxfId="563" priority="16"/>
    <cfRule type="duplicateValues" dxfId="562" priority="17"/>
    <cfRule type="duplicateValues" dxfId="561" priority="18"/>
  </conditionalFormatting>
  <conditionalFormatting sqref="B20:C20">
    <cfRule type="duplicateValues" dxfId="560" priority="13"/>
    <cfRule type="duplicateValues" dxfId="559" priority="14"/>
    <cfRule type="duplicateValues" dxfId="558" priority="15"/>
  </conditionalFormatting>
  <conditionalFormatting sqref="C5:C53">
    <cfRule type="notContainsBlanks" dxfId="557" priority="7">
      <formula>LEN(TRIM(C5))&gt;0</formula>
    </cfRule>
  </conditionalFormatting>
  <conditionalFormatting sqref="C55:C56">
    <cfRule type="notContainsBlanks" dxfId="556" priority="12">
      <formula>LEN(TRIM(C55))&gt;0</formula>
    </cfRule>
  </conditionalFormatting>
  <conditionalFormatting sqref="E5:E53">
    <cfRule type="notContainsBlanks" dxfId="555" priority="6">
      <formula>LEN(TRIM(E5))&gt;0</formula>
    </cfRule>
  </conditionalFormatting>
  <conditionalFormatting sqref="E55:E68">
    <cfRule type="notContainsBlanks" dxfId="554" priority="1">
      <formula>LEN(TRIM(E55))&gt;0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DEF7-5EC9-AC46-9A5C-8C92A9EC3A6D}">
  <sheetPr>
    <tabColor theme="8"/>
    <pageSetUpPr fitToPage="1"/>
  </sheetPr>
  <dimension ref="A1:H67"/>
  <sheetViews>
    <sheetView topLeftCell="A56" zoomScale="150" zoomScaleNormal="150" zoomScalePageLayoutView="140" workbookViewId="0">
      <selection activeCell="F67" sqref="F67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381</v>
      </c>
      <c r="E2" s="123">
        <v>44317</v>
      </c>
    </row>
    <row r="3" spans="1:5" ht="14" customHeight="1">
      <c r="D3" s="462" t="s">
        <v>358</v>
      </c>
      <c r="E3" s="462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620.74</v>
      </c>
      <c r="E5" s="29"/>
    </row>
    <row r="6" spans="1:5">
      <c r="A6" s="7">
        <v>2</v>
      </c>
      <c r="B6" s="29" t="s">
        <v>62</v>
      </c>
      <c r="C6" s="7"/>
      <c r="D6" s="52">
        <v>1114.77</v>
      </c>
      <c r="E6" s="29"/>
    </row>
    <row r="7" spans="1:5">
      <c r="A7" s="7">
        <f t="shared" ref="A7:A52" si="0">A6+1</f>
        <v>3</v>
      </c>
      <c r="B7" s="37" t="s">
        <v>202</v>
      </c>
      <c r="C7" s="58"/>
      <c r="D7" s="52">
        <v>562.64</v>
      </c>
      <c r="E7" s="29"/>
    </row>
    <row r="8" spans="1:5">
      <c r="A8" s="7">
        <f t="shared" si="0"/>
        <v>4</v>
      </c>
      <c r="B8" s="29" t="s">
        <v>12</v>
      </c>
      <c r="C8" s="7">
        <v>1</v>
      </c>
      <c r="D8" s="52">
        <v>1622.97</v>
      </c>
      <c r="E8" s="29"/>
    </row>
    <row r="9" spans="1:5">
      <c r="A9" s="7">
        <v>5</v>
      </c>
      <c r="B9" s="29" t="s">
        <v>365</v>
      </c>
      <c r="C9" s="7"/>
      <c r="D9" s="52">
        <v>566.29999999999995</v>
      </c>
      <c r="E9" s="29"/>
    </row>
    <row r="10" spans="1:5">
      <c r="A10" s="7">
        <v>6</v>
      </c>
      <c r="B10" s="37" t="s">
        <v>48</v>
      </c>
      <c r="C10" s="58">
        <v>1</v>
      </c>
      <c r="D10" s="52">
        <v>905.07</v>
      </c>
      <c r="E10" s="29"/>
    </row>
    <row r="11" spans="1:5">
      <c r="A11" s="7">
        <v>7</v>
      </c>
      <c r="B11" s="37" t="s">
        <v>236</v>
      </c>
      <c r="C11" s="58">
        <v>3</v>
      </c>
      <c r="D11" s="52">
        <v>2120.19</v>
      </c>
      <c r="E11" s="29"/>
    </row>
    <row r="12" spans="1:5">
      <c r="A12" s="7">
        <v>8</v>
      </c>
      <c r="B12" s="37" t="s">
        <v>316</v>
      </c>
      <c r="C12" s="58"/>
      <c r="D12" s="52">
        <v>933.17</v>
      </c>
      <c r="E12" s="29"/>
    </row>
    <row r="13" spans="1:5">
      <c r="A13" s="7">
        <f>A12+1</f>
        <v>9</v>
      </c>
      <c r="B13" s="37" t="s">
        <v>297</v>
      </c>
      <c r="C13" s="58"/>
      <c r="D13" s="52">
        <v>468.41</v>
      </c>
      <c r="E13" s="29"/>
    </row>
    <row r="14" spans="1:5">
      <c r="A14" s="7">
        <f t="shared" si="0"/>
        <v>10</v>
      </c>
      <c r="B14" s="37" t="s">
        <v>291</v>
      </c>
      <c r="C14" s="58">
        <v>1</v>
      </c>
      <c r="D14" s="52">
        <v>1420.33</v>
      </c>
      <c r="E14" s="29"/>
    </row>
    <row r="15" spans="1:5">
      <c r="A15" s="7">
        <f t="shared" si="0"/>
        <v>11</v>
      </c>
      <c r="B15" s="61" t="s">
        <v>230</v>
      </c>
      <c r="C15" s="62"/>
      <c r="D15" s="52">
        <v>1372.29</v>
      </c>
      <c r="E15" s="29"/>
    </row>
    <row r="16" spans="1:5">
      <c r="A16" s="7">
        <f t="shared" si="0"/>
        <v>12</v>
      </c>
      <c r="B16" s="29" t="s">
        <v>234</v>
      </c>
      <c r="C16" s="7"/>
      <c r="D16" s="52">
        <v>1314.21</v>
      </c>
      <c r="E16" s="29"/>
    </row>
    <row r="17" spans="1:5">
      <c r="A17" s="7">
        <f t="shared" si="0"/>
        <v>13</v>
      </c>
      <c r="B17" s="29" t="s">
        <v>237</v>
      </c>
      <c r="C17" s="7">
        <v>1</v>
      </c>
      <c r="D17" s="52">
        <v>894.1</v>
      </c>
      <c r="E17" s="29"/>
    </row>
    <row r="18" spans="1:5">
      <c r="A18" s="7">
        <f t="shared" si="0"/>
        <v>14</v>
      </c>
      <c r="B18" s="29" t="s">
        <v>298</v>
      </c>
      <c r="C18" s="7"/>
      <c r="D18" s="52">
        <v>541.14</v>
      </c>
      <c r="E18" s="29"/>
    </row>
    <row r="19" spans="1:5">
      <c r="A19" s="7">
        <f t="shared" si="0"/>
        <v>15</v>
      </c>
      <c r="B19" s="61" t="s">
        <v>228</v>
      </c>
      <c r="C19" s="62"/>
      <c r="D19" s="52">
        <v>1020.08</v>
      </c>
      <c r="E19" s="29"/>
    </row>
    <row r="20" spans="1:5">
      <c r="A20" s="7">
        <f t="shared" si="0"/>
        <v>16</v>
      </c>
      <c r="B20" s="61" t="s">
        <v>229</v>
      </c>
      <c r="C20" s="62"/>
      <c r="D20" s="52">
        <v>1372.29</v>
      </c>
      <c r="E20" s="29"/>
    </row>
    <row r="21" spans="1:5">
      <c r="A21" s="7">
        <f t="shared" si="0"/>
        <v>17</v>
      </c>
      <c r="B21" s="29" t="s">
        <v>235</v>
      </c>
      <c r="C21" s="7"/>
      <c r="D21" s="52">
        <v>853.11</v>
      </c>
      <c r="E21" s="29"/>
    </row>
    <row r="22" spans="1:5">
      <c r="A22" s="7">
        <f t="shared" si="0"/>
        <v>18</v>
      </c>
      <c r="B22" s="37" t="s">
        <v>63</v>
      </c>
      <c r="C22" s="58">
        <v>2</v>
      </c>
      <c r="D22" s="52">
        <v>1485.83</v>
      </c>
      <c r="E22" s="29"/>
    </row>
    <row r="23" spans="1:5">
      <c r="A23" s="7">
        <f t="shared" si="0"/>
        <v>19</v>
      </c>
      <c r="B23" s="37" t="s">
        <v>168</v>
      </c>
      <c r="C23" s="58"/>
      <c r="D23" s="52">
        <v>1314.21</v>
      </c>
      <c r="E23" s="29"/>
    </row>
    <row r="24" spans="1:5">
      <c r="A24" s="7">
        <f t="shared" si="0"/>
        <v>20</v>
      </c>
      <c r="B24" s="37" t="s">
        <v>88</v>
      </c>
      <c r="C24" s="58"/>
      <c r="D24" s="52">
        <v>1241.48</v>
      </c>
      <c r="E24" s="29"/>
    </row>
    <row r="25" spans="1:5">
      <c r="A25" s="7">
        <f t="shared" si="0"/>
        <v>21</v>
      </c>
      <c r="B25" s="55" t="s">
        <v>232</v>
      </c>
      <c r="C25" s="7"/>
      <c r="D25" s="52">
        <v>714.97</v>
      </c>
      <c r="E25" s="29"/>
    </row>
    <row r="26" spans="1:5">
      <c r="A26" s="7">
        <f t="shared" si="0"/>
        <v>22</v>
      </c>
      <c r="B26" s="29" t="s">
        <v>270</v>
      </c>
      <c r="C26" s="7">
        <v>1</v>
      </c>
      <c r="D26" s="52">
        <v>911.94</v>
      </c>
      <c r="E26" s="29"/>
    </row>
    <row r="27" spans="1:5">
      <c r="A27" s="7">
        <f t="shared" si="0"/>
        <v>23</v>
      </c>
      <c r="B27" s="29" t="s">
        <v>239</v>
      </c>
      <c r="C27" s="7"/>
      <c r="D27" s="52">
        <v>530.16999999999996</v>
      </c>
      <c r="E27" s="29"/>
    </row>
    <row r="28" spans="1:5">
      <c r="A28" s="7">
        <f t="shared" si="0"/>
        <v>24</v>
      </c>
      <c r="B28" s="37" t="s">
        <v>133</v>
      </c>
      <c r="C28" s="58"/>
      <c r="D28" s="52">
        <v>976.62</v>
      </c>
      <c r="E28" s="29"/>
    </row>
    <row r="29" spans="1:5">
      <c r="A29" s="7">
        <f t="shared" si="0"/>
        <v>25</v>
      </c>
      <c r="B29" s="37" t="s">
        <v>290</v>
      </c>
      <c r="C29" s="58"/>
      <c r="D29" s="52">
        <v>555.32000000000005</v>
      </c>
      <c r="E29" s="29"/>
    </row>
    <row r="30" spans="1:5">
      <c r="A30" s="7">
        <f t="shared" si="0"/>
        <v>26</v>
      </c>
      <c r="B30" s="37" t="s">
        <v>271</v>
      </c>
      <c r="C30" s="58">
        <v>1</v>
      </c>
      <c r="D30" s="52">
        <v>948.53</v>
      </c>
      <c r="E30" s="29"/>
    </row>
    <row r="31" spans="1:5">
      <c r="A31" s="7">
        <f t="shared" si="0"/>
        <v>27</v>
      </c>
      <c r="B31" s="37" t="s">
        <v>294</v>
      </c>
      <c r="C31" s="58"/>
      <c r="D31" s="52">
        <v>457.43</v>
      </c>
      <c r="E31" s="29"/>
    </row>
    <row r="32" spans="1:5">
      <c r="A32" s="7">
        <f t="shared" si="0"/>
        <v>28</v>
      </c>
      <c r="B32" s="37" t="s">
        <v>287</v>
      </c>
      <c r="C32" s="58"/>
      <c r="D32" s="52">
        <v>1314.21</v>
      </c>
      <c r="E32" s="29"/>
    </row>
    <row r="33" spans="1:5">
      <c r="A33" s="7">
        <f t="shared" si="0"/>
        <v>29</v>
      </c>
      <c r="B33" s="29" t="s">
        <v>219</v>
      </c>
      <c r="C33" s="7"/>
      <c r="D33" s="52">
        <v>457.43</v>
      </c>
      <c r="E33" s="29"/>
    </row>
    <row r="34" spans="1:5">
      <c r="A34" s="7">
        <f t="shared" si="0"/>
        <v>30</v>
      </c>
      <c r="B34" s="29" t="s">
        <v>368</v>
      </c>
      <c r="C34" s="7"/>
      <c r="D34" s="52">
        <v>558.98</v>
      </c>
      <c r="E34" s="29"/>
    </row>
    <row r="35" spans="1:5">
      <c r="A35" s="7">
        <f t="shared" si="0"/>
        <v>31</v>
      </c>
      <c r="B35" s="29" t="s">
        <v>325</v>
      </c>
      <c r="C35" s="7"/>
      <c r="D35" s="52">
        <v>548.01</v>
      </c>
      <c r="E35" s="29"/>
    </row>
    <row r="36" spans="1:5">
      <c r="A36" s="7">
        <f t="shared" si="0"/>
        <v>32</v>
      </c>
      <c r="B36" s="37" t="s">
        <v>233</v>
      </c>
      <c r="C36" s="58"/>
      <c r="D36" s="52">
        <v>1372.29</v>
      </c>
      <c r="E36" s="29"/>
    </row>
    <row r="37" spans="1:5">
      <c r="A37" s="7">
        <f t="shared" si="0"/>
        <v>33</v>
      </c>
      <c r="B37" s="37" t="s">
        <v>301</v>
      </c>
      <c r="C37" s="58"/>
      <c r="D37" s="52">
        <v>976.62</v>
      </c>
      <c r="E37" s="29"/>
    </row>
    <row r="38" spans="1:5">
      <c r="A38" s="7">
        <f t="shared" si="0"/>
        <v>34</v>
      </c>
      <c r="B38" s="37" t="s">
        <v>214</v>
      </c>
      <c r="C38" s="58">
        <v>1</v>
      </c>
      <c r="D38" s="52">
        <v>1584.36</v>
      </c>
      <c r="E38" s="29"/>
    </row>
    <row r="39" spans="1:5">
      <c r="A39" s="7">
        <f t="shared" si="0"/>
        <v>35</v>
      </c>
      <c r="B39" s="37" t="s">
        <v>284</v>
      </c>
      <c r="C39" s="58">
        <v>1</v>
      </c>
      <c r="D39" s="52">
        <v>1477.51</v>
      </c>
      <c r="E39" s="29"/>
    </row>
    <row r="40" spans="1:5">
      <c r="A40" s="7">
        <f t="shared" si="0"/>
        <v>36</v>
      </c>
      <c r="B40" s="29" t="s">
        <v>272</v>
      </c>
      <c r="C40" s="7"/>
      <c r="D40" s="52">
        <v>1285.3900000000001</v>
      </c>
      <c r="E40" s="29"/>
    </row>
    <row r="41" spans="1:5">
      <c r="A41" s="7">
        <f t="shared" si="0"/>
        <v>37</v>
      </c>
      <c r="B41" s="37" t="s">
        <v>90</v>
      </c>
      <c r="C41" s="58">
        <v>2</v>
      </c>
      <c r="D41" s="52">
        <v>1477.51</v>
      </c>
      <c r="E41" s="29"/>
    </row>
    <row r="42" spans="1:5">
      <c r="A42" s="7">
        <f t="shared" si="0"/>
        <v>38</v>
      </c>
      <c r="B42" s="37" t="s">
        <v>134</v>
      </c>
      <c r="C42" s="58"/>
      <c r="D42" s="52">
        <v>541.14</v>
      </c>
      <c r="E42" s="29"/>
    </row>
    <row r="43" spans="1:5">
      <c r="A43" s="7">
        <f t="shared" si="0"/>
        <v>39</v>
      </c>
      <c r="B43" s="37" t="s">
        <v>273</v>
      </c>
      <c r="C43" s="58"/>
      <c r="D43" s="52">
        <v>747.9</v>
      </c>
      <c r="E43" s="29"/>
    </row>
    <row r="44" spans="1:5">
      <c r="A44" s="7">
        <f t="shared" si="0"/>
        <v>40</v>
      </c>
      <c r="B44" s="29" t="s">
        <v>41</v>
      </c>
      <c r="C44" s="58"/>
      <c r="D44" s="52">
        <v>1372.29</v>
      </c>
      <c r="E44" s="29"/>
    </row>
    <row r="45" spans="1:5">
      <c r="A45" s="7">
        <f t="shared" si="0"/>
        <v>41</v>
      </c>
      <c r="B45" s="29" t="s">
        <v>288</v>
      </c>
      <c r="C45" s="58"/>
      <c r="D45" s="52">
        <v>933.17</v>
      </c>
      <c r="E45" s="29"/>
    </row>
    <row r="46" spans="1:5">
      <c r="A46" s="7">
        <f t="shared" si="0"/>
        <v>42</v>
      </c>
      <c r="B46" s="29" t="s">
        <v>238</v>
      </c>
      <c r="C46" s="58"/>
      <c r="D46" s="52">
        <v>1372.29</v>
      </c>
      <c r="E46" s="29"/>
    </row>
    <row r="47" spans="1:5">
      <c r="A47" s="7">
        <f t="shared" si="0"/>
        <v>43</v>
      </c>
      <c r="B47" s="37" t="s">
        <v>150</v>
      </c>
      <c r="C47" s="58"/>
      <c r="D47" s="52">
        <v>639.04</v>
      </c>
      <c r="E47" s="29"/>
    </row>
    <row r="48" spans="1:5">
      <c r="A48" s="7">
        <f t="shared" si="0"/>
        <v>44</v>
      </c>
      <c r="B48" s="29" t="s">
        <v>33</v>
      </c>
      <c r="C48" s="58">
        <v>1</v>
      </c>
      <c r="D48" s="52">
        <v>1104.24</v>
      </c>
      <c r="E48" s="29"/>
    </row>
    <row r="49" spans="1:8">
      <c r="A49" s="7">
        <f t="shared" si="0"/>
        <v>45</v>
      </c>
      <c r="B49" s="37" t="s">
        <v>34</v>
      </c>
      <c r="C49" s="58">
        <v>1</v>
      </c>
      <c r="D49" s="54">
        <v>1350.34</v>
      </c>
      <c r="E49" s="29"/>
    </row>
    <row r="50" spans="1:8">
      <c r="A50" s="7">
        <f t="shared" si="0"/>
        <v>46</v>
      </c>
      <c r="B50" s="29" t="s">
        <v>91</v>
      </c>
      <c r="C50" s="7"/>
      <c r="D50" s="54">
        <v>555.32000000000005</v>
      </c>
      <c r="E50" s="29"/>
    </row>
    <row r="51" spans="1:8">
      <c r="A51" s="7">
        <f t="shared" si="0"/>
        <v>47</v>
      </c>
      <c r="B51" s="37" t="s">
        <v>333</v>
      </c>
      <c r="C51" s="7"/>
      <c r="D51" s="52">
        <v>530.16999999999996</v>
      </c>
      <c r="E51" s="29"/>
    </row>
    <row r="52" spans="1:8">
      <c r="A52" s="7">
        <f t="shared" si="0"/>
        <v>48</v>
      </c>
      <c r="B52" s="37" t="s">
        <v>350</v>
      </c>
      <c r="C52" s="7"/>
      <c r="D52" s="52">
        <v>511.87</v>
      </c>
      <c r="E52" s="29"/>
    </row>
    <row r="53" spans="1:8">
      <c r="C53" s="105" t="s">
        <v>313</v>
      </c>
      <c r="D53" s="116">
        <f>SUM(D5:D52)</f>
        <v>47548.389999999992</v>
      </c>
    </row>
    <row r="54" spans="1:8">
      <c r="A54" s="101" t="s">
        <v>289</v>
      </c>
      <c r="B54" s="29" t="s">
        <v>254</v>
      </c>
      <c r="C54" s="7"/>
      <c r="D54" s="52">
        <v>497.23</v>
      </c>
      <c r="E54" s="29"/>
    </row>
    <row r="55" spans="1:8">
      <c r="A55" s="106" t="s">
        <v>289</v>
      </c>
      <c r="B55" s="107" t="s">
        <v>268</v>
      </c>
      <c r="C55" s="108"/>
      <c r="D55" s="127">
        <v>541.14</v>
      </c>
      <c r="E55" s="110"/>
    </row>
    <row r="56" spans="1:8">
      <c r="A56" s="113"/>
      <c r="B56" s="102"/>
      <c r="C56" s="115" t="s">
        <v>323</v>
      </c>
      <c r="D56" s="117">
        <f>SUM(D54:D55)</f>
        <v>1038.3699999999999</v>
      </c>
      <c r="E56" s="114"/>
      <c r="G56" s="15"/>
      <c r="H56" s="15"/>
    </row>
    <row r="57" spans="1:8">
      <c r="A57" s="458" t="s">
        <v>315</v>
      </c>
      <c r="B57" s="459"/>
      <c r="C57" s="460"/>
      <c r="D57" s="111">
        <f>D53+D56</f>
        <v>48586.759999999995</v>
      </c>
      <c r="E57" s="112"/>
    </row>
    <row r="58" spans="1:8">
      <c r="A58" s="431" t="s">
        <v>258</v>
      </c>
      <c r="B58" s="432"/>
      <c r="C58" s="7">
        <f>COUNTA(B5:B56)</f>
        <v>50</v>
      </c>
      <c r="D58" s="52"/>
      <c r="E58" s="29"/>
    </row>
    <row r="59" spans="1:8">
      <c r="A59" s="431" t="s">
        <v>242</v>
      </c>
      <c r="B59" s="432"/>
      <c r="C59" s="58">
        <v>17</v>
      </c>
      <c r="D59" s="52"/>
      <c r="E59" s="29"/>
    </row>
    <row r="60" spans="1:8">
      <c r="A60" s="433" t="s">
        <v>246</v>
      </c>
      <c r="B60" s="434"/>
      <c r="C60" s="86">
        <f>C58+C59</f>
        <v>67</v>
      </c>
      <c r="D60" s="52"/>
      <c r="E60" s="29"/>
    </row>
    <row r="61" spans="1:8">
      <c r="A61" s="425" t="s">
        <v>257</v>
      </c>
      <c r="B61" s="426"/>
      <c r="C61" s="427"/>
      <c r="D61" s="77"/>
      <c r="E61" s="75"/>
      <c r="G61" s="15"/>
    </row>
    <row r="62" spans="1:8" ht="28" customHeight="1">
      <c r="A62" s="91"/>
      <c r="B62" s="37" t="s">
        <v>54</v>
      </c>
      <c r="C62" s="104"/>
      <c r="D62" s="135"/>
      <c r="E62" s="138" t="s">
        <v>382</v>
      </c>
    </row>
    <row r="63" spans="1:8" ht="23" customHeight="1">
      <c r="A63" s="91"/>
      <c r="B63" s="37"/>
      <c r="C63" s="104"/>
      <c r="D63" s="94"/>
      <c r="E63" s="137"/>
    </row>
    <row r="64" spans="1:8" ht="9" customHeight="1">
      <c r="A64" s="428" t="s">
        <v>265</v>
      </c>
      <c r="B64" s="429"/>
      <c r="C64" s="430"/>
      <c r="D64" s="83">
        <f>SUM(D62:D63)</f>
        <v>0</v>
      </c>
      <c r="E64" s="75"/>
    </row>
    <row r="65" spans="1:5">
      <c r="A65" s="422" t="s">
        <v>37</v>
      </c>
      <c r="B65" s="423"/>
      <c r="C65" s="424"/>
      <c r="D65" s="80">
        <f>D57+D64</f>
        <v>48586.759999999995</v>
      </c>
      <c r="E65" s="84"/>
    </row>
    <row r="66" spans="1:5" ht="18">
      <c r="D66" s="72" t="s">
        <v>250</v>
      </c>
      <c r="E66" s="118">
        <v>44313</v>
      </c>
    </row>
    <row r="67" spans="1:5" ht="18">
      <c r="D67" s="73" t="s">
        <v>251</v>
      </c>
      <c r="E67" s="119" t="s">
        <v>337</v>
      </c>
    </row>
  </sheetData>
  <mergeCells count="8">
    <mergeCell ref="A64:C64"/>
    <mergeCell ref="A65:C65"/>
    <mergeCell ref="D3:E3"/>
    <mergeCell ref="A57:C57"/>
    <mergeCell ref="A58:B58"/>
    <mergeCell ref="A59:B59"/>
    <mergeCell ref="A60:B60"/>
    <mergeCell ref="A61:C61"/>
  </mergeCells>
  <conditionalFormatting sqref="B12">
    <cfRule type="duplicateValues" dxfId="553" priority="5"/>
    <cfRule type="duplicateValues" dxfId="552" priority="8"/>
    <cfRule type="duplicateValues" dxfId="551" priority="9"/>
  </conditionalFormatting>
  <conditionalFormatting sqref="B25">
    <cfRule type="duplicateValues" dxfId="550" priority="23"/>
  </conditionalFormatting>
  <conditionalFormatting sqref="B54:B56 B5:B11 B13:B52">
    <cfRule type="duplicateValues" dxfId="549" priority="25"/>
  </conditionalFormatting>
  <conditionalFormatting sqref="B62">
    <cfRule type="duplicateValues" dxfId="548" priority="26"/>
  </conditionalFormatting>
  <conditionalFormatting sqref="B63">
    <cfRule type="duplicateValues" dxfId="547" priority="2"/>
    <cfRule type="duplicateValues" dxfId="546" priority="3"/>
    <cfRule type="duplicateValues" dxfId="545" priority="4"/>
  </conditionalFormatting>
  <conditionalFormatting sqref="B64:B67 B54:B61 B1:B11 B13:B52">
    <cfRule type="duplicateValues" dxfId="544" priority="24"/>
  </conditionalFormatting>
  <conditionalFormatting sqref="B64:B1048576 B13:B61 B1:B11">
    <cfRule type="duplicateValues" dxfId="543" priority="10"/>
  </conditionalFormatting>
  <conditionalFormatting sqref="B68:B1048576">
    <cfRule type="duplicateValues" dxfId="542" priority="22"/>
  </conditionalFormatting>
  <conditionalFormatting sqref="B15:C15">
    <cfRule type="duplicateValues" dxfId="541" priority="19"/>
    <cfRule type="duplicateValues" dxfId="540" priority="20"/>
    <cfRule type="duplicateValues" dxfId="539" priority="21"/>
  </conditionalFormatting>
  <conditionalFormatting sqref="B19:C19">
    <cfRule type="duplicateValues" dxfId="538" priority="16"/>
    <cfRule type="duplicateValues" dxfId="537" priority="17"/>
    <cfRule type="duplicateValues" dxfId="536" priority="18"/>
  </conditionalFormatting>
  <conditionalFormatting sqref="B20:C20">
    <cfRule type="duplicateValues" dxfId="535" priority="13"/>
    <cfRule type="duplicateValues" dxfId="534" priority="14"/>
    <cfRule type="duplicateValues" dxfId="533" priority="15"/>
  </conditionalFormatting>
  <conditionalFormatting sqref="C5:C52">
    <cfRule type="notContainsBlanks" dxfId="532" priority="7">
      <formula>LEN(TRIM(C5))&gt;0</formula>
    </cfRule>
  </conditionalFormatting>
  <conditionalFormatting sqref="C54:C55">
    <cfRule type="notContainsBlanks" dxfId="531" priority="12">
      <formula>LEN(TRIM(C54))&gt;0</formula>
    </cfRule>
  </conditionalFormatting>
  <conditionalFormatting sqref="E5:E52">
    <cfRule type="notContainsBlanks" dxfId="530" priority="6">
      <formula>LEN(TRIM(E5))&gt;0</formula>
    </cfRule>
  </conditionalFormatting>
  <conditionalFormatting sqref="E54:E65">
    <cfRule type="notContainsBlanks" dxfId="529" priority="1">
      <formula>LEN(TRIM(E54))&gt;0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5815-5502-BD4D-BAA7-39F2846F2C45}">
  <sheetPr>
    <tabColor theme="8"/>
    <pageSetUpPr fitToPage="1"/>
  </sheetPr>
  <dimension ref="A1:H67"/>
  <sheetViews>
    <sheetView topLeftCell="A31" zoomScale="150" zoomScaleNormal="150" zoomScalePageLayoutView="140" workbookViewId="0">
      <selection activeCell="H40" sqref="H40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380</v>
      </c>
      <c r="E2" s="123">
        <v>44287</v>
      </c>
    </row>
    <row r="3" spans="1:5" ht="14" customHeight="1">
      <c r="D3" s="462" t="s">
        <v>358</v>
      </c>
      <c r="E3" s="462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620.74</v>
      </c>
      <c r="E5" s="29"/>
    </row>
    <row r="6" spans="1:5">
      <c r="A6" s="7">
        <v>2</v>
      </c>
      <c r="B6" s="29" t="s">
        <v>62</v>
      </c>
      <c r="C6" s="7"/>
      <c r="D6" s="52">
        <v>1114.77</v>
      </c>
      <c r="E6" s="29"/>
    </row>
    <row r="7" spans="1:5">
      <c r="A7" s="7">
        <f t="shared" ref="A7:A52" si="0">A6+1</f>
        <v>3</v>
      </c>
      <c r="B7" s="37" t="s">
        <v>202</v>
      </c>
      <c r="C7" s="58"/>
      <c r="D7" s="52">
        <v>562.64</v>
      </c>
      <c r="E7" s="29"/>
    </row>
    <row r="8" spans="1:5">
      <c r="A8" s="7">
        <f t="shared" si="0"/>
        <v>4</v>
      </c>
      <c r="B8" s="29" t="s">
        <v>12</v>
      </c>
      <c r="C8" s="7">
        <v>1</v>
      </c>
      <c r="D8" s="52">
        <v>1622.97</v>
      </c>
      <c r="E8" s="29"/>
    </row>
    <row r="9" spans="1:5">
      <c r="A9" s="7">
        <v>5</v>
      </c>
      <c r="B9" s="29" t="s">
        <v>365</v>
      </c>
      <c r="C9" s="7"/>
      <c r="D9" s="52">
        <v>566.29999999999995</v>
      </c>
      <c r="E9" s="29"/>
    </row>
    <row r="10" spans="1:5">
      <c r="A10" s="7">
        <v>6</v>
      </c>
      <c r="B10" s="37" t="s">
        <v>48</v>
      </c>
      <c r="C10" s="58">
        <v>1</v>
      </c>
      <c r="D10" s="52">
        <v>905.07</v>
      </c>
      <c r="E10" s="29"/>
    </row>
    <row r="11" spans="1:5">
      <c r="A11" s="7">
        <v>7</v>
      </c>
      <c r="B11" s="37" t="s">
        <v>236</v>
      </c>
      <c r="C11" s="58">
        <v>3</v>
      </c>
      <c r="D11" s="52">
        <v>2120.19</v>
      </c>
      <c r="E11" s="29"/>
    </row>
    <row r="12" spans="1:5">
      <c r="A12" s="7">
        <v>8</v>
      </c>
      <c r="B12" s="37" t="s">
        <v>316</v>
      </c>
      <c r="C12" s="58"/>
      <c r="D12" s="52">
        <v>933.17</v>
      </c>
      <c r="E12" s="29"/>
    </row>
    <row r="13" spans="1:5">
      <c r="A13" s="7">
        <f>A12+1</f>
        <v>9</v>
      </c>
      <c r="B13" s="37" t="s">
        <v>297</v>
      </c>
      <c r="C13" s="58"/>
      <c r="D13" s="52">
        <v>468.41</v>
      </c>
      <c r="E13" s="29"/>
    </row>
    <row r="14" spans="1:5">
      <c r="A14" s="7">
        <f t="shared" si="0"/>
        <v>10</v>
      </c>
      <c r="B14" s="37" t="s">
        <v>291</v>
      </c>
      <c r="C14" s="58">
        <v>1</v>
      </c>
      <c r="D14" s="52">
        <v>1420.33</v>
      </c>
      <c r="E14" s="29"/>
    </row>
    <row r="15" spans="1:5">
      <c r="A15" s="7">
        <f t="shared" si="0"/>
        <v>11</v>
      </c>
      <c r="B15" s="61" t="s">
        <v>230</v>
      </c>
      <c r="C15" s="62"/>
      <c r="D15" s="52">
        <v>1372.29</v>
      </c>
      <c r="E15" s="29"/>
    </row>
    <row r="16" spans="1:5">
      <c r="A16" s="7">
        <f t="shared" si="0"/>
        <v>12</v>
      </c>
      <c r="B16" s="29" t="s">
        <v>234</v>
      </c>
      <c r="C16" s="7"/>
      <c r="D16" s="52">
        <v>1314.21</v>
      </c>
      <c r="E16" s="29"/>
    </row>
    <row r="17" spans="1:5">
      <c r="A17" s="7">
        <f t="shared" si="0"/>
        <v>13</v>
      </c>
      <c r="B17" s="29" t="s">
        <v>237</v>
      </c>
      <c r="C17" s="7">
        <v>1</v>
      </c>
      <c r="D17" s="52">
        <v>894.1</v>
      </c>
      <c r="E17" s="29"/>
    </row>
    <row r="18" spans="1:5">
      <c r="A18" s="7">
        <f t="shared" si="0"/>
        <v>14</v>
      </c>
      <c r="B18" s="29" t="s">
        <v>298</v>
      </c>
      <c r="C18" s="7"/>
      <c r="D18" s="52">
        <v>541.14</v>
      </c>
      <c r="E18" s="29"/>
    </row>
    <row r="19" spans="1:5">
      <c r="A19" s="7">
        <f t="shared" si="0"/>
        <v>15</v>
      </c>
      <c r="B19" s="61" t="s">
        <v>228</v>
      </c>
      <c r="C19" s="62"/>
      <c r="D19" s="52">
        <v>1020.08</v>
      </c>
      <c r="E19" s="29"/>
    </row>
    <row r="20" spans="1:5">
      <c r="A20" s="7">
        <f t="shared" si="0"/>
        <v>16</v>
      </c>
      <c r="B20" s="61" t="s">
        <v>229</v>
      </c>
      <c r="C20" s="62"/>
      <c r="D20" s="52">
        <v>1372.29</v>
      </c>
      <c r="E20" s="29"/>
    </row>
    <row r="21" spans="1:5">
      <c r="A21" s="7">
        <f t="shared" si="0"/>
        <v>17</v>
      </c>
      <c r="B21" s="29" t="s">
        <v>235</v>
      </c>
      <c r="C21" s="7"/>
      <c r="D21" s="52">
        <v>853.11</v>
      </c>
      <c r="E21" s="29"/>
    </row>
    <row r="22" spans="1:5">
      <c r="A22" s="7">
        <f t="shared" si="0"/>
        <v>18</v>
      </c>
      <c r="B22" s="37" t="s">
        <v>63</v>
      </c>
      <c r="C22" s="58">
        <v>2</v>
      </c>
      <c r="D22" s="52">
        <v>1485.83</v>
      </c>
      <c r="E22" s="29"/>
    </row>
    <row r="23" spans="1:5">
      <c r="A23" s="7">
        <f t="shared" si="0"/>
        <v>19</v>
      </c>
      <c r="B23" s="37" t="s">
        <v>168</v>
      </c>
      <c r="C23" s="58"/>
      <c r="D23" s="52">
        <v>1314.21</v>
      </c>
      <c r="E23" s="29"/>
    </row>
    <row r="24" spans="1:5">
      <c r="A24" s="7">
        <f t="shared" si="0"/>
        <v>20</v>
      </c>
      <c r="B24" s="37" t="s">
        <v>88</v>
      </c>
      <c r="C24" s="58"/>
      <c r="D24" s="52">
        <v>1241.48</v>
      </c>
      <c r="E24" s="29"/>
    </row>
    <row r="25" spans="1:5">
      <c r="A25" s="7">
        <f t="shared" si="0"/>
        <v>21</v>
      </c>
      <c r="B25" s="55" t="s">
        <v>232</v>
      </c>
      <c r="C25" s="7"/>
      <c r="D25" s="52">
        <v>714.97</v>
      </c>
      <c r="E25" s="29"/>
    </row>
    <row r="26" spans="1:5">
      <c r="A26" s="7">
        <f t="shared" si="0"/>
        <v>22</v>
      </c>
      <c r="B26" s="29" t="s">
        <v>270</v>
      </c>
      <c r="C26" s="7">
        <v>1</v>
      </c>
      <c r="D26" s="52">
        <v>911.94</v>
      </c>
      <c r="E26" s="29"/>
    </row>
    <row r="27" spans="1:5">
      <c r="A27" s="7">
        <f t="shared" si="0"/>
        <v>23</v>
      </c>
      <c r="B27" s="29" t="s">
        <v>239</v>
      </c>
      <c r="C27" s="7"/>
      <c r="D27" s="52">
        <v>530.16999999999996</v>
      </c>
      <c r="E27" s="29"/>
    </row>
    <row r="28" spans="1:5">
      <c r="A28" s="7">
        <f t="shared" si="0"/>
        <v>24</v>
      </c>
      <c r="B28" s="37" t="s">
        <v>133</v>
      </c>
      <c r="C28" s="58"/>
      <c r="D28" s="52">
        <v>976.62</v>
      </c>
      <c r="E28" s="29"/>
    </row>
    <row r="29" spans="1:5">
      <c r="A29" s="7">
        <f t="shared" si="0"/>
        <v>25</v>
      </c>
      <c r="B29" s="37" t="s">
        <v>290</v>
      </c>
      <c r="C29" s="58"/>
      <c r="D29" s="52">
        <v>555.32000000000005</v>
      </c>
      <c r="E29" s="29"/>
    </row>
    <row r="30" spans="1:5">
      <c r="A30" s="7">
        <f t="shared" si="0"/>
        <v>26</v>
      </c>
      <c r="B30" s="37" t="s">
        <v>271</v>
      </c>
      <c r="C30" s="58">
        <v>1</v>
      </c>
      <c r="D30" s="52">
        <v>948.53</v>
      </c>
      <c r="E30" s="29"/>
    </row>
    <row r="31" spans="1:5">
      <c r="A31" s="7">
        <f t="shared" si="0"/>
        <v>27</v>
      </c>
      <c r="B31" s="37" t="s">
        <v>294</v>
      </c>
      <c r="C31" s="58"/>
      <c r="D31" s="52">
        <v>457.43</v>
      </c>
      <c r="E31" s="29"/>
    </row>
    <row r="32" spans="1:5">
      <c r="A32" s="7">
        <f t="shared" si="0"/>
        <v>28</v>
      </c>
      <c r="B32" s="37" t="s">
        <v>287</v>
      </c>
      <c r="C32" s="58"/>
      <c r="D32" s="52">
        <v>1314.21</v>
      </c>
      <c r="E32" s="29"/>
    </row>
    <row r="33" spans="1:5">
      <c r="A33" s="7">
        <f t="shared" si="0"/>
        <v>29</v>
      </c>
      <c r="B33" s="29" t="s">
        <v>219</v>
      </c>
      <c r="C33" s="7"/>
      <c r="D33" s="52">
        <v>457.43</v>
      </c>
      <c r="E33" s="29"/>
    </row>
    <row r="34" spans="1:5">
      <c r="A34" s="7">
        <f t="shared" si="0"/>
        <v>30</v>
      </c>
      <c r="B34" s="29" t="s">
        <v>368</v>
      </c>
      <c r="C34" s="7"/>
      <c r="D34" s="52">
        <v>558.98</v>
      </c>
      <c r="E34" s="29"/>
    </row>
    <row r="35" spans="1:5">
      <c r="A35" s="7">
        <f t="shared" si="0"/>
        <v>31</v>
      </c>
      <c r="B35" s="29" t="s">
        <v>325</v>
      </c>
      <c r="C35" s="7"/>
      <c r="D35" s="52">
        <v>548.01</v>
      </c>
      <c r="E35" s="29"/>
    </row>
    <row r="36" spans="1:5">
      <c r="A36" s="7">
        <f t="shared" si="0"/>
        <v>32</v>
      </c>
      <c r="B36" s="37" t="s">
        <v>233</v>
      </c>
      <c r="C36" s="58"/>
      <c r="D36" s="52">
        <v>1372.29</v>
      </c>
      <c r="E36" s="29"/>
    </row>
    <row r="37" spans="1:5">
      <c r="A37" s="7">
        <f t="shared" si="0"/>
        <v>33</v>
      </c>
      <c r="B37" s="37" t="s">
        <v>301</v>
      </c>
      <c r="C37" s="58"/>
      <c r="D37" s="52">
        <v>976.62</v>
      </c>
      <c r="E37" s="29"/>
    </row>
    <row r="38" spans="1:5">
      <c r="A38" s="7">
        <f t="shared" si="0"/>
        <v>34</v>
      </c>
      <c r="B38" s="37" t="s">
        <v>214</v>
      </c>
      <c r="C38" s="58">
        <v>1</v>
      </c>
      <c r="D38" s="52">
        <v>1584.36</v>
      </c>
      <c r="E38" s="29"/>
    </row>
    <row r="39" spans="1:5">
      <c r="A39" s="7">
        <f t="shared" si="0"/>
        <v>35</v>
      </c>
      <c r="B39" s="37" t="s">
        <v>284</v>
      </c>
      <c r="C39" s="58">
        <v>1</v>
      </c>
      <c r="D39" s="52">
        <v>1477.51</v>
      </c>
      <c r="E39" s="29"/>
    </row>
    <row r="40" spans="1:5">
      <c r="A40" s="7">
        <f t="shared" si="0"/>
        <v>36</v>
      </c>
      <c r="B40" s="29" t="s">
        <v>272</v>
      </c>
      <c r="C40" s="7"/>
      <c r="D40" s="52">
        <v>1285.3900000000001</v>
      </c>
      <c r="E40" s="29"/>
    </row>
    <row r="41" spans="1:5">
      <c r="A41" s="7">
        <f t="shared" si="0"/>
        <v>37</v>
      </c>
      <c r="B41" s="37" t="s">
        <v>90</v>
      </c>
      <c r="C41" s="58">
        <v>2</v>
      </c>
      <c r="D41" s="52">
        <v>1477.51</v>
      </c>
      <c r="E41" s="29"/>
    </row>
    <row r="42" spans="1:5">
      <c r="A42" s="7">
        <f t="shared" si="0"/>
        <v>38</v>
      </c>
      <c r="B42" s="37" t="s">
        <v>134</v>
      </c>
      <c r="C42" s="58"/>
      <c r="D42" s="52">
        <v>541.14</v>
      </c>
      <c r="E42" s="29"/>
    </row>
    <row r="43" spans="1:5">
      <c r="A43" s="7">
        <f t="shared" si="0"/>
        <v>39</v>
      </c>
      <c r="B43" s="37" t="s">
        <v>273</v>
      </c>
      <c r="C43" s="58"/>
      <c r="D43" s="52">
        <v>747.9</v>
      </c>
      <c r="E43" s="29"/>
    </row>
    <row r="44" spans="1:5">
      <c r="A44" s="7">
        <f t="shared" si="0"/>
        <v>40</v>
      </c>
      <c r="B44" s="29" t="s">
        <v>41</v>
      </c>
      <c r="C44" s="58"/>
      <c r="D44" s="52">
        <v>1372.29</v>
      </c>
      <c r="E44" s="29"/>
    </row>
    <row r="45" spans="1:5">
      <c r="A45" s="7">
        <f t="shared" si="0"/>
        <v>41</v>
      </c>
      <c r="B45" s="29" t="s">
        <v>288</v>
      </c>
      <c r="C45" s="58"/>
      <c r="D45" s="52">
        <v>933.17</v>
      </c>
      <c r="E45" s="29"/>
    </row>
    <row r="46" spans="1:5">
      <c r="A46" s="7">
        <f t="shared" si="0"/>
        <v>42</v>
      </c>
      <c r="B46" s="29" t="s">
        <v>238</v>
      </c>
      <c r="C46" s="58"/>
      <c r="D46" s="52">
        <v>1372.29</v>
      </c>
      <c r="E46" s="29"/>
    </row>
    <row r="47" spans="1:5">
      <c r="A47" s="7">
        <f t="shared" si="0"/>
        <v>43</v>
      </c>
      <c r="B47" s="37" t="s">
        <v>150</v>
      </c>
      <c r="C47" s="58"/>
      <c r="D47" s="52">
        <v>639.04</v>
      </c>
      <c r="E47" s="29"/>
    </row>
    <row r="48" spans="1:5">
      <c r="A48" s="7">
        <f t="shared" si="0"/>
        <v>44</v>
      </c>
      <c r="B48" s="29" t="s">
        <v>33</v>
      </c>
      <c r="C48" s="58">
        <v>1</v>
      </c>
      <c r="D48" s="52">
        <v>1104.24</v>
      </c>
      <c r="E48" s="29"/>
    </row>
    <row r="49" spans="1:8">
      <c r="A49" s="7">
        <f t="shared" si="0"/>
        <v>45</v>
      </c>
      <c r="B49" s="37" t="s">
        <v>34</v>
      </c>
      <c r="C49" s="58">
        <v>1</v>
      </c>
      <c r="D49" s="54">
        <v>1350.34</v>
      </c>
      <c r="E49" s="29"/>
    </row>
    <row r="50" spans="1:8">
      <c r="A50" s="7">
        <f t="shared" si="0"/>
        <v>46</v>
      </c>
      <c r="B50" s="29" t="s">
        <v>91</v>
      </c>
      <c r="C50" s="7"/>
      <c r="D50" s="54">
        <v>555.32000000000005</v>
      </c>
      <c r="E50" s="29"/>
    </row>
    <row r="51" spans="1:8">
      <c r="A51" s="7">
        <f t="shared" si="0"/>
        <v>47</v>
      </c>
      <c r="B51" s="37" t="s">
        <v>333</v>
      </c>
      <c r="C51" s="7"/>
      <c r="D51" s="52">
        <v>530.16999999999996</v>
      </c>
      <c r="E51" s="29"/>
    </row>
    <row r="52" spans="1:8">
      <c r="A52" s="7">
        <f t="shared" si="0"/>
        <v>48</v>
      </c>
      <c r="B52" s="37" t="s">
        <v>350</v>
      </c>
      <c r="C52" s="7"/>
      <c r="D52" s="52">
        <v>511.87</v>
      </c>
      <c r="E52" s="29"/>
    </row>
    <row r="53" spans="1:8">
      <c r="C53" s="105" t="s">
        <v>313</v>
      </c>
      <c r="D53" s="116">
        <f>SUM(D5:D52)</f>
        <v>47548.389999999992</v>
      </c>
    </row>
    <row r="54" spans="1:8">
      <c r="A54" s="101" t="s">
        <v>289</v>
      </c>
      <c r="B54" s="29" t="s">
        <v>254</v>
      </c>
      <c r="C54" s="7"/>
      <c r="D54" s="52">
        <v>497.23</v>
      </c>
      <c r="E54" s="29"/>
    </row>
    <row r="55" spans="1:8">
      <c r="A55" s="106" t="s">
        <v>289</v>
      </c>
      <c r="B55" s="107" t="s">
        <v>268</v>
      </c>
      <c r="C55" s="108"/>
      <c r="D55" s="127">
        <v>541.14</v>
      </c>
      <c r="E55" s="110"/>
    </row>
    <row r="56" spans="1:8">
      <c r="A56" s="113"/>
      <c r="B56" s="102"/>
      <c r="C56" s="115" t="s">
        <v>323</v>
      </c>
      <c r="D56" s="117">
        <f>SUM(D54:D55)</f>
        <v>1038.3699999999999</v>
      </c>
      <c r="E56" s="114"/>
      <c r="G56" s="15"/>
      <c r="H56" s="15"/>
    </row>
    <row r="57" spans="1:8">
      <c r="A57" s="458" t="s">
        <v>315</v>
      </c>
      <c r="B57" s="459"/>
      <c r="C57" s="460"/>
      <c r="D57" s="111">
        <f>D53+D56</f>
        <v>48586.759999999995</v>
      </c>
      <c r="E57" s="112"/>
    </row>
    <row r="58" spans="1:8">
      <c r="A58" s="431" t="s">
        <v>258</v>
      </c>
      <c r="B58" s="432"/>
      <c r="C58" s="7">
        <f>COUNTA(B5:B56)</f>
        <v>50</v>
      </c>
      <c r="D58" s="52"/>
      <c r="E58" s="29"/>
    </row>
    <row r="59" spans="1:8">
      <c r="A59" s="431" t="s">
        <v>242</v>
      </c>
      <c r="B59" s="432"/>
      <c r="C59" s="58">
        <v>17</v>
      </c>
      <c r="D59" s="52"/>
      <c r="E59" s="29"/>
    </row>
    <row r="60" spans="1:8">
      <c r="A60" s="433" t="s">
        <v>246</v>
      </c>
      <c r="B60" s="434"/>
      <c r="C60" s="86">
        <f>C58+C59</f>
        <v>67</v>
      </c>
      <c r="D60" s="52"/>
      <c r="E60" s="29"/>
    </row>
    <row r="61" spans="1:8">
      <c r="A61" s="425" t="s">
        <v>257</v>
      </c>
      <c r="B61" s="426"/>
      <c r="C61" s="427"/>
      <c r="D61" s="77"/>
      <c r="E61" s="75"/>
      <c r="G61" s="15"/>
    </row>
    <row r="62" spans="1:8" ht="9" customHeight="1">
      <c r="A62" s="91"/>
      <c r="B62" s="37"/>
      <c r="C62" s="104"/>
      <c r="D62" s="135"/>
      <c r="E62" s="137"/>
    </row>
    <row r="63" spans="1:8" ht="9" customHeight="1">
      <c r="A63" s="91"/>
      <c r="B63" s="37"/>
      <c r="C63" s="104"/>
      <c r="D63" s="94"/>
      <c r="E63" s="137"/>
    </row>
    <row r="64" spans="1:8" ht="9" customHeight="1">
      <c r="A64" s="428" t="s">
        <v>265</v>
      </c>
      <c r="B64" s="429"/>
      <c r="C64" s="430"/>
      <c r="D64" s="83">
        <f>SUM(D62:D63)</f>
        <v>0</v>
      </c>
      <c r="E64" s="75"/>
    </row>
    <row r="65" spans="1:5">
      <c r="A65" s="422" t="s">
        <v>37</v>
      </c>
      <c r="B65" s="423"/>
      <c r="C65" s="424"/>
      <c r="D65" s="80">
        <f>D57+D64</f>
        <v>48586.759999999995</v>
      </c>
      <c r="E65" s="84"/>
    </row>
    <row r="66" spans="1:5" ht="18">
      <c r="D66" s="72" t="s">
        <v>250</v>
      </c>
      <c r="E66" s="118">
        <v>44284</v>
      </c>
    </row>
    <row r="67" spans="1:5" ht="18">
      <c r="D67" s="73" t="s">
        <v>251</v>
      </c>
      <c r="E67" s="119" t="s">
        <v>337</v>
      </c>
    </row>
  </sheetData>
  <mergeCells count="8">
    <mergeCell ref="A64:C64"/>
    <mergeCell ref="A65:C65"/>
    <mergeCell ref="D3:E3"/>
    <mergeCell ref="A57:C57"/>
    <mergeCell ref="A58:B58"/>
    <mergeCell ref="A59:B59"/>
    <mergeCell ref="A60:B60"/>
    <mergeCell ref="A61:C61"/>
  </mergeCells>
  <conditionalFormatting sqref="B12">
    <cfRule type="duplicateValues" dxfId="528" priority="5"/>
    <cfRule type="duplicateValues" dxfId="527" priority="8"/>
    <cfRule type="duplicateValues" dxfId="526" priority="9"/>
  </conditionalFormatting>
  <conditionalFormatting sqref="B25">
    <cfRule type="duplicateValues" dxfId="525" priority="23"/>
  </conditionalFormatting>
  <conditionalFormatting sqref="B54:B56 B5:B11 B13:B52">
    <cfRule type="duplicateValues" dxfId="524" priority="25"/>
  </conditionalFormatting>
  <conditionalFormatting sqref="B62">
    <cfRule type="duplicateValues" dxfId="523" priority="26"/>
  </conditionalFormatting>
  <conditionalFormatting sqref="B63">
    <cfRule type="duplicateValues" dxfId="522" priority="2"/>
    <cfRule type="duplicateValues" dxfId="521" priority="3"/>
    <cfRule type="duplicateValues" dxfId="520" priority="4"/>
  </conditionalFormatting>
  <conditionalFormatting sqref="B64:B67 B54:B61 B1:B11 B13:B52">
    <cfRule type="duplicateValues" dxfId="519" priority="24"/>
  </conditionalFormatting>
  <conditionalFormatting sqref="B64:B1048576 B13:B61 B1:B11">
    <cfRule type="duplicateValues" dxfId="518" priority="10"/>
  </conditionalFormatting>
  <conditionalFormatting sqref="B68:B1048576">
    <cfRule type="duplicateValues" dxfId="517" priority="22"/>
  </conditionalFormatting>
  <conditionalFormatting sqref="B15:C15">
    <cfRule type="duplicateValues" dxfId="516" priority="19"/>
    <cfRule type="duplicateValues" dxfId="515" priority="20"/>
    <cfRule type="duplicateValues" dxfId="514" priority="21"/>
  </conditionalFormatting>
  <conditionalFormatting sqref="B19:C19">
    <cfRule type="duplicateValues" dxfId="513" priority="16"/>
    <cfRule type="duplicateValues" dxfId="512" priority="17"/>
    <cfRule type="duplicateValues" dxfId="511" priority="18"/>
  </conditionalFormatting>
  <conditionalFormatting sqref="B20:C20">
    <cfRule type="duplicateValues" dxfId="510" priority="13"/>
    <cfRule type="duplicateValues" dxfId="509" priority="14"/>
    <cfRule type="duplicateValues" dxfId="508" priority="15"/>
  </conditionalFormatting>
  <conditionalFormatting sqref="C5:C52">
    <cfRule type="notContainsBlanks" dxfId="507" priority="7">
      <formula>LEN(TRIM(C5))&gt;0</formula>
    </cfRule>
  </conditionalFormatting>
  <conditionalFormatting sqref="C54:C55">
    <cfRule type="notContainsBlanks" dxfId="506" priority="12">
      <formula>LEN(TRIM(C54))&gt;0</formula>
    </cfRule>
  </conditionalFormatting>
  <conditionalFormatting sqref="E5:E52">
    <cfRule type="notContainsBlanks" dxfId="505" priority="6">
      <formula>LEN(TRIM(E5))&gt;0</formula>
    </cfRule>
  </conditionalFormatting>
  <conditionalFormatting sqref="E54:E65">
    <cfRule type="notContainsBlanks" dxfId="504" priority="1">
      <formula>LEN(TRIM(E54))&gt;0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60C7-52A5-7340-80D1-15E329038619}">
  <sheetPr>
    <tabColor theme="8"/>
    <pageSetUpPr fitToPage="1"/>
  </sheetPr>
  <dimension ref="A1:H67"/>
  <sheetViews>
    <sheetView topLeftCell="A27" zoomScale="150" zoomScaleNormal="150" zoomScalePageLayoutView="140" workbookViewId="0">
      <selection activeCell="G68" sqref="G68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379</v>
      </c>
      <c r="E2" s="123">
        <v>44256</v>
      </c>
    </row>
    <row r="3" spans="1:5" ht="14" customHeight="1">
      <c r="D3" s="462" t="s">
        <v>358</v>
      </c>
      <c r="E3" s="462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620.74</v>
      </c>
      <c r="E5" s="29"/>
    </row>
    <row r="6" spans="1:5">
      <c r="A6" s="7">
        <v>2</v>
      </c>
      <c r="B6" s="29" t="s">
        <v>62</v>
      </c>
      <c r="C6" s="7"/>
      <c r="D6" s="52">
        <v>1114.77</v>
      </c>
      <c r="E6" s="29"/>
    </row>
    <row r="7" spans="1:5">
      <c r="A7" s="7">
        <f t="shared" ref="A7:A52" si="0">A6+1</f>
        <v>3</v>
      </c>
      <c r="B7" s="37" t="s">
        <v>202</v>
      </c>
      <c r="C7" s="58"/>
      <c r="D7" s="52">
        <v>562.64</v>
      </c>
      <c r="E7" s="29"/>
    </row>
    <row r="8" spans="1:5">
      <c r="A8" s="7">
        <f t="shared" si="0"/>
        <v>4</v>
      </c>
      <c r="B8" s="29" t="s">
        <v>12</v>
      </c>
      <c r="C8" s="7">
        <v>1</v>
      </c>
      <c r="D8" s="52">
        <v>1622.97</v>
      </c>
      <c r="E8" s="29"/>
    </row>
    <row r="9" spans="1:5">
      <c r="A9" s="7">
        <v>5</v>
      </c>
      <c r="B9" s="29" t="s">
        <v>365</v>
      </c>
      <c r="C9" s="7"/>
      <c r="D9" s="52">
        <v>566.29999999999995</v>
      </c>
      <c r="E9" s="29"/>
    </row>
    <row r="10" spans="1:5">
      <c r="A10" s="7">
        <v>6</v>
      </c>
      <c r="B10" s="37" t="s">
        <v>48</v>
      </c>
      <c r="C10" s="58">
        <v>1</v>
      </c>
      <c r="D10" s="52">
        <v>905.07</v>
      </c>
      <c r="E10" s="29"/>
    </row>
    <row r="11" spans="1:5">
      <c r="A11" s="7">
        <v>7</v>
      </c>
      <c r="B11" s="37" t="s">
        <v>236</v>
      </c>
      <c r="C11" s="58">
        <v>3</v>
      </c>
      <c r="D11" s="52">
        <v>2120.19</v>
      </c>
      <c r="E11" s="29"/>
    </row>
    <row r="12" spans="1:5">
      <c r="A12" s="7">
        <v>8</v>
      </c>
      <c r="B12" s="37" t="s">
        <v>316</v>
      </c>
      <c r="C12" s="58"/>
      <c r="D12" s="52">
        <v>933.17</v>
      </c>
      <c r="E12" s="29"/>
    </row>
    <row r="13" spans="1:5">
      <c r="A13" s="7">
        <f>A12+1</f>
        <v>9</v>
      </c>
      <c r="B13" s="37" t="s">
        <v>297</v>
      </c>
      <c r="C13" s="58"/>
      <c r="D13" s="52">
        <v>468.41</v>
      </c>
      <c r="E13" s="29"/>
    </row>
    <row r="14" spans="1:5">
      <c r="A14" s="7">
        <f t="shared" si="0"/>
        <v>10</v>
      </c>
      <c r="B14" s="37" t="s">
        <v>291</v>
      </c>
      <c r="C14" s="58">
        <v>1</v>
      </c>
      <c r="D14" s="52">
        <v>1420.33</v>
      </c>
      <c r="E14" s="29"/>
    </row>
    <row r="15" spans="1:5">
      <c r="A15" s="7">
        <f t="shared" si="0"/>
        <v>11</v>
      </c>
      <c r="B15" s="61" t="s">
        <v>230</v>
      </c>
      <c r="C15" s="62"/>
      <c r="D15" s="52">
        <v>1372.29</v>
      </c>
      <c r="E15" s="29"/>
    </row>
    <row r="16" spans="1:5">
      <c r="A16" s="7">
        <f t="shared" si="0"/>
        <v>12</v>
      </c>
      <c r="B16" s="29" t="s">
        <v>234</v>
      </c>
      <c r="C16" s="7"/>
      <c r="D16" s="52">
        <v>1314.21</v>
      </c>
      <c r="E16" s="29"/>
    </row>
    <row r="17" spans="1:5">
      <c r="A17" s="7">
        <f t="shared" si="0"/>
        <v>13</v>
      </c>
      <c r="B17" s="29" t="s">
        <v>237</v>
      </c>
      <c r="C17" s="7">
        <v>1</v>
      </c>
      <c r="D17" s="52">
        <v>894.1</v>
      </c>
      <c r="E17" s="29"/>
    </row>
    <row r="18" spans="1:5">
      <c r="A18" s="7">
        <f t="shared" si="0"/>
        <v>14</v>
      </c>
      <c r="B18" s="29" t="s">
        <v>298</v>
      </c>
      <c r="C18" s="7"/>
      <c r="D18" s="52">
        <v>541.14</v>
      </c>
      <c r="E18" s="29"/>
    </row>
    <row r="19" spans="1:5">
      <c r="A19" s="7">
        <f t="shared" si="0"/>
        <v>15</v>
      </c>
      <c r="B19" s="61" t="s">
        <v>228</v>
      </c>
      <c r="C19" s="62"/>
      <c r="D19" s="52">
        <v>1020.08</v>
      </c>
      <c r="E19" s="29"/>
    </row>
    <row r="20" spans="1:5">
      <c r="A20" s="7">
        <f t="shared" si="0"/>
        <v>16</v>
      </c>
      <c r="B20" s="61" t="s">
        <v>229</v>
      </c>
      <c r="C20" s="62"/>
      <c r="D20" s="52">
        <v>1372.29</v>
      </c>
      <c r="E20" s="29"/>
    </row>
    <row r="21" spans="1:5">
      <c r="A21" s="7">
        <f t="shared" si="0"/>
        <v>17</v>
      </c>
      <c r="B21" s="29" t="s">
        <v>235</v>
      </c>
      <c r="C21" s="7"/>
      <c r="D21" s="52">
        <v>853.11</v>
      </c>
      <c r="E21" s="29"/>
    </row>
    <row r="22" spans="1:5">
      <c r="A22" s="7">
        <f t="shared" si="0"/>
        <v>18</v>
      </c>
      <c r="B22" s="37" t="s">
        <v>63</v>
      </c>
      <c r="C22" s="58">
        <v>2</v>
      </c>
      <c r="D22" s="52">
        <v>1485.83</v>
      </c>
      <c r="E22" s="29"/>
    </row>
    <row r="23" spans="1:5">
      <c r="A23" s="7">
        <f t="shared" si="0"/>
        <v>19</v>
      </c>
      <c r="B23" s="37" t="s">
        <v>168</v>
      </c>
      <c r="C23" s="58"/>
      <c r="D23" s="52">
        <v>1314.21</v>
      </c>
      <c r="E23" s="29"/>
    </row>
    <row r="24" spans="1:5">
      <c r="A24" s="7">
        <f t="shared" si="0"/>
        <v>20</v>
      </c>
      <c r="B24" s="37" t="s">
        <v>88</v>
      </c>
      <c r="C24" s="58"/>
      <c r="D24" s="52">
        <v>1241.48</v>
      </c>
      <c r="E24" s="29"/>
    </row>
    <row r="25" spans="1:5">
      <c r="A25" s="7">
        <f t="shared" si="0"/>
        <v>21</v>
      </c>
      <c r="B25" s="55" t="s">
        <v>232</v>
      </c>
      <c r="C25" s="7"/>
      <c r="D25" s="52">
        <v>714.97</v>
      </c>
      <c r="E25" s="29"/>
    </row>
    <row r="26" spans="1:5">
      <c r="A26" s="7">
        <f t="shared" si="0"/>
        <v>22</v>
      </c>
      <c r="B26" s="29" t="s">
        <v>270</v>
      </c>
      <c r="C26" s="7">
        <v>1</v>
      </c>
      <c r="D26" s="52">
        <v>911.94</v>
      </c>
      <c r="E26" s="29"/>
    </row>
    <row r="27" spans="1:5">
      <c r="A27" s="7">
        <f t="shared" si="0"/>
        <v>23</v>
      </c>
      <c r="B27" s="29" t="s">
        <v>239</v>
      </c>
      <c r="C27" s="7"/>
      <c r="D27" s="52">
        <v>530.16999999999996</v>
      </c>
      <c r="E27" s="29"/>
    </row>
    <row r="28" spans="1:5">
      <c r="A28" s="7">
        <f t="shared" si="0"/>
        <v>24</v>
      </c>
      <c r="B28" s="37" t="s">
        <v>133</v>
      </c>
      <c r="C28" s="58"/>
      <c r="D28" s="52">
        <v>976.62</v>
      </c>
      <c r="E28" s="29"/>
    </row>
    <row r="29" spans="1:5">
      <c r="A29" s="7">
        <f t="shared" si="0"/>
        <v>25</v>
      </c>
      <c r="B29" s="37" t="s">
        <v>290</v>
      </c>
      <c r="C29" s="58"/>
      <c r="D29" s="52">
        <v>555.32000000000005</v>
      </c>
      <c r="E29" s="29"/>
    </row>
    <row r="30" spans="1:5">
      <c r="A30" s="7">
        <f t="shared" si="0"/>
        <v>26</v>
      </c>
      <c r="B30" s="37" t="s">
        <v>271</v>
      </c>
      <c r="C30" s="58">
        <v>1</v>
      </c>
      <c r="D30" s="52">
        <v>948.53</v>
      </c>
      <c r="E30" s="29"/>
    </row>
    <row r="31" spans="1:5">
      <c r="A31" s="7">
        <f t="shared" si="0"/>
        <v>27</v>
      </c>
      <c r="B31" s="37" t="s">
        <v>294</v>
      </c>
      <c r="C31" s="58"/>
      <c r="D31" s="52">
        <v>457.43</v>
      </c>
      <c r="E31" s="29"/>
    </row>
    <row r="32" spans="1:5">
      <c r="A32" s="7">
        <f t="shared" si="0"/>
        <v>28</v>
      </c>
      <c r="B32" s="37" t="s">
        <v>287</v>
      </c>
      <c r="C32" s="58"/>
      <c r="D32" s="52">
        <v>1314.21</v>
      </c>
      <c r="E32" s="29"/>
    </row>
    <row r="33" spans="1:5">
      <c r="A33" s="7">
        <f t="shared" si="0"/>
        <v>29</v>
      </c>
      <c r="B33" s="29" t="s">
        <v>219</v>
      </c>
      <c r="C33" s="7"/>
      <c r="D33" s="52">
        <v>457.43</v>
      </c>
      <c r="E33" s="29"/>
    </row>
    <row r="34" spans="1:5">
      <c r="A34" s="7">
        <f t="shared" si="0"/>
        <v>30</v>
      </c>
      <c r="B34" s="29" t="s">
        <v>368</v>
      </c>
      <c r="C34" s="7"/>
      <c r="D34" s="52">
        <v>558.98</v>
      </c>
      <c r="E34" s="29"/>
    </row>
    <row r="35" spans="1:5">
      <c r="A35" s="7">
        <f t="shared" si="0"/>
        <v>31</v>
      </c>
      <c r="B35" s="29" t="s">
        <v>325</v>
      </c>
      <c r="C35" s="7"/>
      <c r="D35" s="52">
        <v>548.01</v>
      </c>
      <c r="E35" s="29"/>
    </row>
    <row r="36" spans="1:5">
      <c r="A36" s="7">
        <f t="shared" si="0"/>
        <v>32</v>
      </c>
      <c r="B36" s="37" t="s">
        <v>233</v>
      </c>
      <c r="C36" s="58"/>
      <c r="D36" s="52">
        <v>1372.29</v>
      </c>
      <c r="E36" s="29"/>
    </row>
    <row r="37" spans="1:5">
      <c r="A37" s="7">
        <f t="shared" si="0"/>
        <v>33</v>
      </c>
      <c r="B37" s="37" t="s">
        <v>301</v>
      </c>
      <c r="C37" s="58"/>
      <c r="D37" s="52">
        <v>976.62</v>
      </c>
      <c r="E37" s="29"/>
    </row>
    <row r="38" spans="1:5">
      <c r="A38" s="7">
        <f t="shared" si="0"/>
        <v>34</v>
      </c>
      <c r="B38" s="37" t="s">
        <v>214</v>
      </c>
      <c r="C38" s="58">
        <v>1</v>
      </c>
      <c r="D38" s="52">
        <v>1584.36</v>
      </c>
      <c r="E38" s="29"/>
    </row>
    <row r="39" spans="1:5">
      <c r="A39" s="7">
        <f t="shared" si="0"/>
        <v>35</v>
      </c>
      <c r="B39" s="37" t="s">
        <v>284</v>
      </c>
      <c r="C39" s="58">
        <v>1</v>
      </c>
      <c r="D39" s="52">
        <v>1477.51</v>
      </c>
      <c r="E39" s="29"/>
    </row>
    <row r="40" spans="1:5">
      <c r="A40" s="7">
        <f t="shared" si="0"/>
        <v>36</v>
      </c>
      <c r="B40" s="29" t="s">
        <v>272</v>
      </c>
      <c r="C40" s="7"/>
      <c r="D40" s="52">
        <v>1285.3900000000001</v>
      </c>
      <c r="E40" s="29"/>
    </row>
    <row r="41" spans="1:5">
      <c r="A41" s="7">
        <f t="shared" si="0"/>
        <v>37</v>
      </c>
      <c r="B41" s="37" t="s">
        <v>90</v>
      </c>
      <c r="C41" s="58">
        <v>2</v>
      </c>
      <c r="D41" s="52">
        <v>1477.51</v>
      </c>
      <c r="E41" s="29"/>
    </row>
    <row r="42" spans="1:5">
      <c r="A42" s="7">
        <f t="shared" si="0"/>
        <v>38</v>
      </c>
      <c r="B42" s="37" t="s">
        <v>134</v>
      </c>
      <c r="C42" s="58"/>
      <c r="D42" s="52">
        <v>541.14</v>
      </c>
      <c r="E42" s="29"/>
    </row>
    <row r="43" spans="1:5">
      <c r="A43" s="7">
        <f t="shared" si="0"/>
        <v>39</v>
      </c>
      <c r="B43" s="37" t="s">
        <v>273</v>
      </c>
      <c r="C43" s="58"/>
      <c r="D43" s="52">
        <v>747.9</v>
      </c>
      <c r="E43" s="29"/>
    </row>
    <row r="44" spans="1:5">
      <c r="A44" s="7">
        <f t="shared" si="0"/>
        <v>40</v>
      </c>
      <c r="B44" s="29" t="s">
        <v>41</v>
      </c>
      <c r="C44" s="58"/>
      <c r="D44" s="52">
        <v>1372.29</v>
      </c>
      <c r="E44" s="29"/>
    </row>
    <row r="45" spans="1:5">
      <c r="A45" s="7">
        <f t="shared" si="0"/>
        <v>41</v>
      </c>
      <c r="B45" s="29" t="s">
        <v>288</v>
      </c>
      <c r="C45" s="58"/>
      <c r="D45" s="52">
        <v>933.17</v>
      </c>
      <c r="E45" s="29"/>
    </row>
    <row r="46" spans="1:5">
      <c r="A46" s="7">
        <f t="shared" si="0"/>
        <v>42</v>
      </c>
      <c r="B46" s="29" t="s">
        <v>238</v>
      </c>
      <c r="C46" s="58"/>
      <c r="D46" s="52">
        <v>1372.29</v>
      </c>
      <c r="E46" s="29"/>
    </row>
    <row r="47" spans="1:5">
      <c r="A47" s="7">
        <f t="shared" si="0"/>
        <v>43</v>
      </c>
      <c r="B47" s="37" t="s">
        <v>150</v>
      </c>
      <c r="C47" s="58"/>
      <c r="D47" s="52">
        <v>639.04</v>
      </c>
      <c r="E47" s="29"/>
    </row>
    <row r="48" spans="1:5">
      <c r="A48" s="7">
        <f t="shared" si="0"/>
        <v>44</v>
      </c>
      <c r="B48" s="29" t="s">
        <v>33</v>
      </c>
      <c r="C48" s="58">
        <v>1</v>
      </c>
      <c r="D48" s="52">
        <v>1104.24</v>
      </c>
      <c r="E48" s="29"/>
    </row>
    <row r="49" spans="1:8">
      <c r="A49" s="7">
        <f t="shared" si="0"/>
        <v>45</v>
      </c>
      <c r="B49" s="37" t="s">
        <v>34</v>
      </c>
      <c r="C49" s="58">
        <v>1</v>
      </c>
      <c r="D49" s="54">
        <v>1350.34</v>
      </c>
      <c r="E49" s="29"/>
    </row>
    <row r="50" spans="1:8">
      <c r="A50" s="7">
        <f t="shared" si="0"/>
        <v>46</v>
      </c>
      <c r="B50" s="29" t="s">
        <v>91</v>
      </c>
      <c r="C50" s="7"/>
      <c r="D50" s="54">
        <v>555.32000000000005</v>
      </c>
      <c r="E50" s="29"/>
    </row>
    <row r="51" spans="1:8">
      <c r="A51" s="7">
        <f t="shared" si="0"/>
        <v>47</v>
      </c>
      <c r="B51" s="37" t="s">
        <v>333</v>
      </c>
      <c r="C51" s="7"/>
      <c r="D51" s="52">
        <v>530.16999999999996</v>
      </c>
      <c r="E51" s="29"/>
    </row>
    <row r="52" spans="1:8">
      <c r="A52" s="7">
        <f t="shared" si="0"/>
        <v>48</v>
      </c>
      <c r="B52" s="37" t="s">
        <v>350</v>
      </c>
      <c r="C52" s="7"/>
      <c r="D52" s="52">
        <v>511.87</v>
      </c>
      <c r="E52" s="29"/>
    </row>
    <row r="53" spans="1:8">
      <c r="C53" s="105" t="s">
        <v>313</v>
      </c>
      <c r="D53" s="116">
        <f>SUM(D5:D52)</f>
        <v>47548.389999999992</v>
      </c>
    </row>
    <row r="54" spans="1:8">
      <c r="A54" s="101" t="s">
        <v>289</v>
      </c>
      <c r="B54" s="29" t="s">
        <v>254</v>
      </c>
      <c r="C54" s="7"/>
      <c r="D54" s="52">
        <v>497.23</v>
      </c>
      <c r="E54" s="29"/>
    </row>
    <row r="55" spans="1:8">
      <c r="A55" s="106" t="s">
        <v>289</v>
      </c>
      <c r="B55" s="107" t="s">
        <v>268</v>
      </c>
      <c r="C55" s="108"/>
      <c r="D55" s="127">
        <v>541.14</v>
      </c>
      <c r="E55" s="110"/>
    </row>
    <row r="56" spans="1:8">
      <c r="A56" s="113"/>
      <c r="B56" s="102"/>
      <c r="C56" s="115" t="s">
        <v>323</v>
      </c>
      <c r="D56" s="117">
        <f>SUM(D54:D55)</f>
        <v>1038.3699999999999</v>
      </c>
      <c r="E56" s="114"/>
      <c r="G56" s="15"/>
      <c r="H56" s="15"/>
    </row>
    <row r="57" spans="1:8">
      <c r="A57" s="458" t="s">
        <v>315</v>
      </c>
      <c r="B57" s="459"/>
      <c r="C57" s="460"/>
      <c r="D57" s="111">
        <f>D53+D56</f>
        <v>48586.759999999995</v>
      </c>
      <c r="E57" s="112"/>
    </row>
    <row r="58" spans="1:8">
      <c r="A58" s="431" t="s">
        <v>258</v>
      </c>
      <c r="B58" s="432"/>
      <c r="C58" s="7">
        <f>COUNTA(B5:B56)</f>
        <v>50</v>
      </c>
      <c r="D58" s="52"/>
      <c r="E58" s="29"/>
    </row>
    <row r="59" spans="1:8">
      <c r="A59" s="431" t="s">
        <v>242</v>
      </c>
      <c r="B59" s="432"/>
      <c r="C59" s="58">
        <v>17</v>
      </c>
      <c r="D59" s="52"/>
      <c r="E59" s="29"/>
    </row>
    <row r="60" spans="1:8">
      <c r="A60" s="433" t="s">
        <v>246</v>
      </c>
      <c r="B60" s="434"/>
      <c r="C60" s="86">
        <f>C58+C59</f>
        <v>67</v>
      </c>
      <c r="D60" s="52"/>
      <c r="E60" s="29"/>
    </row>
    <row r="61" spans="1:8">
      <c r="A61" s="425" t="s">
        <v>257</v>
      </c>
      <c r="B61" s="426"/>
      <c r="C61" s="427"/>
      <c r="D61" s="77"/>
      <c r="E61" s="75"/>
      <c r="G61" s="15"/>
    </row>
    <row r="62" spans="1:8" ht="9" customHeight="1">
      <c r="A62" s="91"/>
      <c r="B62" s="37"/>
      <c r="C62" s="104"/>
      <c r="D62" s="135"/>
      <c r="E62" s="137"/>
    </row>
    <row r="63" spans="1:8" ht="9" customHeight="1">
      <c r="A63" s="91"/>
      <c r="B63" s="37"/>
      <c r="C63" s="104"/>
      <c r="D63" s="94"/>
      <c r="E63" s="137"/>
    </row>
    <row r="64" spans="1:8" ht="9" customHeight="1">
      <c r="A64" s="428" t="s">
        <v>265</v>
      </c>
      <c r="B64" s="429"/>
      <c r="C64" s="430"/>
      <c r="D64" s="83">
        <f>SUM(D62:D63)</f>
        <v>0</v>
      </c>
      <c r="E64" s="75"/>
    </row>
    <row r="65" spans="1:5">
      <c r="A65" s="422" t="s">
        <v>37</v>
      </c>
      <c r="B65" s="423"/>
      <c r="C65" s="424"/>
      <c r="D65" s="80">
        <f>D57+D64</f>
        <v>48586.759999999995</v>
      </c>
      <c r="E65" s="84"/>
    </row>
    <row r="66" spans="1:5" ht="18">
      <c r="D66" s="72" t="s">
        <v>250</v>
      </c>
      <c r="E66" s="118">
        <v>44259</v>
      </c>
    </row>
    <row r="67" spans="1:5" ht="18">
      <c r="D67" s="73" t="s">
        <v>251</v>
      </c>
      <c r="E67" s="119" t="s">
        <v>337</v>
      </c>
    </row>
  </sheetData>
  <mergeCells count="8">
    <mergeCell ref="A64:C64"/>
    <mergeCell ref="A65:C65"/>
    <mergeCell ref="D3:E3"/>
    <mergeCell ref="A57:C57"/>
    <mergeCell ref="A58:B58"/>
    <mergeCell ref="A59:B59"/>
    <mergeCell ref="A60:B60"/>
    <mergeCell ref="A61:C61"/>
  </mergeCells>
  <conditionalFormatting sqref="B12">
    <cfRule type="duplicateValues" dxfId="503" priority="5"/>
    <cfRule type="duplicateValues" dxfId="502" priority="8"/>
    <cfRule type="duplicateValues" dxfId="501" priority="9"/>
  </conditionalFormatting>
  <conditionalFormatting sqref="B25">
    <cfRule type="duplicateValues" dxfId="500" priority="23"/>
  </conditionalFormatting>
  <conditionalFormatting sqref="B54:B56 B5:B11 B13:B52">
    <cfRule type="duplicateValues" dxfId="499" priority="25"/>
  </conditionalFormatting>
  <conditionalFormatting sqref="B62">
    <cfRule type="duplicateValues" dxfId="498" priority="121"/>
  </conditionalFormatting>
  <conditionalFormatting sqref="B63">
    <cfRule type="duplicateValues" dxfId="497" priority="2"/>
    <cfRule type="duplicateValues" dxfId="496" priority="3"/>
    <cfRule type="duplicateValues" dxfId="495" priority="4"/>
  </conditionalFormatting>
  <conditionalFormatting sqref="B64:B67 B54:B61 B1:B11 B13:B52">
    <cfRule type="duplicateValues" dxfId="494" priority="24"/>
  </conditionalFormatting>
  <conditionalFormatting sqref="B64:B1048576 B13:B61 B1:B11">
    <cfRule type="duplicateValues" dxfId="493" priority="10"/>
  </conditionalFormatting>
  <conditionalFormatting sqref="B68:B1048576">
    <cfRule type="duplicateValues" dxfId="492" priority="22"/>
  </conditionalFormatting>
  <conditionalFormatting sqref="B15:C15">
    <cfRule type="duplicateValues" dxfId="491" priority="19"/>
    <cfRule type="duplicateValues" dxfId="490" priority="20"/>
    <cfRule type="duplicateValues" dxfId="489" priority="21"/>
  </conditionalFormatting>
  <conditionalFormatting sqref="B19:C19">
    <cfRule type="duplicateValues" dxfId="488" priority="16"/>
    <cfRule type="duplicateValues" dxfId="487" priority="17"/>
    <cfRule type="duplicateValues" dxfId="486" priority="18"/>
  </conditionalFormatting>
  <conditionalFormatting sqref="B20:C20">
    <cfRule type="duplicateValues" dxfId="485" priority="13"/>
    <cfRule type="duplicateValues" dxfId="484" priority="14"/>
    <cfRule type="duplicateValues" dxfId="483" priority="15"/>
  </conditionalFormatting>
  <conditionalFormatting sqref="C5:C52">
    <cfRule type="notContainsBlanks" dxfId="482" priority="7">
      <formula>LEN(TRIM(C5))&gt;0</formula>
    </cfRule>
  </conditionalFormatting>
  <conditionalFormatting sqref="C54:C55">
    <cfRule type="notContainsBlanks" dxfId="481" priority="12">
      <formula>LEN(TRIM(C54))&gt;0</formula>
    </cfRule>
  </conditionalFormatting>
  <conditionalFormatting sqref="E5:E52">
    <cfRule type="notContainsBlanks" dxfId="480" priority="6">
      <formula>LEN(TRIM(E5))&gt;0</formula>
    </cfRule>
  </conditionalFormatting>
  <conditionalFormatting sqref="E54:E65">
    <cfRule type="notContainsBlanks" dxfId="479" priority="1">
      <formula>LEN(TRIM(E54))&gt;0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C682-1435-674D-8AB7-D6F1498B06F5}">
  <sheetPr>
    <tabColor theme="8"/>
    <pageSetUpPr fitToPage="1"/>
  </sheetPr>
  <dimension ref="A1:H70"/>
  <sheetViews>
    <sheetView topLeftCell="A46" zoomScale="150" zoomScaleNormal="150" zoomScalePageLayoutView="140" workbookViewId="0">
      <selection activeCell="E53" sqref="E53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374</v>
      </c>
      <c r="E2" s="123">
        <v>44228</v>
      </c>
    </row>
    <row r="3" spans="1:5" ht="14" customHeight="1">
      <c r="D3" s="462" t="s">
        <v>358</v>
      </c>
      <c r="E3" s="462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620.74</v>
      </c>
      <c r="E5" s="29"/>
    </row>
    <row r="6" spans="1:5">
      <c r="A6" s="7">
        <v>2</v>
      </c>
      <c r="B6" s="29" t="s">
        <v>62</v>
      </c>
      <c r="C6" s="7"/>
      <c r="D6" s="52">
        <v>1114.77</v>
      </c>
      <c r="E6" s="29"/>
    </row>
    <row r="7" spans="1:5">
      <c r="A7" s="7">
        <f t="shared" ref="A7:A52" si="0">A6+1</f>
        <v>3</v>
      </c>
      <c r="B7" s="37" t="s">
        <v>202</v>
      </c>
      <c r="C7" s="58"/>
      <c r="D7" s="52">
        <v>562.64</v>
      </c>
      <c r="E7" s="29"/>
    </row>
    <row r="8" spans="1:5" s="133" customFormat="1">
      <c r="A8" s="130">
        <f t="shared" si="0"/>
        <v>4</v>
      </c>
      <c r="B8" s="131" t="s">
        <v>12</v>
      </c>
      <c r="C8" s="130">
        <v>1</v>
      </c>
      <c r="D8" s="132">
        <v>1622.97</v>
      </c>
      <c r="E8" s="131" t="s">
        <v>375</v>
      </c>
    </row>
    <row r="9" spans="1:5">
      <c r="A9" s="7">
        <v>5</v>
      </c>
      <c r="B9" s="29" t="s">
        <v>365</v>
      </c>
      <c r="C9" s="7"/>
      <c r="D9" s="52">
        <v>566.29999999999995</v>
      </c>
      <c r="E9" s="29"/>
    </row>
    <row r="10" spans="1:5">
      <c r="A10" s="7">
        <v>6</v>
      </c>
      <c r="B10" s="37" t="s">
        <v>48</v>
      </c>
      <c r="C10" s="58">
        <v>1</v>
      </c>
      <c r="D10" s="52">
        <v>905.07</v>
      </c>
      <c r="E10" s="29"/>
    </row>
    <row r="11" spans="1:5">
      <c r="A11" s="7">
        <v>7</v>
      </c>
      <c r="B11" s="37" t="s">
        <v>236</v>
      </c>
      <c r="C11" s="58">
        <v>3</v>
      </c>
      <c r="D11" s="52">
        <v>2120.19</v>
      </c>
      <c r="E11" s="29"/>
    </row>
    <row r="12" spans="1:5">
      <c r="A12" s="7">
        <v>8</v>
      </c>
      <c r="B12" s="37" t="s">
        <v>316</v>
      </c>
      <c r="C12" s="58"/>
      <c r="D12" s="52">
        <v>933.17</v>
      </c>
      <c r="E12" s="29"/>
    </row>
    <row r="13" spans="1:5">
      <c r="A13" s="7">
        <f>A12+1</f>
        <v>9</v>
      </c>
      <c r="B13" s="37" t="s">
        <v>297</v>
      </c>
      <c r="C13" s="58"/>
      <c r="D13" s="52">
        <v>468.41</v>
      </c>
      <c r="E13" s="29"/>
    </row>
    <row r="14" spans="1:5">
      <c r="A14" s="7">
        <f t="shared" si="0"/>
        <v>10</v>
      </c>
      <c r="B14" s="37" t="s">
        <v>291</v>
      </c>
      <c r="C14" s="58">
        <v>1</v>
      </c>
      <c r="D14" s="52">
        <v>1420.33</v>
      </c>
      <c r="E14" s="29"/>
    </row>
    <row r="15" spans="1:5">
      <c r="A15" s="7">
        <f t="shared" si="0"/>
        <v>11</v>
      </c>
      <c r="B15" s="61" t="s">
        <v>230</v>
      </c>
      <c r="C15" s="62"/>
      <c r="D15" s="52">
        <v>1372.29</v>
      </c>
      <c r="E15" s="29"/>
    </row>
    <row r="16" spans="1:5">
      <c r="A16" s="7">
        <f t="shared" si="0"/>
        <v>12</v>
      </c>
      <c r="B16" s="29" t="s">
        <v>234</v>
      </c>
      <c r="C16" s="7"/>
      <c r="D16" s="52">
        <v>1314.21</v>
      </c>
      <c r="E16" s="29"/>
    </row>
    <row r="17" spans="1:5">
      <c r="A17" s="7">
        <f t="shared" si="0"/>
        <v>13</v>
      </c>
      <c r="B17" s="29" t="s">
        <v>237</v>
      </c>
      <c r="C17" s="7">
        <v>1</v>
      </c>
      <c r="D17" s="52">
        <v>894.1</v>
      </c>
      <c r="E17" s="29"/>
    </row>
    <row r="18" spans="1:5">
      <c r="A18" s="7">
        <f t="shared" si="0"/>
        <v>14</v>
      </c>
      <c r="B18" s="29" t="s">
        <v>298</v>
      </c>
      <c r="C18" s="7"/>
      <c r="D18" s="52">
        <v>541.14</v>
      </c>
      <c r="E18" s="29"/>
    </row>
    <row r="19" spans="1:5">
      <c r="A19" s="7">
        <f t="shared" si="0"/>
        <v>15</v>
      </c>
      <c r="B19" s="61" t="s">
        <v>228</v>
      </c>
      <c r="C19" s="62"/>
      <c r="D19" s="52">
        <v>1020.08</v>
      </c>
      <c r="E19" s="29"/>
    </row>
    <row r="20" spans="1:5">
      <c r="A20" s="7">
        <f t="shared" si="0"/>
        <v>16</v>
      </c>
      <c r="B20" s="61" t="s">
        <v>229</v>
      </c>
      <c r="C20" s="62"/>
      <c r="D20" s="52">
        <v>1372.29</v>
      </c>
      <c r="E20" s="29"/>
    </row>
    <row r="21" spans="1:5">
      <c r="A21" s="7">
        <f t="shared" si="0"/>
        <v>17</v>
      </c>
      <c r="B21" s="29" t="s">
        <v>235</v>
      </c>
      <c r="C21" s="7"/>
      <c r="D21" s="52">
        <v>853.11</v>
      </c>
      <c r="E21" s="29"/>
    </row>
    <row r="22" spans="1:5">
      <c r="A22" s="7">
        <f t="shared" si="0"/>
        <v>18</v>
      </c>
      <c r="B22" s="37" t="s">
        <v>63</v>
      </c>
      <c r="C22" s="58">
        <v>2</v>
      </c>
      <c r="D22" s="52">
        <v>1485.83</v>
      </c>
      <c r="E22" s="29"/>
    </row>
    <row r="23" spans="1:5">
      <c r="A23" s="7">
        <f t="shared" si="0"/>
        <v>19</v>
      </c>
      <c r="B23" s="37" t="s">
        <v>168</v>
      </c>
      <c r="C23" s="58"/>
      <c r="D23" s="52">
        <v>1314.21</v>
      </c>
      <c r="E23" s="29"/>
    </row>
    <row r="24" spans="1:5">
      <c r="A24" s="7">
        <f t="shared" si="0"/>
        <v>20</v>
      </c>
      <c r="B24" s="37" t="s">
        <v>88</v>
      </c>
      <c r="C24" s="58"/>
      <c r="D24" s="52">
        <v>1241.48</v>
      </c>
      <c r="E24" s="29"/>
    </row>
    <row r="25" spans="1:5">
      <c r="A25" s="7">
        <f t="shared" si="0"/>
        <v>21</v>
      </c>
      <c r="B25" s="55" t="s">
        <v>232</v>
      </c>
      <c r="C25" s="7"/>
      <c r="D25" s="52">
        <v>714.97</v>
      </c>
      <c r="E25" s="29"/>
    </row>
    <row r="26" spans="1:5">
      <c r="A26" s="7">
        <f t="shared" si="0"/>
        <v>22</v>
      </c>
      <c r="B26" s="29" t="s">
        <v>270</v>
      </c>
      <c r="C26" s="7">
        <v>1</v>
      </c>
      <c r="D26" s="52">
        <v>911.94</v>
      </c>
      <c r="E26" s="29"/>
    </row>
    <row r="27" spans="1:5">
      <c r="A27" s="7">
        <f t="shared" si="0"/>
        <v>23</v>
      </c>
      <c r="B27" s="29" t="s">
        <v>239</v>
      </c>
      <c r="C27" s="7"/>
      <c r="D27" s="52">
        <v>530.16999999999996</v>
      </c>
      <c r="E27" s="29"/>
    </row>
    <row r="28" spans="1:5">
      <c r="A28" s="7">
        <f t="shared" si="0"/>
        <v>24</v>
      </c>
      <c r="B28" s="37" t="s">
        <v>133</v>
      </c>
      <c r="C28" s="58"/>
      <c r="D28" s="52">
        <v>976.62</v>
      </c>
      <c r="E28" s="29"/>
    </row>
    <row r="29" spans="1:5">
      <c r="A29" s="7">
        <f t="shared" si="0"/>
        <v>25</v>
      </c>
      <c r="B29" s="37" t="s">
        <v>290</v>
      </c>
      <c r="C29" s="58"/>
      <c r="D29" s="52">
        <v>555.32000000000005</v>
      </c>
      <c r="E29" s="29"/>
    </row>
    <row r="30" spans="1:5">
      <c r="A30" s="7">
        <f t="shared" si="0"/>
        <v>26</v>
      </c>
      <c r="B30" s="37" t="s">
        <v>271</v>
      </c>
      <c r="C30" s="58">
        <v>1</v>
      </c>
      <c r="D30" s="52">
        <v>948.53</v>
      </c>
      <c r="E30" s="29"/>
    </row>
    <row r="31" spans="1:5">
      <c r="A31" s="7">
        <f t="shared" si="0"/>
        <v>27</v>
      </c>
      <c r="B31" s="37" t="s">
        <v>294</v>
      </c>
      <c r="C31" s="58"/>
      <c r="D31" s="52">
        <v>457.43</v>
      </c>
      <c r="E31" s="29"/>
    </row>
    <row r="32" spans="1:5">
      <c r="A32" s="7">
        <f t="shared" si="0"/>
        <v>28</v>
      </c>
      <c r="B32" s="37" t="s">
        <v>287</v>
      </c>
      <c r="C32" s="58"/>
      <c r="D32" s="52">
        <v>1314.21</v>
      </c>
      <c r="E32" s="29"/>
    </row>
    <row r="33" spans="1:5">
      <c r="A33" s="7">
        <f t="shared" si="0"/>
        <v>29</v>
      </c>
      <c r="B33" s="29" t="s">
        <v>219</v>
      </c>
      <c r="C33" s="7"/>
      <c r="D33" s="52">
        <v>457.43</v>
      </c>
      <c r="E33" s="29"/>
    </row>
    <row r="34" spans="1:5">
      <c r="A34" s="7">
        <f t="shared" si="0"/>
        <v>30</v>
      </c>
      <c r="B34" s="29" t="s">
        <v>368</v>
      </c>
      <c r="C34" s="7"/>
      <c r="D34" s="52">
        <v>558.98</v>
      </c>
      <c r="E34" s="29"/>
    </row>
    <row r="35" spans="1:5">
      <c r="A35" s="7">
        <f t="shared" si="0"/>
        <v>31</v>
      </c>
      <c r="B35" s="29" t="s">
        <v>325</v>
      </c>
      <c r="C35" s="7"/>
      <c r="D35" s="52">
        <v>548.01</v>
      </c>
      <c r="E35" s="29"/>
    </row>
    <row r="36" spans="1:5">
      <c r="A36" s="7">
        <f t="shared" si="0"/>
        <v>32</v>
      </c>
      <c r="B36" s="37" t="s">
        <v>233</v>
      </c>
      <c r="C36" s="58"/>
      <c r="D36" s="52">
        <v>1372.29</v>
      </c>
      <c r="E36" s="29"/>
    </row>
    <row r="37" spans="1:5">
      <c r="A37" s="7">
        <f t="shared" si="0"/>
        <v>33</v>
      </c>
      <c r="B37" s="37" t="s">
        <v>301</v>
      </c>
      <c r="C37" s="58"/>
      <c r="D37" s="52">
        <v>976.62</v>
      </c>
      <c r="E37" s="29"/>
    </row>
    <row r="38" spans="1:5">
      <c r="A38" s="7">
        <f t="shared" si="0"/>
        <v>34</v>
      </c>
      <c r="B38" s="37" t="s">
        <v>214</v>
      </c>
      <c r="C38" s="58">
        <v>1</v>
      </c>
      <c r="D38" s="52">
        <v>1584.36</v>
      </c>
      <c r="E38" s="29"/>
    </row>
    <row r="39" spans="1:5">
      <c r="A39" s="7">
        <f t="shared" si="0"/>
        <v>35</v>
      </c>
      <c r="B39" s="37" t="s">
        <v>284</v>
      </c>
      <c r="C39" s="58">
        <v>1</v>
      </c>
      <c r="D39" s="52">
        <v>1477.51</v>
      </c>
      <c r="E39" s="29"/>
    </row>
    <row r="40" spans="1:5">
      <c r="A40" s="7">
        <f t="shared" si="0"/>
        <v>36</v>
      </c>
      <c r="B40" s="29" t="s">
        <v>272</v>
      </c>
      <c r="C40" s="7"/>
      <c r="D40" s="52">
        <v>1285.3900000000001</v>
      </c>
      <c r="E40" s="29"/>
    </row>
    <row r="41" spans="1:5">
      <c r="A41" s="7">
        <f t="shared" si="0"/>
        <v>37</v>
      </c>
      <c r="B41" s="37" t="s">
        <v>90</v>
      </c>
      <c r="C41" s="58">
        <v>2</v>
      </c>
      <c r="D41" s="52">
        <v>1477.51</v>
      </c>
      <c r="E41" s="29"/>
    </row>
    <row r="42" spans="1:5">
      <c r="A42" s="7">
        <f t="shared" si="0"/>
        <v>38</v>
      </c>
      <c r="B42" s="37" t="s">
        <v>134</v>
      </c>
      <c r="C42" s="58"/>
      <c r="D42" s="52">
        <v>541.14</v>
      </c>
      <c r="E42" s="29"/>
    </row>
    <row r="43" spans="1:5">
      <c r="A43" s="7">
        <f t="shared" si="0"/>
        <v>39</v>
      </c>
      <c r="B43" s="37" t="s">
        <v>273</v>
      </c>
      <c r="C43" s="58"/>
      <c r="D43" s="52">
        <v>747.9</v>
      </c>
      <c r="E43" s="29"/>
    </row>
    <row r="44" spans="1:5">
      <c r="A44" s="7">
        <f t="shared" si="0"/>
        <v>40</v>
      </c>
      <c r="B44" s="29" t="s">
        <v>41</v>
      </c>
      <c r="C44" s="58"/>
      <c r="D44" s="52">
        <v>1372.29</v>
      </c>
      <c r="E44" s="29"/>
    </row>
    <row r="45" spans="1:5">
      <c r="A45" s="7">
        <f t="shared" si="0"/>
        <v>41</v>
      </c>
      <c r="B45" s="29" t="s">
        <v>288</v>
      </c>
      <c r="C45" s="58"/>
      <c r="D45" s="52">
        <v>933.17</v>
      </c>
      <c r="E45" s="29"/>
    </row>
    <row r="46" spans="1:5">
      <c r="A46" s="7">
        <f t="shared" si="0"/>
        <v>42</v>
      </c>
      <c r="B46" s="29" t="s">
        <v>238</v>
      </c>
      <c r="C46" s="58"/>
      <c r="D46" s="52">
        <v>1372.29</v>
      </c>
      <c r="E46" s="29"/>
    </row>
    <row r="47" spans="1:5">
      <c r="A47" s="7">
        <f t="shared" si="0"/>
        <v>43</v>
      </c>
      <c r="B47" s="37" t="s">
        <v>150</v>
      </c>
      <c r="C47" s="58"/>
      <c r="D47" s="52">
        <v>639.04</v>
      </c>
      <c r="E47" s="29"/>
    </row>
    <row r="48" spans="1:5">
      <c r="A48" s="7">
        <f t="shared" si="0"/>
        <v>44</v>
      </c>
      <c r="B48" s="29" t="s">
        <v>33</v>
      </c>
      <c r="C48" s="58">
        <v>1</v>
      </c>
      <c r="D48" s="52">
        <v>1104.24</v>
      </c>
      <c r="E48" s="29"/>
    </row>
    <row r="49" spans="1:8">
      <c r="A49" s="7">
        <f t="shared" si="0"/>
        <v>45</v>
      </c>
      <c r="B49" s="37" t="s">
        <v>34</v>
      </c>
      <c r="C49" s="58">
        <v>1</v>
      </c>
      <c r="D49" s="54">
        <v>1350.34</v>
      </c>
      <c r="E49" s="29"/>
    </row>
    <row r="50" spans="1:8">
      <c r="A50" s="7">
        <f t="shared" si="0"/>
        <v>46</v>
      </c>
      <c r="B50" s="29" t="s">
        <v>91</v>
      </c>
      <c r="C50" s="7"/>
      <c r="D50" s="54">
        <v>555.32000000000005</v>
      </c>
      <c r="E50" s="29"/>
    </row>
    <row r="51" spans="1:8">
      <c r="A51" s="7">
        <f t="shared" si="0"/>
        <v>47</v>
      </c>
      <c r="B51" s="37" t="s">
        <v>333</v>
      </c>
      <c r="C51" s="7"/>
      <c r="D51" s="52">
        <v>530.16999999999996</v>
      </c>
      <c r="E51" s="29"/>
    </row>
    <row r="52" spans="1:8">
      <c r="A52" s="7">
        <f t="shared" si="0"/>
        <v>48</v>
      </c>
      <c r="B52" s="37" t="s">
        <v>350</v>
      </c>
      <c r="C52" s="7"/>
      <c r="D52" s="52">
        <v>511.87</v>
      </c>
      <c r="E52" s="29"/>
    </row>
    <row r="53" spans="1:8">
      <c r="C53" s="105" t="s">
        <v>313</v>
      </c>
      <c r="D53" s="116">
        <f>SUM(D5:D52)</f>
        <v>47548.389999999992</v>
      </c>
    </row>
    <row r="54" spans="1:8">
      <c r="A54" s="101" t="s">
        <v>289</v>
      </c>
      <c r="B54" s="29" t="s">
        <v>254</v>
      </c>
      <c r="C54" s="7"/>
      <c r="D54" s="52">
        <v>497.23</v>
      </c>
      <c r="E54" s="29"/>
    </row>
    <row r="55" spans="1:8">
      <c r="A55" s="106" t="s">
        <v>289</v>
      </c>
      <c r="B55" s="107" t="s">
        <v>268</v>
      </c>
      <c r="C55" s="108"/>
      <c r="D55" s="127">
        <v>541.14</v>
      </c>
      <c r="E55" s="110"/>
    </row>
    <row r="56" spans="1:8">
      <c r="A56" s="113"/>
      <c r="B56" s="102"/>
      <c r="C56" s="115" t="s">
        <v>323</v>
      </c>
      <c r="D56" s="117">
        <f>SUM(D54:D55)</f>
        <v>1038.3699999999999</v>
      </c>
      <c r="E56" s="114"/>
      <c r="G56" s="15"/>
      <c r="H56" s="15"/>
    </row>
    <row r="57" spans="1:8">
      <c r="A57" s="458" t="s">
        <v>315</v>
      </c>
      <c r="B57" s="459"/>
      <c r="C57" s="460"/>
      <c r="D57" s="111">
        <f>D53+D56</f>
        <v>48586.759999999995</v>
      </c>
      <c r="E57" s="112"/>
    </row>
    <row r="58" spans="1:8">
      <c r="A58" s="431" t="s">
        <v>258</v>
      </c>
      <c r="B58" s="432"/>
      <c r="C58" s="7">
        <f>COUNTA(B5:B56)</f>
        <v>50</v>
      </c>
      <c r="D58" s="52"/>
      <c r="E58" s="29"/>
    </row>
    <row r="59" spans="1:8">
      <c r="A59" s="431" t="s">
        <v>242</v>
      </c>
      <c r="B59" s="432"/>
      <c r="C59" s="58">
        <v>17</v>
      </c>
      <c r="D59" s="52"/>
      <c r="E59" s="29"/>
    </row>
    <row r="60" spans="1:8">
      <c r="A60" s="433" t="s">
        <v>246</v>
      </c>
      <c r="B60" s="434"/>
      <c r="C60" s="86">
        <f>C58+C59</f>
        <v>67</v>
      </c>
      <c r="D60" s="52"/>
      <c r="E60" s="29"/>
    </row>
    <row r="61" spans="1:8">
      <c r="A61" s="425" t="s">
        <v>257</v>
      </c>
      <c r="B61" s="426"/>
      <c r="C61" s="427"/>
      <c r="D61" s="77"/>
      <c r="E61" s="75"/>
      <c r="G61" s="15"/>
    </row>
    <row r="62" spans="1:8" ht="27" customHeight="1">
      <c r="A62" s="91"/>
      <c r="B62" s="37" t="s">
        <v>12</v>
      </c>
      <c r="C62" s="104"/>
      <c r="D62" s="135">
        <v>-976.62</v>
      </c>
      <c r="E62" s="137" t="s">
        <v>377</v>
      </c>
    </row>
    <row r="63" spans="1:8" ht="27" customHeight="1">
      <c r="A63" s="91"/>
      <c r="B63" s="37" t="s">
        <v>231</v>
      </c>
      <c r="C63" s="104"/>
      <c r="D63" s="135">
        <v>-1212.01</v>
      </c>
      <c r="E63" s="137" t="s">
        <v>376</v>
      </c>
    </row>
    <row r="64" spans="1:8" ht="27" customHeight="1">
      <c r="A64" s="91"/>
      <c r="B64" s="37" t="s">
        <v>336</v>
      </c>
      <c r="C64" s="104"/>
      <c r="D64" s="135">
        <v>-919.25</v>
      </c>
      <c r="E64" s="137" t="s">
        <v>378</v>
      </c>
    </row>
    <row r="65" spans="1:5" ht="27" customHeight="1">
      <c r="A65" s="91"/>
      <c r="B65" s="37"/>
      <c r="C65" s="104"/>
      <c r="D65" s="135"/>
      <c r="E65" s="137"/>
    </row>
    <row r="66" spans="1:5">
      <c r="A66" s="91"/>
      <c r="B66" s="37"/>
      <c r="C66" s="104"/>
      <c r="D66" s="94"/>
      <c r="E66" s="137"/>
    </row>
    <row r="67" spans="1:5">
      <c r="A67" s="428" t="s">
        <v>265</v>
      </c>
      <c r="B67" s="429"/>
      <c r="C67" s="430"/>
      <c r="D67" s="83">
        <f>SUM(D62:D66)</f>
        <v>-3107.88</v>
      </c>
      <c r="E67" s="75"/>
    </row>
    <row r="68" spans="1:5">
      <c r="A68" s="422" t="s">
        <v>37</v>
      </c>
      <c r="B68" s="423"/>
      <c r="C68" s="424"/>
      <c r="D68" s="80">
        <f>D57+D67</f>
        <v>45478.879999999997</v>
      </c>
      <c r="E68" s="84"/>
    </row>
    <row r="69" spans="1:5" ht="18">
      <c r="D69" s="72" t="s">
        <v>250</v>
      </c>
      <c r="E69" s="118">
        <v>44223</v>
      </c>
    </row>
    <row r="70" spans="1:5" ht="18">
      <c r="D70" s="73" t="s">
        <v>251</v>
      </c>
      <c r="E70" s="119" t="s">
        <v>337</v>
      </c>
    </row>
  </sheetData>
  <mergeCells count="8">
    <mergeCell ref="A67:C67"/>
    <mergeCell ref="A68:C68"/>
    <mergeCell ref="D3:E3"/>
    <mergeCell ref="A57:C57"/>
    <mergeCell ref="A58:B58"/>
    <mergeCell ref="A59:B59"/>
    <mergeCell ref="A60:B60"/>
    <mergeCell ref="A61:C61"/>
  </mergeCells>
  <conditionalFormatting sqref="B12">
    <cfRule type="duplicateValues" dxfId="478" priority="5"/>
    <cfRule type="duplicateValues" dxfId="477" priority="8"/>
    <cfRule type="duplicateValues" dxfId="476" priority="9"/>
  </conditionalFormatting>
  <conditionalFormatting sqref="B25">
    <cfRule type="duplicateValues" dxfId="475" priority="23"/>
  </conditionalFormatting>
  <conditionalFormatting sqref="B54:B56 B5:B11 B13:B52">
    <cfRule type="duplicateValues" dxfId="474" priority="25"/>
  </conditionalFormatting>
  <conditionalFormatting sqref="B62:B65">
    <cfRule type="duplicateValues" dxfId="473" priority="26"/>
  </conditionalFormatting>
  <conditionalFormatting sqref="B66">
    <cfRule type="duplicateValues" dxfId="472" priority="2"/>
    <cfRule type="duplicateValues" dxfId="471" priority="3"/>
    <cfRule type="duplicateValues" dxfId="470" priority="4"/>
  </conditionalFormatting>
  <conditionalFormatting sqref="B67:B70 B54:B61 B1:B11 B13:B52">
    <cfRule type="duplicateValues" dxfId="469" priority="24"/>
  </conditionalFormatting>
  <conditionalFormatting sqref="B67:B1048576 B13:B61 B1:B11">
    <cfRule type="duplicateValues" dxfId="468" priority="10"/>
  </conditionalFormatting>
  <conditionalFormatting sqref="B71:B1048576">
    <cfRule type="duplicateValues" dxfId="467" priority="22"/>
  </conditionalFormatting>
  <conditionalFormatting sqref="B15:C15">
    <cfRule type="duplicateValues" dxfId="466" priority="19"/>
    <cfRule type="duplicateValues" dxfId="465" priority="20"/>
    <cfRule type="duplicateValues" dxfId="464" priority="21"/>
  </conditionalFormatting>
  <conditionalFormatting sqref="B19:C19">
    <cfRule type="duplicateValues" dxfId="463" priority="16"/>
    <cfRule type="duplicateValues" dxfId="462" priority="17"/>
    <cfRule type="duplicateValues" dxfId="461" priority="18"/>
  </conditionalFormatting>
  <conditionalFormatting sqref="B20:C20">
    <cfRule type="duplicateValues" dxfId="460" priority="13"/>
    <cfRule type="duplicateValues" dxfId="459" priority="14"/>
    <cfRule type="duplicateValues" dxfId="458" priority="15"/>
  </conditionalFormatting>
  <conditionalFormatting sqref="C5:C52">
    <cfRule type="notContainsBlanks" dxfId="457" priority="7">
      <formula>LEN(TRIM(C5))&gt;0</formula>
    </cfRule>
  </conditionalFormatting>
  <conditionalFormatting sqref="C54:C55">
    <cfRule type="notContainsBlanks" dxfId="456" priority="12">
      <formula>LEN(TRIM(C54))&gt;0</formula>
    </cfRule>
  </conditionalFormatting>
  <conditionalFormatting sqref="E5:E52">
    <cfRule type="notContainsBlanks" dxfId="455" priority="6">
      <formula>LEN(TRIM(E5))&gt;0</formula>
    </cfRule>
  </conditionalFormatting>
  <conditionalFormatting sqref="E54:E68">
    <cfRule type="notContainsBlanks" dxfId="454" priority="1">
      <formula>LEN(TRIM(E54))&gt;0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5C91-2446-F548-B917-66AC6B387308}">
  <sheetPr>
    <tabColor theme="8"/>
    <pageSetUpPr fitToPage="1"/>
  </sheetPr>
  <dimension ref="A1:H72"/>
  <sheetViews>
    <sheetView topLeftCell="A46" zoomScale="150" zoomScaleNormal="150" zoomScalePageLayoutView="140" workbookViewId="0">
      <selection activeCell="D2" sqref="D2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364</v>
      </c>
      <c r="E2" s="123">
        <v>43831</v>
      </c>
    </row>
    <row r="3" spans="1:5" ht="14" customHeight="1">
      <c r="D3" s="462" t="s">
        <v>358</v>
      </c>
      <c r="E3" s="462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620.74</v>
      </c>
      <c r="E5" s="29"/>
    </row>
    <row r="6" spans="1:5">
      <c r="A6" s="7">
        <v>2</v>
      </c>
      <c r="B6" s="29" t="s">
        <v>62</v>
      </c>
      <c r="C6" s="7"/>
      <c r="D6" s="52">
        <v>1114.77</v>
      </c>
      <c r="E6" s="29"/>
    </row>
    <row r="7" spans="1:5">
      <c r="A7" s="7">
        <f t="shared" ref="A7:A54" si="0">A6+1</f>
        <v>3</v>
      </c>
      <c r="B7" s="37" t="s">
        <v>202</v>
      </c>
      <c r="C7" s="58"/>
      <c r="D7" s="52">
        <v>562.64</v>
      </c>
      <c r="E7" s="29"/>
    </row>
    <row r="8" spans="1:5">
      <c r="A8" s="7">
        <f t="shared" si="0"/>
        <v>4</v>
      </c>
      <c r="B8" s="29" t="s">
        <v>12</v>
      </c>
      <c r="C8" s="7">
        <v>2</v>
      </c>
      <c r="D8" s="52">
        <v>2599.59</v>
      </c>
      <c r="E8" s="29"/>
    </row>
    <row r="9" spans="1:5" s="133" customFormat="1">
      <c r="A9" s="130">
        <v>5</v>
      </c>
      <c r="B9" s="131" t="s">
        <v>365</v>
      </c>
      <c r="C9" s="130"/>
      <c r="D9" s="132">
        <v>566.29999999999995</v>
      </c>
      <c r="E9" s="131" t="s">
        <v>366</v>
      </c>
    </row>
    <row r="10" spans="1:5">
      <c r="A10" s="7">
        <v>6</v>
      </c>
      <c r="B10" s="37" t="s">
        <v>48</v>
      </c>
      <c r="C10" s="58">
        <v>1</v>
      </c>
      <c r="D10" s="52">
        <v>905.07</v>
      </c>
      <c r="E10" s="29"/>
    </row>
    <row r="11" spans="1:5">
      <c r="A11" s="7">
        <v>7</v>
      </c>
      <c r="B11" s="37" t="s">
        <v>236</v>
      </c>
      <c r="C11" s="58">
        <v>3</v>
      </c>
      <c r="D11" s="52">
        <v>2120.19</v>
      </c>
      <c r="E11" s="29"/>
    </row>
    <row r="12" spans="1:5">
      <c r="A12" s="7">
        <v>8</v>
      </c>
      <c r="B12" s="37" t="s">
        <v>316</v>
      </c>
      <c r="C12" s="58"/>
      <c r="D12" s="52">
        <v>933.17</v>
      </c>
      <c r="E12" s="29"/>
    </row>
    <row r="13" spans="1:5">
      <c r="A13" s="7">
        <f>A12+1</f>
        <v>9</v>
      </c>
      <c r="B13" s="37" t="s">
        <v>297</v>
      </c>
      <c r="C13" s="58"/>
      <c r="D13" s="52">
        <v>468.41</v>
      </c>
      <c r="E13" s="29"/>
    </row>
    <row r="14" spans="1:5">
      <c r="A14" s="7">
        <f t="shared" si="0"/>
        <v>10</v>
      </c>
      <c r="B14" s="37" t="s">
        <v>291</v>
      </c>
      <c r="C14" s="58">
        <v>1</v>
      </c>
      <c r="D14" s="52">
        <v>1420.33</v>
      </c>
      <c r="E14" s="29"/>
    </row>
    <row r="15" spans="1:5">
      <c r="A15" s="7">
        <f t="shared" si="0"/>
        <v>11</v>
      </c>
      <c r="B15" s="61" t="s">
        <v>230</v>
      </c>
      <c r="C15" s="62"/>
      <c r="D15" s="52">
        <v>1372.29</v>
      </c>
      <c r="E15" s="29"/>
    </row>
    <row r="16" spans="1:5">
      <c r="A16" s="7">
        <f t="shared" si="0"/>
        <v>12</v>
      </c>
      <c r="B16" s="29" t="s">
        <v>234</v>
      </c>
      <c r="C16" s="7"/>
      <c r="D16" s="52">
        <v>1314.21</v>
      </c>
      <c r="E16" s="29"/>
    </row>
    <row r="17" spans="1:5">
      <c r="A17" s="7">
        <f t="shared" si="0"/>
        <v>13</v>
      </c>
      <c r="B17" s="29" t="s">
        <v>237</v>
      </c>
      <c r="C17" s="7">
        <v>1</v>
      </c>
      <c r="D17" s="52">
        <v>894.1</v>
      </c>
      <c r="E17" s="29"/>
    </row>
    <row r="18" spans="1:5">
      <c r="A18" s="7">
        <f t="shared" si="0"/>
        <v>14</v>
      </c>
      <c r="B18" s="29" t="s">
        <v>298</v>
      </c>
      <c r="C18" s="7"/>
      <c r="D18" s="52">
        <v>541.14</v>
      </c>
      <c r="E18" s="29"/>
    </row>
    <row r="19" spans="1:5">
      <c r="A19" s="7">
        <f t="shared" si="0"/>
        <v>15</v>
      </c>
      <c r="B19" s="29" t="s">
        <v>336</v>
      </c>
      <c r="C19" s="7">
        <v>1</v>
      </c>
      <c r="D19" s="52">
        <v>919.25</v>
      </c>
      <c r="E19" s="29"/>
    </row>
    <row r="20" spans="1:5">
      <c r="A20" s="7">
        <f t="shared" si="0"/>
        <v>16</v>
      </c>
      <c r="B20" s="61" t="s">
        <v>228</v>
      </c>
      <c r="C20" s="62"/>
      <c r="D20" s="52">
        <v>1020.08</v>
      </c>
      <c r="E20" s="29"/>
    </row>
    <row r="21" spans="1:5">
      <c r="A21" s="7">
        <f t="shared" si="0"/>
        <v>17</v>
      </c>
      <c r="B21" s="61" t="s">
        <v>229</v>
      </c>
      <c r="C21" s="62"/>
      <c r="D21" s="52">
        <v>1372.29</v>
      </c>
      <c r="E21" s="29"/>
    </row>
    <row r="22" spans="1:5">
      <c r="A22" s="7">
        <f t="shared" si="0"/>
        <v>18</v>
      </c>
      <c r="B22" s="29" t="s">
        <v>235</v>
      </c>
      <c r="C22" s="7"/>
      <c r="D22" s="52">
        <v>853.11</v>
      </c>
      <c r="E22" s="29"/>
    </row>
    <row r="23" spans="1:5">
      <c r="A23" s="7">
        <f t="shared" si="0"/>
        <v>19</v>
      </c>
      <c r="B23" s="37" t="s">
        <v>63</v>
      </c>
      <c r="C23" s="58">
        <v>2</v>
      </c>
      <c r="D23" s="52">
        <v>1485.83</v>
      </c>
      <c r="E23" s="29"/>
    </row>
    <row r="24" spans="1:5">
      <c r="A24" s="7">
        <f t="shared" si="0"/>
        <v>20</v>
      </c>
      <c r="B24" s="37" t="s">
        <v>168</v>
      </c>
      <c r="C24" s="58"/>
      <c r="D24" s="52">
        <v>1314.21</v>
      </c>
      <c r="E24" s="29"/>
    </row>
    <row r="25" spans="1:5">
      <c r="A25" s="7">
        <f t="shared" si="0"/>
        <v>21</v>
      </c>
      <c r="B25" s="37" t="s">
        <v>88</v>
      </c>
      <c r="C25" s="58"/>
      <c r="D25" s="52">
        <v>1241.48</v>
      </c>
      <c r="E25" s="29"/>
    </row>
    <row r="26" spans="1:5">
      <c r="A26" s="7">
        <f t="shared" si="0"/>
        <v>22</v>
      </c>
      <c r="B26" s="55" t="s">
        <v>232</v>
      </c>
      <c r="C26" s="7"/>
      <c r="D26" s="52">
        <v>714.97</v>
      </c>
      <c r="E26" s="29"/>
    </row>
    <row r="27" spans="1:5" s="133" customFormat="1">
      <c r="A27" s="130">
        <f t="shared" si="0"/>
        <v>23</v>
      </c>
      <c r="B27" s="134" t="s">
        <v>231</v>
      </c>
      <c r="C27" s="136">
        <v>1</v>
      </c>
      <c r="D27" s="132">
        <v>0</v>
      </c>
      <c r="E27" s="131" t="s">
        <v>367</v>
      </c>
    </row>
    <row r="28" spans="1:5">
      <c r="A28" s="7">
        <f t="shared" si="0"/>
        <v>24</v>
      </c>
      <c r="B28" s="29" t="s">
        <v>270</v>
      </c>
      <c r="C28" s="7">
        <v>1</v>
      </c>
      <c r="D28" s="52">
        <v>911.94</v>
      </c>
      <c r="E28" s="29"/>
    </row>
    <row r="29" spans="1:5">
      <c r="A29" s="7">
        <f t="shared" si="0"/>
        <v>25</v>
      </c>
      <c r="B29" s="29" t="s">
        <v>239</v>
      </c>
      <c r="C29" s="7"/>
      <c r="D29" s="52">
        <v>530.16999999999996</v>
      </c>
      <c r="E29" s="29"/>
    </row>
    <row r="30" spans="1:5">
      <c r="A30" s="7">
        <f t="shared" si="0"/>
        <v>26</v>
      </c>
      <c r="B30" s="37" t="s">
        <v>133</v>
      </c>
      <c r="C30" s="58"/>
      <c r="D30" s="52">
        <v>976.62</v>
      </c>
      <c r="E30" s="29"/>
    </row>
    <row r="31" spans="1:5">
      <c r="A31" s="7">
        <f t="shared" si="0"/>
        <v>27</v>
      </c>
      <c r="B31" s="37" t="s">
        <v>290</v>
      </c>
      <c r="C31" s="58"/>
      <c r="D31" s="52">
        <v>555.32000000000005</v>
      </c>
      <c r="E31" s="29"/>
    </row>
    <row r="32" spans="1:5">
      <c r="A32" s="7">
        <f t="shared" si="0"/>
        <v>28</v>
      </c>
      <c r="B32" s="37" t="s">
        <v>271</v>
      </c>
      <c r="C32" s="58">
        <v>1</v>
      </c>
      <c r="D32" s="52">
        <v>948.53</v>
      </c>
      <c r="E32" s="29"/>
    </row>
    <row r="33" spans="1:5">
      <c r="A33" s="7">
        <f t="shared" si="0"/>
        <v>29</v>
      </c>
      <c r="B33" s="37" t="s">
        <v>294</v>
      </c>
      <c r="C33" s="58"/>
      <c r="D33" s="52">
        <v>457.43</v>
      </c>
      <c r="E33" s="29"/>
    </row>
    <row r="34" spans="1:5">
      <c r="A34" s="7">
        <f t="shared" si="0"/>
        <v>30</v>
      </c>
      <c r="B34" s="37" t="s">
        <v>287</v>
      </c>
      <c r="C34" s="58"/>
      <c r="D34" s="52">
        <v>1314.21</v>
      </c>
      <c r="E34" s="29"/>
    </row>
    <row r="35" spans="1:5">
      <c r="A35" s="7">
        <f t="shared" si="0"/>
        <v>31</v>
      </c>
      <c r="B35" s="29" t="s">
        <v>219</v>
      </c>
      <c r="C35" s="7"/>
      <c r="D35" s="52">
        <v>457.43</v>
      </c>
      <c r="E35" s="29"/>
    </row>
    <row r="36" spans="1:5">
      <c r="A36" s="7">
        <v>32</v>
      </c>
      <c r="B36" s="29" t="s">
        <v>368</v>
      </c>
      <c r="C36" s="7"/>
      <c r="D36" s="52">
        <v>558.98</v>
      </c>
      <c r="E36" s="29" t="s">
        <v>369</v>
      </c>
    </row>
    <row r="37" spans="1:5">
      <c r="A37" s="7">
        <v>33</v>
      </c>
      <c r="B37" s="29" t="s">
        <v>325</v>
      </c>
      <c r="C37" s="7"/>
      <c r="D37" s="52">
        <v>548.01</v>
      </c>
      <c r="E37" s="29"/>
    </row>
    <row r="38" spans="1:5">
      <c r="A38" s="7">
        <f t="shared" si="0"/>
        <v>34</v>
      </c>
      <c r="B38" s="37" t="s">
        <v>233</v>
      </c>
      <c r="C38" s="58"/>
      <c r="D38" s="52">
        <v>1372.29</v>
      </c>
      <c r="E38" s="29"/>
    </row>
    <row r="39" spans="1:5">
      <c r="A39" s="7">
        <f t="shared" si="0"/>
        <v>35</v>
      </c>
      <c r="B39" s="37" t="s">
        <v>301</v>
      </c>
      <c r="C39" s="58"/>
      <c r="D39" s="52">
        <v>976.62</v>
      </c>
      <c r="E39" s="29"/>
    </row>
    <row r="40" spans="1:5">
      <c r="A40" s="7">
        <f t="shared" si="0"/>
        <v>36</v>
      </c>
      <c r="B40" s="37" t="s">
        <v>214</v>
      </c>
      <c r="C40" s="58">
        <v>1</v>
      </c>
      <c r="D40" s="52">
        <v>1584.36</v>
      </c>
      <c r="E40" s="29"/>
    </row>
    <row r="41" spans="1:5">
      <c r="A41" s="7">
        <f t="shared" si="0"/>
        <v>37</v>
      </c>
      <c r="B41" s="37" t="s">
        <v>284</v>
      </c>
      <c r="C41" s="58">
        <v>1</v>
      </c>
      <c r="D41" s="52">
        <v>1477.51</v>
      </c>
      <c r="E41" s="29"/>
    </row>
    <row r="42" spans="1:5">
      <c r="A42" s="7">
        <f t="shared" si="0"/>
        <v>38</v>
      </c>
      <c r="B42" s="29" t="s">
        <v>272</v>
      </c>
      <c r="C42" s="7"/>
      <c r="D42" s="52">
        <v>1285.3900000000001</v>
      </c>
      <c r="E42" s="29"/>
    </row>
    <row r="43" spans="1:5">
      <c r="A43" s="7">
        <f t="shared" si="0"/>
        <v>39</v>
      </c>
      <c r="B43" s="37" t="s">
        <v>90</v>
      </c>
      <c r="C43" s="58">
        <v>1</v>
      </c>
      <c r="D43" s="52">
        <v>1477.51</v>
      </c>
      <c r="E43" s="29" t="s">
        <v>371</v>
      </c>
    </row>
    <row r="44" spans="1:5">
      <c r="A44" s="7">
        <f t="shared" si="0"/>
        <v>40</v>
      </c>
      <c r="B44" s="37" t="s">
        <v>134</v>
      </c>
      <c r="C44" s="58"/>
      <c r="D44" s="52">
        <v>541.14</v>
      </c>
      <c r="E44" s="29"/>
    </row>
    <row r="45" spans="1:5">
      <c r="A45" s="7">
        <f t="shared" si="0"/>
        <v>41</v>
      </c>
      <c r="B45" s="37" t="s">
        <v>273</v>
      </c>
      <c r="C45" s="58"/>
      <c r="D45" s="52">
        <v>747.9</v>
      </c>
      <c r="E45" s="29"/>
    </row>
    <row r="46" spans="1:5">
      <c r="A46" s="7">
        <f t="shared" si="0"/>
        <v>42</v>
      </c>
      <c r="B46" s="29" t="s">
        <v>41</v>
      </c>
      <c r="C46" s="58"/>
      <c r="D46" s="52">
        <v>1372.29</v>
      </c>
      <c r="E46" s="29"/>
    </row>
    <row r="47" spans="1:5">
      <c r="A47" s="7">
        <f t="shared" si="0"/>
        <v>43</v>
      </c>
      <c r="B47" s="29" t="s">
        <v>288</v>
      </c>
      <c r="C47" s="58"/>
      <c r="D47" s="52">
        <v>933.17</v>
      </c>
      <c r="E47" s="29"/>
    </row>
    <row r="48" spans="1:5">
      <c r="A48" s="7">
        <f t="shared" si="0"/>
        <v>44</v>
      </c>
      <c r="B48" s="29" t="s">
        <v>238</v>
      </c>
      <c r="C48" s="58"/>
      <c r="D48" s="52">
        <v>1372.29</v>
      </c>
      <c r="E48" s="29"/>
    </row>
    <row r="49" spans="1:8">
      <c r="A49" s="7">
        <f t="shared" si="0"/>
        <v>45</v>
      </c>
      <c r="B49" s="37" t="s">
        <v>150</v>
      </c>
      <c r="C49" s="58"/>
      <c r="D49" s="52">
        <v>639.04</v>
      </c>
      <c r="E49" s="29"/>
    </row>
    <row r="50" spans="1:8">
      <c r="A50" s="7">
        <f t="shared" si="0"/>
        <v>46</v>
      </c>
      <c r="B50" s="29" t="s">
        <v>33</v>
      </c>
      <c r="C50" s="58">
        <v>1</v>
      </c>
      <c r="D50" s="52">
        <v>1104.24</v>
      </c>
      <c r="E50" s="29"/>
    </row>
    <row r="51" spans="1:8">
      <c r="A51" s="7">
        <f t="shared" si="0"/>
        <v>47</v>
      </c>
      <c r="B51" s="37" t="s">
        <v>34</v>
      </c>
      <c r="C51" s="58">
        <v>1</v>
      </c>
      <c r="D51" s="54">
        <v>1350.34</v>
      </c>
      <c r="E51" s="29"/>
    </row>
    <row r="52" spans="1:8">
      <c r="A52" s="7">
        <f t="shared" si="0"/>
        <v>48</v>
      </c>
      <c r="B52" s="29" t="s">
        <v>91</v>
      </c>
      <c r="C52" s="7"/>
      <c r="D52" s="54">
        <v>555.32000000000005</v>
      </c>
      <c r="E52" s="29"/>
    </row>
    <row r="53" spans="1:8">
      <c r="A53" s="7">
        <f t="shared" si="0"/>
        <v>49</v>
      </c>
      <c r="B53" s="37" t="s">
        <v>333</v>
      </c>
      <c r="C53" s="7"/>
      <c r="D53" s="52">
        <v>530.16999999999996</v>
      </c>
      <c r="E53" s="29"/>
    </row>
    <row r="54" spans="1:8">
      <c r="A54" s="7">
        <f t="shared" si="0"/>
        <v>50</v>
      </c>
      <c r="B54" s="37" t="s">
        <v>350</v>
      </c>
      <c r="C54" s="7"/>
      <c r="D54" s="52">
        <v>511.87</v>
      </c>
      <c r="E54" s="29"/>
    </row>
    <row r="55" spans="1:8">
      <c r="C55" s="105" t="s">
        <v>313</v>
      </c>
      <c r="D55" s="116">
        <f>SUM(D5:D54)</f>
        <v>49444.259999999995</v>
      </c>
    </row>
    <row r="56" spans="1:8">
      <c r="A56" s="101" t="s">
        <v>289</v>
      </c>
      <c r="B56" s="29" t="s">
        <v>254</v>
      </c>
      <c r="C56" s="7"/>
      <c r="D56" s="52">
        <v>497.23</v>
      </c>
      <c r="E56" s="29"/>
    </row>
    <row r="57" spans="1:8">
      <c r="A57" s="106" t="s">
        <v>289</v>
      </c>
      <c r="B57" s="107" t="s">
        <v>268</v>
      </c>
      <c r="C57" s="108"/>
      <c r="D57" s="127">
        <v>541.14</v>
      </c>
      <c r="E57" s="110"/>
    </row>
    <row r="58" spans="1:8">
      <c r="A58" s="113"/>
      <c r="B58" s="102"/>
      <c r="C58" s="115" t="s">
        <v>323</v>
      </c>
      <c r="D58" s="117">
        <f>SUM(D56:D57)</f>
        <v>1038.3699999999999</v>
      </c>
      <c r="E58" s="114"/>
      <c r="G58" s="15"/>
      <c r="H58" s="15"/>
    </row>
    <row r="59" spans="1:8">
      <c r="A59" s="458" t="s">
        <v>315</v>
      </c>
      <c r="B59" s="459"/>
      <c r="C59" s="460"/>
      <c r="D59" s="111">
        <f>D55+D58</f>
        <v>50482.63</v>
      </c>
      <c r="E59" s="112"/>
    </row>
    <row r="60" spans="1:8">
      <c r="A60" s="431" t="s">
        <v>258</v>
      </c>
      <c r="B60" s="432"/>
      <c r="C60" s="7">
        <f>COUNTA(B5:B58)</f>
        <v>52</v>
      </c>
      <c r="D60" s="52"/>
      <c r="E60" s="29"/>
    </row>
    <row r="61" spans="1:8">
      <c r="A61" s="431" t="s">
        <v>242</v>
      </c>
      <c r="B61" s="432"/>
      <c r="C61" s="58">
        <v>18</v>
      </c>
      <c r="D61" s="52"/>
      <c r="E61" s="29"/>
    </row>
    <row r="62" spans="1:8">
      <c r="A62" s="433" t="s">
        <v>246</v>
      </c>
      <c r="B62" s="434"/>
      <c r="C62" s="86">
        <f>C60+C61</f>
        <v>70</v>
      </c>
      <c r="D62" s="52"/>
      <c r="E62" s="29"/>
    </row>
    <row r="63" spans="1:8">
      <c r="A63" s="425" t="s">
        <v>257</v>
      </c>
      <c r="B63" s="426"/>
      <c r="C63" s="427"/>
      <c r="D63" s="77"/>
      <c r="E63" s="75"/>
      <c r="G63" s="15"/>
    </row>
    <row r="64" spans="1:8" ht="27" customHeight="1">
      <c r="A64" s="91"/>
      <c r="B64" s="37" t="s">
        <v>365</v>
      </c>
      <c r="C64" s="104"/>
      <c r="D64" s="135">
        <v>1132.5999999999999</v>
      </c>
      <c r="E64" s="137" t="s">
        <v>370</v>
      </c>
    </row>
    <row r="65" spans="1:5" ht="27" customHeight="1">
      <c r="A65" s="91"/>
      <c r="B65" s="37" t="s">
        <v>231</v>
      </c>
      <c r="C65" s="104"/>
      <c r="D65" s="135">
        <v>-1212.01</v>
      </c>
      <c r="E65" s="137" t="s">
        <v>372</v>
      </c>
    </row>
    <row r="66" spans="1:5" ht="27" customHeight="1">
      <c r="A66" s="91"/>
      <c r="B66" s="37" t="s">
        <v>368</v>
      </c>
      <c r="C66" s="104"/>
      <c r="D66" s="135">
        <v>1117.96</v>
      </c>
      <c r="E66" s="137" t="s">
        <v>370</v>
      </c>
    </row>
    <row r="67" spans="1:5" ht="27" customHeight="1">
      <c r="A67" s="91"/>
      <c r="B67" s="37" t="s">
        <v>90</v>
      </c>
      <c r="C67" s="104"/>
      <c r="D67" s="135">
        <v>914.86</v>
      </c>
      <c r="E67" s="137" t="s">
        <v>373</v>
      </c>
    </row>
    <row r="68" spans="1:5">
      <c r="A68" s="91"/>
      <c r="B68" s="37"/>
      <c r="C68" s="104"/>
      <c r="D68" s="94"/>
      <c r="E68" s="137"/>
    </row>
    <row r="69" spans="1:5">
      <c r="A69" s="428" t="s">
        <v>265</v>
      </c>
      <c r="B69" s="429"/>
      <c r="C69" s="430"/>
      <c r="D69" s="83">
        <f>SUM(D64:D68)</f>
        <v>1953.4099999999999</v>
      </c>
      <c r="E69" s="75"/>
    </row>
    <row r="70" spans="1:5">
      <c r="A70" s="422" t="s">
        <v>37</v>
      </c>
      <c r="B70" s="423"/>
      <c r="C70" s="424"/>
      <c r="D70" s="80">
        <f>D59+D69</f>
        <v>52436.039999999994</v>
      </c>
      <c r="E70" s="84"/>
    </row>
    <row r="71" spans="1:5" ht="18">
      <c r="D71" s="72" t="s">
        <v>250</v>
      </c>
      <c r="E71" s="118">
        <v>44193</v>
      </c>
    </row>
    <row r="72" spans="1:5" ht="18">
      <c r="D72" s="73" t="s">
        <v>251</v>
      </c>
      <c r="E72" s="119" t="s">
        <v>337</v>
      </c>
    </row>
  </sheetData>
  <mergeCells count="8">
    <mergeCell ref="A69:C69"/>
    <mergeCell ref="A70:C70"/>
    <mergeCell ref="D3:E3"/>
    <mergeCell ref="A59:C59"/>
    <mergeCell ref="A60:B60"/>
    <mergeCell ref="A61:B61"/>
    <mergeCell ref="A62:B62"/>
    <mergeCell ref="A63:C63"/>
  </mergeCells>
  <conditionalFormatting sqref="B12">
    <cfRule type="duplicateValues" dxfId="453" priority="5"/>
    <cfRule type="duplicateValues" dxfId="452" priority="8"/>
    <cfRule type="duplicateValues" dxfId="451" priority="9"/>
  </conditionalFormatting>
  <conditionalFormatting sqref="B26">
    <cfRule type="duplicateValues" dxfId="450" priority="23"/>
  </conditionalFormatting>
  <conditionalFormatting sqref="B56:B58 B5:B11 B13:B54">
    <cfRule type="duplicateValues" dxfId="449" priority="25"/>
  </conditionalFormatting>
  <conditionalFormatting sqref="B64:B67">
    <cfRule type="duplicateValues" dxfId="448" priority="26"/>
  </conditionalFormatting>
  <conditionalFormatting sqref="B68">
    <cfRule type="duplicateValues" dxfId="447" priority="2"/>
    <cfRule type="duplicateValues" dxfId="446" priority="3"/>
    <cfRule type="duplicateValues" dxfId="445" priority="4"/>
  </conditionalFormatting>
  <conditionalFormatting sqref="B69:B72 B56:B63 B1:B11 B13:B54">
    <cfRule type="duplicateValues" dxfId="444" priority="24"/>
  </conditionalFormatting>
  <conditionalFormatting sqref="B69:B1048576 B13:B63 B1:B11">
    <cfRule type="duplicateValues" dxfId="443" priority="10"/>
  </conditionalFormatting>
  <conditionalFormatting sqref="B73:B1048576">
    <cfRule type="duplicateValues" dxfId="442" priority="22"/>
  </conditionalFormatting>
  <conditionalFormatting sqref="B15:C15">
    <cfRule type="duplicateValues" dxfId="441" priority="19"/>
    <cfRule type="duplicateValues" dxfId="440" priority="20"/>
    <cfRule type="duplicateValues" dxfId="439" priority="21"/>
  </conditionalFormatting>
  <conditionalFormatting sqref="B20:C20">
    <cfRule type="duplicateValues" dxfId="438" priority="16"/>
    <cfRule type="duplicateValues" dxfId="437" priority="17"/>
    <cfRule type="duplicateValues" dxfId="436" priority="18"/>
  </conditionalFormatting>
  <conditionalFormatting sqref="B21:C21">
    <cfRule type="duplicateValues" dxfId="435" priority="13"/>
    <cfRule type="duplicateValues" dxfId="434" priority="14"/>
    <cfRule type="duplicateValues" dxfId="433" priority="15"/>
  </conditionalFormatting>
  <conditionalFormatting sqref="C5:C54">
    <cfRule type="notContainsBlanks" dxfId="432" priority="7">
      <formula>LEN(TRIM(C5))&gt;0</formula>
    </cfRule>
  </conditionalFormatting>
  <conditionalFormatting sqref="C56:C57">
    <cfRule type="notContainsBlanks" dxfId="431" priority="12">
      <formula>LEN(TRIM(C56))&gt;0</formula>
    </cfRule>
  </conditionalFormatting>
  <conditionalFormatting sqref="E5:E54">
    <cfRule type="notContainsBlanks" dxfId="430" priority="6">
      <formula>LEN(TRIM(E5))&gt;0</formula>
    </cfRule>
  </conditionalFormatting>
  <conditionalFormatting sqref="E56:E70">
    <cfRule type="notContainsBlanks" dxfId="429" priority="1">
      <formula>LEN(TRIM(E56))&gt;0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BAF6-2F96-2C4A-846B-B591DB455031}">
  <sheetPr>
    <tabColor theme="8"/>
    <pageSetUpPr fitToPage="1"/>
  </sheetPr>
  <dimension ref="A1:H70"/>
  <sheetViews>
    <sheetView topLeftCell="A56" zoomScale="150" zoomScaleNormal="150" zoomScalePageLayoutView="140" workbookViewId="0">
      <selection activeCell="D67" sqref="D67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362</v>
      </c>
      <c r="E2" s="123">
        <v>44166</v>
      </c>
    </row>
    <row r="3" spans="1:5" ht="14" customHeight="1">
      <c r="D3" s="462" t="s">
        <v>358</v>
      </c>
      <c r="E3" s="462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620.74</v>
      </c>
      <c r="E5" s="29"/>
    </row>
    <row r="6" spans="1:5">
      <c r="A6" s="7">
        <v>2</v>
      </c>
      <c r="B6" s="29" t="s">
        <v>62</v>
      </c>
      <c r="C6" s="7"/>
      <c r="D6" s="52">
        <v>1114.77</v>
      </c>
      <c r="E6" s="29"/>
    </row>
    <row r="7" spans="1:5">
      <c r="A7" s="7">
        <f t="shared" ref="A7:A52" si="0">A6+1</f>
        <v>3</v>
      </c>
      <c r="B7" s="37" t="s">
        <v>202</v>
      </c>
      <c r="C7" s="58"/>
      <c r="D7" s="52">
        <v>562.64</v>
      </c>
      <c r="E7" s="29"/>
    </row>
    <row r="8" spans="1:5">
      <c r="A8" s="7">
        <f t="shared" si="0"/>
        <v>4</v>
      </c>
      <c r="B8" s="29" t="s">
        <v>12</v>
      </c>
      <c r="C8" s="7">
        <v>2</v>
      </c>
      <c r="D8" s="52">
        <v>2599.59</v>
      </c>
      <c r="E8" s="29"/>
    </row>
    <row r="9" spans="1:5">
      <c r="A9" s="7">
        <f t="shared" si="0"/>
        <v>5</v>
      </c>
      <c r="B9" s="37" t="s">
        <v>48</v>
      </c>
      <c r="C9" s="58">
        <v>1</v>
      </c>
      <c r="D9" s="52">
        <v>905.07</v>
      </c>
      <c r="E9" s="29"/>
    </row>
    <row r="10" spans="1:5">
      <c r="A10" s="7">
        <v>6</v>
      </c>
      <c r="B10" s="37" t="s">
        <v>236</v>
      </c>
      <c r="C10" s="58">
        <v>3</v>
      </c>
      <c r="D10" s="52">
        <v>2120.19</v>
      </c>
      <c r="E10" s="29"/>
    </row>
    <row r="11" spans="1:5">
      <c r="A11" s="7">
        <v>7</v>
      </c>
      <c r="B11" s="37" t="s">
        <v>316</v>
      </c>
      <c r="C11" s="58"/>
      <c r="D11" s="52">
        <v>933.17</v>
      </c>
      <c r="E11" s="29"/>
    </row>
    <row r="12" spans="1:5">
      <c r="A12" s="7">
        <f>A11+1</f>
        <v>8</v>
      </c>
      <c r="B12" s="37" t="s">
        <v>297</v>
      </c>
      <c r="C12" s="58"/>
      <c r="D12" s="52">
        <v>468.41</v>
      </c>
      <c r="E12" s="29"/>
    </row>
    <row r="13" spans="1:5">
      <c r="A13" s="7">
        <f t="shared" si="0"/>
        <v>9</v>
      </c>
      <c r="B13" s="37" t="s">
        <v>291</v>
      </c>
      <c r="C13" s="58">
        <v>1</v>
      </c>
      <c r="D13" s="52">
        <v>1420.33</v>
      </c>
      <c r="E13" s="29"/>
    </row>
    <row r="14" spans="1:5">
      <c r="A14" s="7">
        <f t="shared" si="0"/>
        <v>10</v>
      </c>
      <c r="B14" s="61" t="s">
        <v>230</v>
      </c>
      <c r="C14" s="62"/>
      <c r="D14" s="52">
        <v>1372.29</v>
      </c>
      <c r="E14" s="29"/>
    </row>
    <row r="15" spans="1:5">
      <c r="A15" s="7">
        <f t="shared" si="0"/>
        <v>11</v>
      </c>
      <c r="B15" s="29" t="s">
        <v>234</v>
      </c>
      <c r="C15" s="7"/>
      <c r="D15" s="52">
        <v>1314.21</v>
      </c>
      <c r="E15" s="29"/>
    </row>
    <row r="16" spans="1:5">
      <c r="A16" s="7">
        <f t="shared" si="0"/>
        <v>12</v>
      </c>
      <c r="B16" s="29" t="s">
        <v>237</v>
      </c>
      <c r="C16" s="7">
        <v>1</v>
      </c>
      <c r="D16" s="52">
        <v>894.1</v>
      </c>
      <c r="E16" s="29"/>
    </row>
    <row r="17" spans="1:5">
      <c r="A17" s="7">
        <f t="shared" si="0"/>
        <v>13</v>
      </c>
      <c r="B17" s="29" t="s">
        <v>298</v>
      </c>
      <c r="C17" s="7"/>
      <c r="D17" s="52">
        <v>541.14</v>
      </c>
      <c r="E17" s="29"/>
    </row>
    <row r="18" spans="1:5">
      <c r="A18" s="7">
        <f t="shared" si="0"/>
        <v>14</v>
      </c>
      <c r="B18" s="29" t="s">
        <v>336</v>
      </c>
      <c r="C18" s="7">
        <v>1</v>
      </c>
      <c r="D18" s="52">
        <v>919.25</v>
      </c>
      <c r="E18" s="29"/>
    </row>
    <row r="19" spans="1:5">
      <c r="A19" s="7">
        <f t="shared" si="0"/>
        <v>15</v>
      </c>
      <c r="B19" s="61" t="s">
        <v>228</v>
      </c>
      <c r="C19" s="62"/>
      <c r="D19" s="52">
        <v>1020.08</v>
      </c>
      <c r="E19" s="29"/>
    </row>
    <row r="20" spans="1:5">
      <c r="A20" s="7">
        <f t="shared" si="0"/>
        <v>16</v>
      </c>
      <c r="B20" s="61" t="s">
        <v>229</v>
      </c>
      <c r="C20" s="62"/>
      <c r="D20" s="52">
        <v>1372.29</v>
      </c>
      <c r="E20" s="29"/>
    </row>
    <row r="21" spans="1:5">
      <c r="A21" s="7">
        <f t="shared" si="0"/>
        <v>17</v>
      </c>
      <c r="B21" s="29" t="s">
        <v>235</v>
      </c>
      <c r="C21" s="7"/>
      <c r="D21" s="52">
        <v>853.11</v>
      </c>
      <c r="E21" s="29"/>
    </row>
    <row r="22" spans="1:5">
      <c r="A22" s="7">
        <f t="shared" si="0"/>
        <v>18</v>
      </c>
      <c r="B22" s="37" t="s">
        <v>63</v>
      </c>
      <c r="C22" s="58">
        <v>2</v>
      </c>
      <c r="D22" s="52">
        <v>1485.83</v>
      </c>
      <c r="E22" s="29"/>
    </row>
    <row r="23" spans="1:5">
      <c r="A23" s="7">
        <f t="shared" si="0"/>
        <v>19</v>
      </c>
      <c r="B23" s="37" t="s">
        <v>168</v>
      </c>
      <c r="C23" s="58"/>
      <c r="D23" s="52">
        <v>1314.21</v>
      </c>
      <c r="E23" s="29"/>
    </row>
    <row r="24" spans="1:5">
      <c r="A24" s="7">
        <f t="shared" si="0"/>
        <v>20</v>
      </c>
      <c r="B24" s="37" t="s">
        <v>88</v>
      </c>
      <c r="C24" s="58"/>
      <c r="D24" s="52">
        <v>1241.48</v>
      </c>
      <c r="E24" s="29"/>
    </row>
    <row r="25" spans="1:5">
      <c r="A25" s="7">
        <f t="shared" si="0"/>
        <v>21</v>
      </c>
      <c r="B25" s="55" t="s">
        <v>232</v>
      </c>
      <c r="C25" s="7"/>
      <c r="D25" s="52">
        <v>714.97</v>
      </c>
      <c r="E25" s="29"/>
    </row>
    <row r="26" spans="1:5">
      <c r="A26" s="7">
        <f t="shared" si="0"/>
        <v>22</v>
      </c>
      <c r="B26" s="37" t="s">
        <v>231</v>
      </c>
      <c r="C26" s="58">
        <v>1</v>
      </c>
      <c r="D26" s="52">
        <v>1212.01</v>
      </c>
      <c r="E26" s="29"/>
    </row>
    <row r="27" spans="1:5">
      <c r="A27" s="7">
        <f t="shared" si="0"/>
        <v>23</v>
      </c>
      <c r="B27" s="29" t="s">
        <v>270</v>
      </c>
      <c r="C27" s="7">
        <v>1</v>
      </c>
      <c r="D27" s="52">
        <v>911.94</v>
      </c>
      <c r="E27" s="29"/>
    </row>
    <row r="28" spans="1:5">
      <c r="A28" s="7">
        <f t="shared" si="0"/>
        <v>24</v>
      </c>
      <c r="B28" s="29" t="s">
        <v>239</v>
      </c>
      <c r="C28" s="7"/>
      <c r="D28" s="52">
        <v>530.16999999999996</v>
      </c>
      <c r="E28" s="29"/>
    </row>
    <row r="29" spans="1:5">
      <c r="A29" s="7">
        <f t="shared" si="0"/>
        <v>25</v>
      </c>
      <c r="B29" s="37" t="s">
        <v>133</v>
      </c>
      <c r="C29" s="58"/>
      <c r="D29" s="52">
        <v>976.62</v>
      </c>
      <c r="E29" s="29"/>
    </row>
    <row r="30" spans="1:5">
      <c r="A30" s="7">
        <f t="shared" si="0"/>
        <v>26</v>
      </c>
      <c r="B30" s="37" t="s">
        <v>290</v>
      </c>
      <c r="C30" s="58"/>
      <c r="D30" s="52">
        <v>555.32000000000005</v>
      </c>
      <c r="E30" s="29"/>
    </row>
    <row r="31" spans="1:5">
      <c r="A31" s="7">
        <f t="shared" si="0"/>
        <v>27</v>
      </c>
      <c r="B31" s="37" t="s">
        <v>271</v>
      </c>
      <c r="C31" s="58">
        <v>1</v>
      </c>
      <c r="D31" s="52">
        <v>948.53</v>
      </c>
      <c r="E31" s="29"/>
    </row>
    <row r="32" spans="1:5">
      <c r="A32" s="7">
        <f t="shared" si="0"/>
        <v>28</v>
      </c>
      <c r="B32" s="37" t="s">
        <v>294</v>
      </c>
      <c r="C32" s="58"/>
      <c r="D32" s="52">
        <v>457.43</v>
      </c>
      <c r="E32" s="29"/>
    </row>
    <row r="33" spans="1:5">
      <c r="A33" s="7">
        <f t="shared" si="0"/>
        <v>29</v>
      </c>
      <c r="B33" s="37" t="s">
        <v>287</v>
      </c>
      <c r="C33" s="58"/>
      <c r="D33" s="52">
        <v>1314.21</v>
      </c>
      <c r="E33" s="29"/>
    </row>
    <row r="34" spans="1:5">
      <c r="A34" s="7">
        <f t="shared" si="0"/>
        <v>30</v>
      </c>
      <c r="B34" s="29" t="s">
        <v>219</v>
      </c>
      <c r="C34" s="7"/>
      <c r="D34" s="52">
        <v>457.43</v>
      </c>
      <c r="E34" s="29"/>
    </row>
    <row r="35" spans="1:5">
      <c r="A35" s="7">
        <f t="shared" si="0"/>
        <v>31</v>
      </c>
      <c r="B35" s="29" t="s">
        <v>325</v>
      </c>
      <c r="C35" s="7"/>
      <c r="D35" s="52">
        <v>548.01</v>
      </c>
      <c r="E35" s="29"/>
    </row>
    <row r="36" spans="1:5">
      <c r="A36" s="7">
        <f t="shared" si="0"/>
        <v>32</v>
      </c>
      <c r="B36" s="37" t="s">
        <v>233</v>
      </c>
      <c r="C36" s="58"/>
      <c r="D36" s="52">
        <v>1372.29</v>
      </c>
      <c r="E36" s="29"/>
    </row>
    <row r="37" spans="1:5">
      <c r="A37" s="7">
        <f t="shared" si="0"/>
        <v>33</v>
      </c>
      <c r="B37" s="37" t="s">
        <v>301</v>
      </c>
      <c r="C37" s="58"/>
      <c r="D37" s="52">
        <v>976.62</v>
      </c>
      <c r="E37" s="29"/>
    </row>
    <row r="38" spans="1:5">
      <c r="A38" s="7">
        <f t="shared" si="0"/>
        <v>34</v>
      </c>
      <c r="B38" s="37" t="s">
        <v>214</v>
      </c>
      <c r="C38" s="58">
        <v>1</v>
      </c>
      <c r="D38" s="52">
        <v>1584.36</v>
      </c>
      <c r="E38" s="29"/>
    </row>
    <row r="39" spans="1:5">
      <c r="A39" s="7">
        <f t="shared" si="0"/>
        <v>35</v>
      </c>
      <c r="B39" s="37" t="s">
        <v>284</v>
      </c>
      <c r="C39" s="58">
        <v>1</v>
      </c>
      <c r="D39" s="52">
        <v>1477.51</v>
      </c>
      <c r="E39" s="29"/>
    </row>
    <row r="40" spans="1:5">
      <c r="A40" s="7">
        <f t="shared" si="0"/>
        <v>36</v>
      </c>
      <c r="B40" s="29" t="s">
        <v>272</v>
      </c>
      <c r="C40" s="7"/>
      <c r="D40" s="52">
        <v>1285.3900000000001</v>
      </c>
      <c r="E40" s="29"/>
    </row>
    <row r="41" spans="1:5">
      <c r="A41" s="7">
        <f t="shared" si="0"/>
        <v>37</v>
      </c>
      <c r="B41" s="37" t="s">
        <v>90</v>
      </c>
      <c r="C41" s="58"/>
      <c r="D41" s="52">
        <v>1020.08</v>
      </c>
      <c r="E41" s="29"/>
    </row>
    <row r="42" spans="1:5">
      <c r="A42" s="7">
        <f t="shared" si="0"/>
        <v>38</v>
      </c>
      <c r="B42" s="37" t="s">
        <v>134</v>
      </c>
      <c r="C42" s="58"/>
      <c r="D42" s="52">
        <v>541.14</v>
      </c>
      <c r="E42" s="29"/>
    </row>
    <row r="43" spans="1:5">
      <c r="A43" s="7">
        <f t="shared" si="0"/>
        <v>39</v>
      </c>
      <c r="B43" s="37" t="s">
        <v>273</v>
      </c>
      <c r="C43" s="58"/>
      <c r="D43" s="52">
        <v>747.9</v>
      </c>
      <c r="E43" s="29"/>
    </row>
    <row r="44" spans="1:5">
      <c r="A44" s="7">
        <f t="shared" si="0"/>
        <v>40</v>
      </c>
      <c r="B44" s="29" t="s">
        <v>41</v>
      </c>
      <c r="C44" s="58"/>
      <c r="D44" s="52">
        <v>1372.29</v>
      </c>
      <c r="E44" s="29"/>
    </row>
    <row r="45" spans="1:5">
      <c r="A45" s="7">
        <f t="shared" si="0"/>
        <v>41</v>
      </c>
      <c r="B45" s="29" t="s">
        <v>288</v>
      </c>
      <c r="C45" s="58"/>
      <c r="D45" s="52">
        <v>933.17</v>
      </c>
      <c r="E45" s="29"/>
    </row>
    <row r="46" spans="1:5">
      <c r="A46" s="7">
        <f t="shared" si="0"/>
        <v>42</v>
      </c>
      <c r="B46" s="29" t="s">
        <v>238</v>
      </c>
      <c r="C46" s="58"/>
      <c r="D46" s="52">
        <v>1372.29</v>
      </c>
      <c r="E46" s="29"/>
    </row>
    <row r="47" spans="1:5">
      <c r="A47" s="7">
        <f t="shared" si="0"/>
        <v>43</v>
      </c>
      <c r="B47" s="37" t="s">
        <v>150</v>
      </c>
      <c r="C47" s="58"/>
      <c r="D47" s="52">
        <v>639.04</v>
      </c>
      <c r="E47" s="29"/>
    </row>
    <row r="48" spans="1:5">
      <c r="A48" s="7">
        <f t="shared" si="0"/>
        <v>44</v>
      </c>
      <c r="B48" s="29" t="s">
        <v>33</v>
      </c>
      <c r="C48" s="58">
        <v>1</v>
      </c>
      <c r="D48" s="52">
        <v>1104.24</v>
      </c>
      <c r="E48" s="29"/>
    </row>
    <row r="49" spans="1:8">
      <c r="A49" s="7">
        <f t="shared" si="0"/>
        <v>45</v>
      </c>
      <c r="B49" s="37" t="s">
        <v>34</v>
      </c>
      <c r="C49" s="58">
        <v>1</v>
      </c>
      <c r="D49" s="54">
        <v>1350.34</v>
      </c>
      <c r="E49" s="29"/>
    </row>
    <row r="50" spans="1:8">
      <c r="A50" s="7">
        <f t="shared" si="0"/>
        <v>46</v>
      </c>
      <c r="B50" s="29" t="s">
        <v>91</v>
      </c>
      <c r="C50" s="7"/>
      <c r="D50" s="54">
        <v>555.32000000000005</v>
      </c>
      <c r="E50" s="29"/>
    </row>
    <row r="51" spans="1:8">
      <c r="A51" s="7">
        <f t="shared" si="0"/>
        <v>47</v>
      </c>
      <c r="B51" s="37" t="s">
        <v>333</v>
      </c>
      <c r="C51" s="7"/>
      <c r="D51" s="52">
        <v>530.16999999999996</v>
      </c>
      <c r="E51" s="29"/>
    </row>
    <row r="52" spans="1:8">
      <c r="A52" s="7">
        <f t="shared" si="0"/>
        <v>48</v>
      </c>
      <c r="B52" s="37" t="s">
        <v>350</v>
      </c>
      <c r="C52" s="7"/>
      <c r="D52" s="52">
        <v>511.87</v>
      </c>
      <c r="E52" s="29"/>
    </row>
    <row r="53" spans="1:8">
      <c r="C53" s="105" t="s">
        <v>313</v>
      </c>
      <c r="D53" s="116">
        <f>SUM(D5:D52)</f>
        <v>49073.55999999999</v>
      </c>
    </row>
    <row r="54" spans="1:8">
      <c r="A54" s="101" t="s">
        <v>289</v>
      </c>
      <c r="B54" s="29" t="s">
        <v>254</v>
      </c>
      <c r="C54" s="7"/>
      <c r="D54" s="52">
        <v>497.23</v>
      </c>
      <c r="E54" s="29"/>
    </row>
    <row r="55" spans="1:8">
      <c r="A55" s="106" t="s">
        <v>289</v>
      </c>
      <c r="B55" s="107" t="s">
        <v>268</v>
      </c>
      <c r="C55" s="108"/>
      <c r="D55" s="127">
        <v>541.14</v>
      </c>
      <c r="E55" s="110"/>
    </row>
    <row r="56" spans="1:8">
      <c r="A56" s="113"/>
      <c r="B56" s="102"/>
      <c r="C56" s="115" t="s">
        <v>323</v>
      </c>
      <c r="D56" s="117">
        <f>SUM(D54:D55)</f>
        <v>1038.3699999999999</v>
      </c>
      <c r="E56" s="114"/>
      <c r="G56" s="15"/>
      <c r="H56" s="15"/>
    </row>
    <row r="57" spans="1:8">
      <c r="A57" s="458" t="s">
        <v>315</v>
      </c>
      <c r="B57" s="459"/>
      <c r="C57" s="460"/>
      <c r="D57" s="111">
        <f>D53+D56</f>
        <v>50111.929999999993</v>
      </c>
      <c r="E57" s="112"/>
    </row>
    <row r="58" spans="1:8">
      <c r="A58" s="431" t="s">
        <v>258</v>
      </c>
      <c r="B58" s="432"/>
      <c r="C58" s="7">
        <f>COUNTA(B5:B56)</f>
        <v>50</v>
      </c>
      <c r="D58" s="52"/>
      <c r="E58" s="29"/>
    </row>
    <row r="59" spans="1:8">
      <c r="A59" s="431" t="s">
        <v>242</v>
      </c>
      <c r="B59" s="432"/>
      <c r="C59" s="58">
        <v>18</v>
      </c>
      <c r="D59" s="52"/>
      <c r="E59" s="29"/>
    </row>
    <row r="60" spans="1:8">
      <c r="A60" s="433" t="s">
        <v>246</v>
      </c>
      <c r="B60" s="434"/>
      <c r="C60" s="86">
        <f>C58+C59</f>
        <v>68</v>
      </c>
      <c r="D60" s="52"/>
      <c r="E60" s="29"/>
    </row>
    <row r="61" spans="1:8">
      <c r="A61" s="425" t="s">
        <v>257</v>
      </c>
      <c r="B61" s="426"/>
      <c r="C61" s="427"/>
      <c r="D61" s="77"/>
      <c r="E61" s="75"/>
      <c r="G61" s="15"/>
    </row>
    <row r="62" spans="1:8" ht="27" customHeight="1">
      <c r="A62" s="91"/>
      <c r="B62" s="37" t="s">
        <v>207</v>
      </c>
      <c r="C62" s="104"/>
      <c r="D62" s="135">
        <v>-442.64</v>
      </c>
      <c r="E62" s="137" t="s">
        <v>360</v>
      </c>
    </row>
    <row r="63" spans="1:8" ht="27" customHeight="1">
      <c r="A63" s="91"/>
      <c r="B63" s="37"/>
      <c r="C63" s="104"/>
      <c r="D63" s="135">
        <v>-479.39</v>
      </c>
      <c r="E63" s="137" t="s">
        <v>363</v>
      </c>
    </row>
    <row r="64" spans="1:8" ht="27" customHeight="1">
      <c r="A64" s="91"/>
      <c r="B64" s="37" t="s">
        <v>344</v>
      </c>
      <c r="C64" s="104"/>
      <c r="D64" s="135">
        <v>-469.87</v>
      </c>
      <c r="E64" s="137" t="s">
        <v>360</v>
      </c>
    </row>
    <row r="65" spans="1:5" ht="27" customHeight="1">
      <c r="A65" s="91"/>
      <c r="B65" s="37"/>
      <c r="C65" s="104"/>
      <c r="D65" s="135">
        <v>-511.87</v>
      </c>
      <c r="E65" s="137" t="s">
        <v>363</v>
      </c>
    </row>
    <row r="66" spans="1:5">
      <c r="A66" s="91"/>
      <c r="B66" s="37"/>
      <c r="C66" s="104"/>
      <c r="D66" s="94">
        <v>-125.91</v>
      </c>
      <c r="E66" s="137"/>
    </row>
    <row r="67" spans="1:5">
      <c r="A67" s="428" t="s">
        <v>265</v>
      </c>
      <c r="B67" s="429"/>
      <c r="C67" s="430"/>
      <c r="D67" s="83">
        <f>SUM(D62:D66)</f>
        <v>-2029.68</v>
      </c>
      <c r="E67" s="75"/>
    </row>
    <row r="68" spans="1:5">
      <c r="A68" s="422" t="s">
        <v>37</v>
      </c>
      <c r="B68" s="423"/>
      <c r="C68" s="424"/>
      <c r="D68" s="80">
        <f>D57+D67</f>
        <v>48082.249999999993</v>
      </c>
      <c r="E68" s="84"/>
    </row>
    <row r="69" spans="1:5" ht="18">
      <c r="D69" s="72" t="s">
        <v>250</v>
      </c>
      <c r="E69" s="118">
        <v>44165</v>
      </c>
    </row>
    <row r="70" spans="1:5" ht="18">
      <c r="D70" s="73" t="s">
        <v>251</v>
      </c>
      <c r="E70" s="119" t="s">
        <v>337</v>
      </c>
    </row>
  </sheetData>
  <mergeCells count="8">
    <mergeCell ref="A67:C67"/>
    <mergeCell ref="A68:C68"/>
    <mergeCell ref="D3:E3"/>
    <mergeCell ref="A57:C57"/>
    <mergeCell ref="A58:B58"/>
    <mergeCell ref="A59:B59"/>
    <mergeCell ref="A60:B60"/>
    <mergeCell ref="A61:C61"/>
  </mergeCells>
  <conditionalFormatting sqref="B11">
    <cfRule type="duplicateValues" dxfId="428" priority="5"/>
    <cfRule type="duplicateValues" dxfId="427" priority="8"/>
    <cfRule type="duplicateValues" dxfId="426" priority="9"/>
  </conditionalFormatting>
  <conditionalFormatting sqref="B25">
    <cfRule type="duplicateValues" dxfId="425" priority="23"/>
  </conditionalFormatting>
  <conditionalFormatting sqref="B54:B56 B5:B10 B12:B52">
    <cfRule type="duplicateValues" dxfId="424" priority="25"/>
  </conditionalFormatting>
  <conditionalFormatting sqref="B62:B65">
    <cfRule type="duplicateValues" dxfId="423" priority="26"/>
  </conditionalFormatting>
  <conditionalFormatting sqref="B66">
    <cfRule type="duplicateValues" dxfId="422" priority="2"/>
    <cfRule type="duplicateValues" dxfId="421" priority="3"/>
    <cfRule type="duplicateValues" dxfId="420" priority="4"/>
  </conditionalFormatting>
  <conditionalFormatting sqref="B67:B70 B54:B61 B1:B10 B12:B52">
    <cfRule type="duplicateValues" dxfId="419" priority="24"/>
  </conditionalFormatting>
  <conditionalFormatting sqref="B67:B1048576 B12:B61 B1:B10">
    <cfRule type="duplicateValues" dxfId="418" priority="10"/>
  </conditionalFormatting>
  <conditionalFormatting sqref="B71:B1048576">
    <cfRule type="duplicateValues" dxfId="417" priority="22"/>
  </conditionalFormatting>
  <conditionalFormatting sqref="B14:C14">
    <cfRule type="duplicateValues" dxfId="416" priority="19"/>
    <cfRule type="duplicateValues" dxfId="415" priority="20"/>
    <cfRule type="duplicateValues" dxfId="414" priority="21"/>
  </conditionalFormatting>
  <conditionalFormatting sqref="B19:C19">
    <cfRule type="duplicateValues" dxfId="413" priority="16"/>
    <cfRule type="duplicateValues" dxfId="412" priority="17"/>
    <cfRule type="duplicateValues" dxfId="411" priority="18"/>
  </conditionalFormatting>
  <conditionalFormatting sqref="B20:C20">
    <cfRule type="duplicateValues" dxfId="410" priority="13"/>
    <cfRule type="duplicateValues" dxfId="409" priority="14"/>
    <cfRule type="duplicateValues" dxfId="408" priority="15"/>
  </conditionalFormatting>
  <conditionalFormatting sqref="C5:C52">
    <cfRule type="notContainsBlanks" dxfId="407" priority="7">
      <formula>LEN(TRIM(C5))&gt;0</formula>
    </cfRule>
  </conditionalFormatting>
  <conditionalFormatting sqref="C54:C55">
    <cfRule type="notContainsBlanks" dxfId="406" priority="12">
      <formula>LEN(TRIM(C54))&gt;0</formula>
    </cfRule>
  </conditionalFormatting>
  <conditionalFormatting sqref="E5:E52">
    <cfRule type="notContainsBlanks" dxfId="405" priority="6">
      <formula>LEN(TRIM(E5))&gt;0</formula>
    </cfRule>
  </conditionalFormatting>
  <conditionalFormatting sqref="E54:E68">
    <cfRule type="notContainsBlanks" dxfId="404" priority="1">
      <formula>LEN(TRIM(E54))&gt;0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0E01-23C2-4F48-8443-4E2EF42E8539}">
  <sheetPr>
    <tabColor theme="8"/>
    <pageSetUpPr fitToPage="1"/>
  </sheetPr>
  <dimension ref="A1:H69"/>
  <sheetViews>
    <sheetView topLeftCell="A46" zoomScale="150" zoomScaleNormal="150" zoomScalePageLayoutView="140" workbookViewId="0">
      <selection activeCell="E29" sqref="E29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357</v>
      </c>
      <c r="E2" s="123">
        <v>44136</v>
      </c>
    </row>
    <row r="3" spans="1:5" ht="14" customHeight="1">
      <c r="D3" s="462" t="s">
        <v>358</v>
      </c>
      <c r="E3" s="462"/>
    </row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620.74</v>
      </c>
      <c r="E5" s="29"/>
    </row>
    <row r="6" spans="1:5">
      <c r="A6" s="7">
        <v>2</v>
      </c>
      <c r="B6" s="29" t="s">
        <v>62</v>
      </c>
      <c r="C6" s="7"/>
      <c r="D6" s="52">
        <v>1114.77</v>
      </c>
      <c r="E6" s="29"/>
    </row>
    <row r="7" spans="1:5">
      <c r="A7" s="7">
        <f t="shared" ref="A7:A54" si="0">A6+1</f>
        <v>3</v>
      </c>
      <c r="B7" s="37" t="s">
        <v>202</v>
      </c>
      <c r="C7" s="58"/>
      <c r="D7" s="52">
        <v>562.64</v>
      </c>
      <c r="E7" s="29"/>
    </row>
    <row r="8" spans="1:5">
      <c r="A8" s="7">
        <f t="shared" si="0"/>
        <v>4</v>
      </c>
      <c r="B8" s="29" t="s">
        <v>12</v>
      </c>
      <c r="C8" s="7">
        <v>2</v>
      </c>
      <c r="D8" s="52">
        <v>2599.59</v>
      </c>
      <c r="E8" s="29"/>
    </row>
    <row r="9" spans="1:5">
      <c r="A9" s="7">
        <f t="shared" si="0"/>
        <v>5</v>
      </c>
      <c r="B9" s="37" t="s">
        <v>48</v>
      </c>
      <c r="C9" s="58">
        <v>1</v>
      </c>
      <c r="D9" s="52">
        <v>905.07</v>
      </c>
      <c r="E9" s="29"/>
    </row>
    <row r="10" spans="1:5">
      <c r="A10" s="7">
        <v>6</v>
      </c>
      <c r="B10" s="37" t="s">
        <v>236</v>
      </c>
      <c r="C10" s="58">
        <v>3</v>
      </c>
      <c r="D10" s="52">
        <v>2120.19</v>
      </c>
      <c r="E10" s="29"/>
    </row>
    <row r="11" spans="1:5">
      <c r="A11" s="7">
        <v>7</v>
      </c>
      <c r="B11" s="37" t="s">
        <v>316</v>
      </c>
      <c r="C11" s="58"/>
      <c r="D11" s="52">
        <v>933.17</v>
      </c>
      <c r="E11" s="29"/>
    </row>
    <row r="12" spans="1:5">
      <c r="A12" s="7">
        <f>A11+1</f>
        <v>8</v>
      </c>
      <c r="B12" s="37" t="s">
        <v>297</v>
      </c>
      <c r="C12" s="58"/>
      <c r="D12" s="52">
        <v>468.41</v>
      </c>
      <c r="E12" s="29"/>
    </row>
    <row r="13" spans="1:5">
      <c r="A13" s="7">
        <f t="shared" si="0"/>
        <v>9</v>
      </c>
      <c r="B13" s="37" t="s">
        <v>291</v>
      </c>
      <c r="C13" s="58">
        <v>1</v>
      </c>
      <c r="D13" s="52">
        <v>1420.33</v>
      </c>
      <c r="E13" s="29"/>
    </row>
    <row r="14" spans="1:5">
      <c r="A14" s="7">
        <f t="shared" si="0"/>
        <v>10</v>
      </c>
      <c r="B14" s="61" t="s">
        <v>230</v>
      </c>
      <c r="C14" s="62"/>
      <c r="D14" s="52">
        <v>1372.29</v>
      </c>
      <c r="E14" s="29"/>
    </row>
    <row r="15" spans="1:5">
      <c r="A15" s="7">
        <f t="shared" si="0"/>
        <v>11</v>
      </c>
      <c r="B15" s="29" t="s">
        <v>234</v>
      </c>
      <c r="C15" s="7"/>
      <c r="D15" s="52">
        <v>1314.21</v>
      </c>
      <c r="E15" s="29"/>
    </row>
    <row r="16" spans="1:5">
      <c r="A16" s="7">
        <f t="shared" si="0"/>
        <v>12</v>
      </c>
      <c r="B16" s="29" t="s">
        <v>237</v>
      </c>
      <c r="C16" s="7">
        <v>1</v>
      </c>
      <c r="D16" s="52">
        <v>894.1</v>
      </c>
      <c r="E16" s="29"/>
    </row>
    <row r="17" spans="1:5">
      <c r="A17" s="7">
        <f t="shared" si="0"/>
        <v>13</v>
      </c>
      <c r="B17" s="29" t="s">
        <v>298</v>
      </c>
      <c r="C17" s="7"/>
      <c r="D17" s="52">
        <v>541.14</v>
      </c>
      <c r="E17" s="29"/>
    </row>
    <row r="18" spans="1:5">
      <c r="A18" s="7">
        <f t="shared" si="0"/>
        <v>14</v>
      </c>
      <c r="B18" s="29" t="s">
        <v>336</v>
      </c>
      <c r="C18" s="7">
        <v>1</v>
      </c>
      <c r="D18" s="52">
        <v>919.25</v>
      </c>
      <c r="E18" s="29"/>
    </row>
    <row r="19" spans="1:5">
      <c r="A19" s="7">
        <f t="shared" si="0"/>
        <v>15</v>
      </c>
      <c r="B19" s="61" t="s">
        <v>228</v>
      </c>
      <c r="C19" s="62"/>
      <c r="D19" s="52">
        <v>1020.08</v>
      </c>
      <c r="E19" s="29"/>
    </row>
    <row r="20" spans="1:5">
      <c r="A20" s="7">
        <f t="shared" si="0"/>
        <v>16</v>
      </c>
      <c r="B20" s="61" t="s">
        <v>229</v>
      </c>
      <c r="C20" s="62"/>
      <c r="D20" s="52">
        <v>1372.29</v>
      </c>
      <c r="E20" s="29"/>
    </row>
    <row r="21" spans="1:5">
      <c r="A21" s="7">
        <f t="shared" si="0"/>
        <v>17</v>
      </c>
      <c r="B21" s="29" t="s">
        <v>235</v>
      </c>
      <c r="C21" s="7"/>
      <c r="D21" s="52">
        <v>853.11</v>
      </c>
      <c r="E21" s="29"/>
    </row>
    <row r="22" spans="1:5">
      <c r="A22" s="7">
        <f t="shared" si="0"/>
        <v>18</v>
      </c>
      <c r="B22" s="37" t="s">
        <v>63</v>
      </c>
      <c r="C22" s="58">
        <v>2</v>
      </c>
      <c r="D22" s="52">
        <v>1485.83</v>
      </c>
      <c r="E22" s="29"/>
    </row>
    <row r="23" spans="1:5">
      <c r="A23" s="7">
        <f t="shared" si="0"/>
        <v>19</v>
      </c>
      <c r="B23" s="37" t="s">
        <v>168</v>
      </c>
      <c r="C23" s="58"/>
      <c r="D23" s="52">
        <v>1314.21</v>
      </c>
      <c r="E23" s="29"/>
    </row>
    <row r="24" spans="1:5">
      <c r="A24" s="7">
        <f t="shared" si="0"/>
        <v>20</v>
      </c>
      <c r="B24" s="37" t="s">
        <v>88</v>
      </c>
      <c r="C24" s="58"/>
      <c r="D24" s="52">
        <v>1241.48</v>
      </c>
      <c r="E24" s="29"/>
    </row>
    <row r="25" spans="1:5">
      <c r="A25" s="7">
        <f t="shared" si="0"/>
        <v>21</v>
      </c>
      <c r="B25" s="55" t="s">
        <v>232</v>
      </c>
      <c r="C25" s="7"/>
      <c r="D25" s="52">
        <v>714.97</v>
      </c>
      <c r="E25" s="29"/>
    </row>
    <row r="26" spans="1:5">
      <c r="A26" s="7">
        <f t="shared" si="0"/>
        <v>22</v>
      </c>
      <c r="B26" s="37" t="s">
        <v>231</v>
      </c>
      <c r="C26" s="58">
        <v>1</v>
      </c>
      <c r="D26" s="52">
        <v>1212.01</v>
      </c>
      <c r="E26" s="29"/>
    </row>
    <row r="27" spans="1:5">
      <c r="A27" s="7">
        <f t="shared" si="0"/>
        <v>23</v>
      </c>
      <c r="B27" s="29" t="s">
        <v>270</v>
      </c>
      <c r="C27" s="7">
        <v>1</v>
      </c>
      <c r="D27" s="52">
        <v>911.94</v>
      </c>
      <c r="E27" s="29"/>
    </row>
    <row r="28" spans="1:5">
      <c r="A28" s="7">
        <f t="shared" si="0"/>
        <v>24</v>
      </c>
      <c r="B28" s="29" t="s">
        <v>239</v>
      </c>
      <c r="C28" s="7"/>
      <c r="D28" s="52">
        <v>530.16999999999996</v>
      </c>
      <c r="E28" s="29"/>
    </row>
    <row r="29" spans="1:5">
      <c r="A29" s="7">
        <f t="shared" si="0"/>
        <v>25</v>
      </c>
      <c r="B29" s="37" t="s">
        <v>133</v>
      </c>
      <c r="C29" s="58"/>
      <c r="D29" s="52">
        <v>976.62</v>
      </c>
      <c r="E29" s="29"/>
    </row>
    <row r="30" spans="1:5">
      <c r="A30" s="7">
        <f t="shared" si="0"/>
        <v>26</v>
      </c>
      <c r="B30" s="37" t="s">
        <v>290</v>
      </c>
      <c r="C30" s="58"/>
      <c r="D30" s="52">
        <v>555.32000000000005</v>
      </c>
      <c r="E30" s="29"/>
    </row>
    <row r="31" spans="1:5">
      <c r="A31" s="7">
        <f t="shared" si="0"/>
        <v>27</v>
      </c>
      <c r="B31" s="37" t="s">
        <v>271</v>
      </c>
      <c r="C31" s="58">
        <v>1</v>
      </c>
      <c r="D31" s="52">
        <v>948.53</v>
      </c>
      <c r="E31" s="29"/>
    </row>
    <row r="32" spans="1:5">
      <c r="A32" s="7">
        <f t="shared" si="0"/>
        <v>28</v>
      </c>
      <c r="B32" s="37" t="s">
        <v>294</v>
      </c>
      <c r="C32" s="58"/>
      <c r="D32" s="52">
        <v>457.43</v>
      </c>
      <c r="E32" s="29"/>
    </row>
    <row r="33" spans="1:5">
      <c r="A33" s="7">
        <f t="shared" si="0"/>
        <v>29</v>
      </c>
      <c r="B33" s="37" t="s">
        <v>287</v>
      </c>
      <c r="C33" s="58"/>
      <c r="D33" s="52">
        <v>1314.21</v>
      </c>
      <c r="E33" s="29"/>
    </row>
    <row r="34" spans="1:5">
      <c r="A34" s="7">
        <f t="shared" si="0"/>
        <v>30</v>
      </c>
      <c r="B34" s="29" t="s">
        <v>219</v>
      </c>
      <c r="C34" s="7"/>
      <c r="D34" s="52">
        <v>457.43</v>
      </c>
      <c r="E34" s="29"/>
    </row>
    <row r="35" spans="1:5">
      <c r="A35" s="7">
        <f t="shared" si="0"/>
        <v>31</v>
      </c>
      <c r="B35" s="29" t="s">
        <v>325</v>
      </c>
      <c r="C35" s="7"/>
      <c r="D35" s="52">
        <v>548.01</v>
      </c>
      <c r="E35" s="29"/>
    </row>
    <row r="36" spans="1:5">
      <c r="A36" s="7">
        <f t="shared" si="0"/>
        <v>32</v>
      </c>
      <c r="B36" s="37" t="s">
        <v>233</v>
      </c>
      <c r="C36" s="58"/>
      <c r="D36" s="52">
        <v>1372.29</v>
      </c>
      <c r="E36" s="29"/>
    </row>
    <row r="37" spans="1:5">
      <c r="A37" s="7">
        <f t="shared" si="0"/>
        <v>33</v>
      </c>
      <c r="B37" s="37" t="s">
        <v>301</v>
      </c>
      <c r="C37" s="58"/>
      <c r="D37" s="52">
        <v>976.62</v>
      </c>
      <c r="E37" s="29"/>
    </row>
    <row r="38" spans="1:5">
      <c r="A38" s="7">
        <f t="shared" si="0"/>
        <v>34</v>
      </c>
      <c r="B38" s="37" t="s">
        <v>214</v>
      </c>
      <c r="C38" s="58">
        <v>1</v>
      </c>
      <c r="D38" s="52">
        <v>1584.36</v>
      </c>
      <c r="E38" s="29"/>
    </row>
    <row r="39" spans="1:5">
      <c r="A39" s="7">
        <f t="shared" si="0"/>
        <v>35</v>
      </c>
      <c r="B39" s="37" t="s">
        <v>284</v>
      </c>
      <c r="C39" s="58">
        <v>1</v>
      </c>
      <c r="D39" s="52">
        <v>1477.51</v>
      </c>
      <c r="E39" s="29"/>
    </row>
    <row r="40" spans="1:5">
      <c r="A40" s="7">
        <f t="shared" si="0"/>
        <v>36</v>
      </c>
      <c r="B40" s="29" t="s">
        <v>272</v>
      </c>
      <c r="C40" s="7"/>
      <c r="D40" s="52">
        <v>1285.3900000000001</v>
      </c>
      <c r="E40" s="29"/>
    </row>
    <row r="41" spans="1:5">
      <c r="A41" s="7">
        <f t="shared" si="0"/>
        <v>37</v>
      </c>
      <c r="B41" s="29" t="s">
        <v>207</v>
      </c>
      <c r="C41" s="7"/>
      <c r="D41" s="52">
        <v>479.39</v>
      </c>
      <c r="E41" s="29" t="s">
        <v>361</v>
      </c>
    </row>
    <row r="42" spans="1:5">
      <c r="A42" s="7">
        <f t="shared" si="0"/>
        <v>38</v>
      </c>
      <c r="B42" s="37" t="s">
        <v>90</v>
      </c>
      <c r="C42" s="58"/>
      <c r="D42" s="52">
        <v>1020.08</v>
      </c>
      <c r="E42" s="29"/>
    </row>
    <row r="43" spans="1:5">
      <c r="A43" s="7">
        <f t="shared" si="0"/>
        <v>39</v>
      </c>
      <c r="B43" s="37" t="s">
        <v>134</v>
      </c>
      <c r="C43" s="58"/>
      <c r="D43" s="52">
        <v>541.14</v>
      </c>
      <c r="E43" s="29"/>
    </row>
    <row r="44" spans="1:5">
      <c r="A44" s="7">
        <f t="shared" si="0"/>
        <v>40</v>
      </c>
      <c r="B44" s="134" t="s">
        <v>344</v>
      </c>
      <c r="C44" s="136"/>
      <c r="D44" s="132">
        <v>511.87</v>
      </c>
      <c r="E44" s="29" t="s">
        <v>361</v>
      </c>
    </row>
    <row r="45" spans="1:5">
      <c r="A45" s="7">
        <f t="shared" si="0"/>
        <v>41</v>
      </c>
      <c r="B45" s="37" t="s">
        <v>273</v>
      </c>
      <c r="C45" s="58"/>
      <c r="D45" s="52">
        <v>747.9</v>
      </c>
      <c r="E45" s="29"/>
    </row>
    <row r="46" spans="1:5">
      <c r="A46" s="7">
        <f t="shared" si="0"/>
        <v>42</v>
      </c>
      <c r="B46" s="29" t="s">
        <v>41</v>
      </c>
      <c r="C46" s="58"/>
      <c r="D46" s="52">
        <v>1372.29</v>
      </c>
      <c r="E46" s="29"/>
    </row>
    <row r="47" spans="1:5">
      <c r="A47" s="7">
        <f t="shared" si="0"/>
        <v>43</v>
      </c>
      <c r="B47" s="29" t="s">
        <v>288</v>
      </c>
      <c r="C47" s="58"/>
      <c r="D47" s="52">
        <v>933.17</v>
      </c>
      <c r="E47" s="29"/>
    </row>
    <row r="48" spans="1:5">
      <c r="A48" s="7">
        <f t="shared" si="0"/>
        <v>44</v>
      </c>
      <c r="B48" s="29" t="s">
        <v>238</v>
      </c>
      <c r="C48" s="58"/>
      <c r="D48" s="52">
        <v>1372.29</v>
      </c>
      <c r="E48" s="29"/>
    </row>
    <row r="49" spans="1:8">
      <c r="A49" s="7">
        <f t="shared" si="0"/>
        <v>45</v>
      </c>
      <c r="B49" s="37" t="s">
        <v>150</v>
      </c>
      <c r="C49" s="58"/>
      <c r="D49" s="52">
        <v>639.04</v>
      </c>
      <c r="E49" s="29"/>
    </row>
    <row r="50" spans="1:8">
      <c r="A50" s="7">
        <f t="shared" si="0"/>
        <v>46</v>
      </c>
      <c r="B50" s="29" t="s">
        <v>33</v>
      </c>
      <c r="C50" s="58">
        <v>1</v>
      </c>
      <c r="D50" s="52">
        <v>1104.24</v>
      </c>
      <c r="E50" s="29"/>
    </row>
    <row r="51" spans="1:8">
      <c r="A51" s="7">
        <f t="shared" si="0"/>
        <v>47</v>
      </c>
      <c r="B51" s="37" t="s">
        <v>34</v>
      </c>
      <c r="C51" s="58">
        <v>1</v>
      </c>
      <c r="D51" s="54">
        <v>1350.34</v>
      </c>
      <c r="E51" s="29"/>
    </row>
    <row r="52" spans="1:8">
      <c r="A52" s="7">
        <f t="shared" si="0"/>
        <v>48</v>
      </c>
      <c r="B52" s="29" t="s">
        <v>91</v>
      </c>
      <c r="C52" s="7"/>
      <c r="D52" s="54">
        <v>555.32000000000005</v>
      </c>
      <c r="E52" s="29"/>
    </row>
    <row r="53" spans="1:8">
      <c r="A53" s="7">
        <f t="shared" si="0"/>
        <v>49</v>
      </c>
      <c r="B53" s="37" t="s">
        <v>333</v>
      </c>
      <c r="C53" s="7"/>
      <c r="D53" s="52">
        <v>530.16999999999996</v>
      </c>
      <c r="E53" s="29"/>
    </row>
    <row r="54" spans="1:8">
      <c r="A54" s="7">
        <f t="shared" si="0"/>
        <v>50</v>
      </c>
      <c r="B54" s="37" t="s">
        <v>350</v>
      </c>
      <c r="C54" s="7"/>
      <c r="D54" s="52">
        <v>511.87</v>
      </c>
      <c r="E54" s="29"/>
    </row>
    <row r="55" spans="1:8">
      <c r="C55" s="105" t="s">
        <v>313</v>
      </c>
      <c r="D55" s="116">
        <f>SUM(D5:D54)</f>
        <v>50064.819999999992</v>
      </c>
    </row>
    <row r="56" spans="1:8">
      <c r="A56" s="101" t="s">
        <v>289</v>
      </c>
      <c r="B56" s="29" t="s">
        <v>254</v>
      </c>
      <c r="C56" s="7"/>
      <c r="D56" s="52">
        <v>497.23</v>
      </c>
      <c r="E56" s="29"/>
    </row>
    <row r="57" spans="1:8">
      <c r="A57" s="106" t="s">
        <v>289</v>
      </c>
      <c r="B57" s="107" t="s">
        <v>268</v>
      </c>
      <c r="C57" s="108"/>
      <c r="D57" s="127">
        <v>541.14</v>
      </c>
      <c r="E57" s="110"/>
    </row>
    <row r="58" spans="1:8">
      <c r="A58" s="113"/>
      <c r="B58" s="102"/>
      <c r="C58" s="115" t="s">
        <v>323</v>
      </c>
      <c r="D58" s="117">
        <f>SUM(D56:D57)</f>
        <v>1038.3699999999999</v>
      </c>
      <c r="E58" s="114"/>
      <c r="G58" s="15"/>
      <c r="H58" s="15"/>
    </row>
    <row r="59" spans="1:8">
      <c r="A59" s="458" t="s">
        <v>315</v>
      </c>
      <c r="B59" s="459"/>
      <c r="C59" s="460"/>
      <c r="D59" s="111">
        <f>D55+D58</f>
        <v>51103.189999999995</v>
      </c>
      <c r="E59" s="112"/>
    </row>
    <row r="60" spans="1:8">
      <c r="A60" s="431" t="s">
        <v>258</v>
      </c>
      <c r="B60" s="432"/>
      <c r="C60" s="7">
        <f>COUNTA(B5:B58)</f>
        <v>52</v>
      </c>
      <c r="D60" s="52"/>
      <c r="E60" s="29"/>
    </row>
    <row r="61" spans="1:8">
      <c r="A61" s="431" t="s">
        <v>242</v>
      </c>
      <c r="B61" s="432"/>
      <c r="C61" s="58">
        <v>18</v>
      </c>
      <c r="D61" s="52"/>
      <c r="E61" s="29"/>
    </row>
    <row r="62" spans="1:8">
      <c r="A62" s="433" t="s">
        <v>246</v>
      </c>
      <c r="B62" s="434"/>
      <c r="C62" s="86">
        <f>C60+C61</f>
        <v>70</v>
      </c>
      <c r="D62" s="52"/>
      <c r="E62" s="29"/>
    </row>
    <row r="63" spans="1:8">
      <c r="A63" s="425" t="s">
        <v>257</v>
      </c>
      <c r="B63" s="426"/>
      <c r="C63" s="427"/>
      <c r="D63" s="77"/>
      <c r="E63" s="75"/>
      <c r="G63" s="15"/>
    </row>
    <row r="64" spans="1:8" ht="27" customHeight="1">
      <c r="A64" s="91"/>
      <c r="B64" s="37" t="s">
        <v>359</v>
      </c>
      <c r="C64" s="104"/>
      <c r="D64" s="135">
        <v>-1173.1600000000001</v>
      </c>
      <c r="E64" s="137" t="s">
        <v>360</v>
      </c>
    </row>
    <row r="65" spans="1:5">
      <c r="A65" s="91"/>
      <c r="B65" s="37"/>
      <c r="C65" s="104"/>
      <c r="D65" s="94"/>
      <c r="E65" s="137"/>
    </row>
    <row r="66" spans="1:5">
      <c r="A66" s="428" t="s">
        <v>265</v>
      </c>
      <c r="B66" s="429"/>
      <c r="C66" s="430"/>
      <c r="D66" s="83">
        <f>SUM(D64:D65)</f>
        <v>-1173.1600000000001</v>
      </c>
      <c r="E66" s="75"/>
    </row>
    <row r="67" spans="1:5">
      <c r="A67" s="422" t="s">
        <v>37</v>
      </c>
      <c r="B67" s="423"/>
      <c r="C67" s="424"/>
      <c r="D67" s="80">
        <f>D59+D66</f>
        <v>49930.029999999992</v>
      </c>
      <c r="E67" s="84"/>
    </row>
    <row r="68" spans="1:5" ht="18">
      <c r="D68" s="72" t="s">
        <v>250</v>
      </c>
      <c r="E68" s="118">
        <v>44131</v>
      </c>
    </row>
    <row r="69" spans="1:5" ht="18">
      <c r="D69" s="73" t="s">
        <v>251</v>
      </c>
      <c r="E69" s="119" t="s">
        <v>337</v>
      </c>
    </row>
  </sheetData>
  <mergeCells count="8">
    <mergeCell ref="A67:C67"/>
    <mergeCell ref="D3:E3"/>
    <mergeCell ref="A59:C59"/>
    <mergeCell ref="A60:B60"/>
    <mergeCell ref="A61:B61"/>
    <mergeCell ref="A62:B62"/>
    <mergeCell ref="A63:C63"/>
    <mergeCell ref="A66:C66"/>
  </mergeCells>
  <conditionalFormatting sqref="B11">
    <cfRule type="duplicateValues" dxfId="403" priority="9"/>
    <cfRule type="duplicateValues" dxfId="402" priority="12"/>
    <cfRule type="duplicateValues" dxfId="401" priority="13"/>
  </conditionalFormatting>
  <conditionalFormatting sqref="B25">
    <cfRule type="duplicateValues" dxfId="400" priority="27"/>
  </conditionalFormatting>
  <conditionalFormatting sqref="B56:B58 B5:B10 B12:B54">
    <cfRule type="duplicateValues" dxfId="399" priority="29"/>
  </conditionalFormatting>
  <conditionalFormatting sqref="B64">
    <cfRule type="duplicateValues" dxfId="398" priority="113"/>
  </conditionalFormatting>
  <conditionalFormatting sqref="B65">
    <cfRule type="duplicateValues" dxfId="397" priority="6"/>
    <cfRule type="duplicateValues" dxfId="396" priority="7"/>
    <cfRule type="duplicateValues" dxfId="395" priority="8"/>
  </conditionalFormatting>
  <conditionalFormatting sqref="B66:B69 B56:B63 B1:B10 B12:B54">
    <cfRule type="duplicateValues" dxfId="394" priority="28"/>
  </conditionalFormatting>
  <conditionalFormatting sqref="B66:B1048576 B12:B63 B1:B10">
    <cfRule type="duplicateValues" dxfId="393" priority="14"/>
  </conditionalFormatting>
  <conditionalFormatting sqref="B70:B1048576">
    <cfRule type="duplicateValues" dxfId="392" priority="26"/>
  </conditionalFormatting>
  <conditionalFormatting sqref="B14:C14">
    <cfRule type="duplicateValues" dxfId="391" priority="23"/>
    <cfRule type="duplicateValues" dxfId="390" priority="24"/>
    <cfRule type="duplicateValues" dxfId="389" priority="25"/>
  </conditionalFormatting>
  <conditionalFormatting sqref="B19:C19">
    <cfRule type="duplicateValues" dxfId="388" priority="20"/>
    <cfRule type="duplicateValues" dxfId="387" priority="21"/>
    <cfRule type="duplicateValues" dxfId="386" priority="22"/>
  </conditionalFormatting>
  <conditionalFormatting sqref="B20:C20">
    <cfRule type="duplicateValues" dxfId="385" priority="17"/>
    <cfRule type="duplicateValues" dxfId="384" priority="18"/>
    <cfRule type="duplicateValues" dxfId="383" priority="19"/>
  </conditionalFormatting>
  <conditionalFormatting sqref="C5:C54">
    <cfRule type="notContainsBlanks" dxfId="382" priority="11">
      <formula>LEN(TRIM(C5))&gt;0</formula>
    </cfRule>
  </conditionalFormatting>
  <conditionalFormatting sqref="C56:C57">
    <cfRule type="notContainsBlanks" dxfId="381" priority="16">
      <formula>LEN(TRIM(C56))&gt;0</formula>
    </cfRule>
  </conditionalFormatting>
  <conditionalFormatting sqref="E5:E54">
    <cfRule type="notContainsBlanks" dxfId="380" priority="10">
      <formula>LEN(TRIM(E5))&gt;0</formula>
    </cfRule>
  </conditionalFormatting>
  <conditionalFormatting sqref="E56:E67">
    <cfRule type="notContainsBlanks" dxfId="379" priority="1">
      <formula>LEN(TRIM(E56))&gt;0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2288-106F-C14B-AD37-8D4CE746491E}">
  <sheetPr>
    <tabColor theme="8"/>
    <pageSetUpPr fitToPage="1"/>
  </sheetPr>
  <dimension ref="A1:H70"/>
  <sheetViews>
    <sheetView topLeftCell="A46" zoomScale="150" zoomScaleNormal="150" zoomScalePageLayoutView="140" workbookViewId="0">
      <selection activeCell="C63" sqref="C63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354</v>
      </c>
      <c r="E2" s="123">
        <v>44105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572.75</v>
      </c>
      <c r="E5" s="29"/>
    </row>
    <row r="6" spans="1:5">
      <c r="A6" s="7">
        <f>A5+1</f>
        <v>2</v>
      </c>
      <c r="B6" s="29" t="s">
        <v>72</v>
      </c>
      <c r="C6" s="7"/>
      <c r="D6" s="52">
        <v>1173.1600000000001</v>
      </c>
      <c r="E6" s="29"/>
    </row>
    <row r="7" spans="1:5">
      <c r="A7" s="7">
        <f>A6+1</f>
        <v>3</v>
      </c>
      <c r="B7" s="29" t="s">
        <v>62</v>
      </c>
      <c r="C7" s="7"/>
      <c r="D7" s="52">
        <v>1008.47</v>
      </c>
      <c r="E7" s="29"/>
    </row>
    <row r="8" spans="1:5">
      <c r="A8" s="7">
        <f t="shared" ref="A8:A55" si="0">A7+1</f>
        <v>4</v>
      </c>
      <c r="B8" s="37" t="s">
        <v>202</v>
      </c>
      <c r="C8" s="58"/>
      <c r="D8" s="52">
        <v>528.22</v>
      </c>
      <c r="E8" s="29"/>
    </row>
    <row r="9" spans="1:5" s="133" customFormat="1">
      <c r="A9" s="130">
        <f t="shared" si="0"/>
        <v>5</v>
      </c>
      <c r="B9" s="131" t="s">
        <v>12</v>
      </c>
      <c r="C9" s="130">
        <v>2</v>
      </c>
      <c r="D9" s="132">
        <v>2367.4899999999998</v>
      </c>
      <c r="E9" s="131" t="s">
        <v>355</v>
      </c>
    </row>
    <row r="10" spans="1:5">
      <c r="A10" s="7">
        <f t="shared" si="0"/>
        <v>6</v>
      </c>
      <c r="B10" s="37" t="s">
        <v>48</v>
      </c>
      <c r="C10" s="58">
        <v>1</v>
      </c>
      <c r="D10" s="52">
        <v>845.66</v>
      </c>
      <c r="E10" s="29"/>
    </row>
    <row r="11" spans="1:5">
      <c r="A11" s="7">
        <v>7</v>
      </c>
      <c r="B11" s="37" t="s">
        <v>236</v>
      </c>
      <c r="C11" s="58">
        <v>3</v>
      </c>
      <c r="D11" s="52">
        <v>1959.43</v>
      </c>
      <c r="E11" s="29"/>
    </row>
    <row r="12" spans="1:5">
      <c r="A12" s="7">
        <v>8</v>
      </c>
      <c r="B12" s="37" t="s">
        <v>316</v>
      </c>
      <c r="C12" s="58"/>
      <c r="D12" s="52">
        <v>843.77</v>
      </c>
      <c r="E12" s="29"/>
    </row>
    <row r="13" spans="1:5">
      <c r="A13" s="7">
        <f>A12+1</f>
        <v>9</v>
      </c>
      <c r="B13" s="37" t="s">
        <v>297</v>
      </c>
      <c r="C13" s="58"/>
      <c r="D13" s="52">
        <v>433.99</v>
      </c>
      <c r="E13" s="29"/>
    </row>
    <row r="14" spans="1:5">
      <c r="A14" s="7">
        <f t="shared" si="0"/>
        <v>10</v>
      </c>
      <c r="B14" s="37" t="s">
        <v>291</v>
      </c>
      <c r="C14" s="58">
        <v>1</v>
      </c>
      <c r="D14" s="52">
        <v>1288.57</v>
      </c>
      <c r="E14" s="29"/>
    </row>
    <row r="15" spans="1:5">
      <c r="A15" s="7">
        <f t="shared" si="0"/>
        <v>11</v>
      </c>
      <c r="B15" s="61" t="s">
        <v>230</v>
      </c>
      <c r="C15" s="62"/>
      <c r="D15" s="52">
        <v>1296.78</v>
      </c>
      <c r="E15" s="29"/>
    </row>
    <row r="16" spans="1:5">
      <c r="A16" s="7">
        <f t="shared" si="0"/>
        <v>12</v>
      </c>
      <c r="B16" s="29" t="s">
        <v>234</v>
      </c>
      <c r="C16" s="7"/>
      <c r="D16" s="52">
        <v>1214.6500000000001</v>
      </c>
      <c r="E16" s="29"/>
    </row>
    <row r="17" spans="1:5">
      <c r="A17" s="7">
        <f t="shared" si="0"/>
        <v>13</v>
      </c>
      <c r="B17" s="29" t="s">
        <v>237</v>
      </c>
      <c r="C17" s="7">
        <v>1</v>
      </c>
      <c r="D17" s="52">
        <v>835.29</v>
      </c>
      <c r="E17" s="29"/>
    </row>
    <row r="18" spans="1:5">
      <c r="A18" s="7">
        <f t="shared" si="0"/>
        <v>14</v>
      </c>
      <c r="B18" s="29" t="s">
        <v>298</v>
      </c>
      <c r="C18" s="7"/>
      <c r="D18" s="52">
        <v>500.99</v>
      </c>
      <c r="E18" s="29"/>
    </row>
    <row r="19" spans="1:5">
      <c r="A19" s="7">
        <f t="shared" si="0"/>
        <v>15</v>
      </c>
      <c r="B19" s="29" t="s">
        <v>336</v>
      </c>
      <c r="C19" s="7">
        <v>1</v>
      </c>
      <c r="D19" s="52">
        <v>862.52</v>
      </c>
      <c r="E19" s="29"/>
    </row>
    <row r="20" spans="1:5">
      <c r="A20" s="7">
        <f t="shared" si="0"/>
        <v>16</v>
      </c>
      <c r="B20" s="61" t="s">
        <v>228</v>
      </c>
      <c r="C20" s="62"/>
      <c r="D20" s="52">
        <v>922.88</v>
      </c>
      <c r="E20" s="29"/>
    </row>
    <row r="21" spans="1:5">
      <c r="A21" s="7">
        <f t="shared" si="0"/>
        <v>17</v>
      </c>
      <c r="B21" s="61" t="s">
        <v>229</v>
      </c>
      <c r="C21" s="62"/>
      <c r="D21" s="52">
        <v>1276.04</v>
      </c>
      <c r="E21" s="29"/>
    </row>
    <row r="22" spans="1:5">
      <c r="A22" s="7">
        <f t="shared" si="0"/>
        <v>18</v>
      </c>
      <c r="B22" s="29" t="s">
        <v>235</v>
      </c>
      <c r="C22" s="7"/>
      <c r="D22" s="52">
        <v>772.02</v>
      </c>
      <c r="E22" s="29"/>
    </row>
    <row r="23" spans="1:5">
      <c r="A23" s="7">
        <f t="shared" si="0"/>
        <v>19</v>
      </c>
      <c r="B23" s="37" t="s">
        <v>63</v>
      </c>
      <c r="C23" s="58">
        <v>2</v>
      </c>
      <c r="D23" s="52">
        <v>1367.12</v>
      </c>
      <c r="E23" s="29"/>
    </row>
    <row r="24" spans="1:5">
      <c r="A24" s="7">
        <f t="shared" si="0"/>
        <v>20</v>
      </c>
      <c r="B24" s="37" t="s">
        <v>168</v>
      </c>
      <c r="C24" s="58"/>
      <c r="D24" s="52">
        <v>1214.6500000000001</v>
      </c>
      <c r="E24" s="29"/>
    </row>
    <row r="25" spans="1:5">
      <c r="A25" s="7">
        <f t="shared" si="0"/>
        <v>21</v>
      </c>
      <c r="B25" s="37" t="s">
        <v>88</v>
      </c>
      <c r="C25" s="58"/>
      <c r="D25" s="52">
        <v>1125.18</v>
      </c>
      <c r="E25" s="29"/>
    </row>
    <row r="26" spans="1:5">
      <c r="A26" s="7">
        <f t="shared" si="0"/>
        <v>22</v>
      </c>
      <c r="B26" s="55" t="s">
        <v>232</v>
      </c>
      <c r="C26" s="7"/>
      <c r="D26" s="52">
        <v>648.39</v>
      </c>
      <c r="E26" s="29"/>
    </row>
    <row r="27" spans="1:5">
      <c r="A27" s="7">
        <f t="shared" si="0"/>
        <v>23</v>
      </c>
      <c r="B27" s="37" t="s">
        <v>231</v>
      </c>
      <c r="C27" s="58">
        <v>1</v>
      </c>
      <c r="D27" s="52">
        <v>1082.1099999999999</v>
      </c>
      <c r="E27" s="29"/>
    </row>
    <row r="28" spans="1:5">
      <c r="A28" s="7">
        <f t="shared" si="0"/>
        <v>24</v>
      </c>
      <c r="B28" s="29" t="s">
        <v>270</v>
      </c>
      <c r="C28" s="7">
        <v>1</v>
      </c>
      <c r="D28" s="52">
        <v>856.04</v>
      </c>
      <c r="E28" s="29"/>
    </row>
    <row r="29" spans="1:5">
      <c r="A29" s="7">
        <f t="shared" si="0"/>
        <v>25</v>
      </c>
      <c r="B29" s="29" t="s">
        <v>239</v>
      </c>
      <c r="C29" s="7"/>
      <c r="D29" s="52">
        <v>490.62</v>
      </c>
      <c r="E29" s="29"/>
    </row>
    <row r="30" spans="1:5">
      <c r="A30" s="7">
        <f t="shared" si="0"/>
        <v>26</v>
      </c>
      <c r="B30" s="37" t="s">
        <v>133</v>
      </c>
      <c r="C30" s="58"/>
      <c r="D30" s="52">
        <v>881.81</v>
      </c>
      <c r="E30" s="29"/>
    </row>
    <row r="31" spans="1:5">
      <c r="A31" s="7">
        <f t="shared" si="0"/>
        <v>27</v>
      </c>
      <c r="B31" s="37" t="s">
        <v>290</v>
      </c>
      <c r="C31" s="58"/>
      <c r="D31" s="52">
        <v>517.85</v>
      </c>
      <c r="E31" s="29"/>
    </row>
    <row r="32" spans="1:5">
      <c r="A32" s="7">
        <f t="shared" si="0"/>
        <v>28</v>
      </c>
      <c r="B32" s="37" t="s">
        <v>271</v>
      </c>
      <c r="C32" s="58">
        <v>1</v>
      </c>
      <c r="D32" s="52">
        <v>890.18</v>
      </c>
      <c r="E32" s="29"/>
    </row>
    <row r="33" spans="1:5">
      <c r="A33" s="7">
        <f t="shared" si="0"/>
        <v>29</v>
      </c>
      <c r="B33" s="37" t="s">
        <v>294</v>
      </c>
      <c r="C33" s="58"/>
      <c r="D33" s="52">
        <v>432.26</v>
      </c>
      <c r="E33" s="29"/>
    </row>
    <row r="34" spans="1:5">
      <c r="A34" s="7">
        <f t="shared" si="0"/>
        <v>30</v>
      </c>
      <c r="B34" s="37" t="s">
        <v>287</v>
      </c>
      <c r="C34" s="58"/>
      <c r="D34" s="52">
        <v>1214.6500000000001</v>
      </c>
      <c r="E34" s="29"/>
    </row>
    <row r="35" spans="1:5">
      <c r="A35" s="7">
        <f t="shared" si="0"/>
        <v>31</v>
      </c>
      <c r="B35" s="29" t="s">
        <v>219</v>
      </c>
      <c r="C35" s="7"/>
      <c r="D35" s="52">
        <v>432.26</v>
      </c>
      <c r="E35" s="29"/>
    </row>
    <row r="36" spans="1:5">
      <c r="A36" s="7">
        <f t="shared" si="0"/>
        <v>32</v>
      </c>
      <c r="B36" s="29" t="s">
        <v>325</v>
      </c>
      <c r="C36" s="7"/>
      <c r="D36" s="52">
        <v>511.37</v>
      </c>
      <c r="E36" s="29"/>
    </row>
    <row r="37" spans="1:5">
      <c r="A37" s="7">
        <f t="shared" si="0"/>
        <v>33</v>
      </c>
      <c r="B37" s="37" t="s">
        <v>233</v>
      </c>
      <c r="C37" s="58"/>
      <c r="D37" s="52">
        <v>1296.78</v>
      </c>
      <c r="E37" s="29"/>
    </row>
    <row r="38" spans="1:5">
      <c r="A38" s="7">
        <f t="shared" si="0"/>
        <v>34</v>
      </c>
      <c r="B38" s="37" t="s">
        <v>301</v>
      </c>
      <c r="C38" s="58"/>
      <c r="D38" s="52">
        <v>881.81</v>
      </c>
      <c r="E38" s="29"/>
    </row>
    <row r="39" spans="1:5">
      <c r="A39" s="7">
        <f t="shared" si="0"/>
        <v>35</v>
      </c>
      <c r="B39" s="37" t="s">
        <v>214</v>
      </c>
      <c r="C39" s="58">
        <v>1</v>
      </c>
      <c r="D39" s="52">
        <v>1438.72</v>
      </c>
      <c r="E39" s="29"/>
    </row>
    <row r="40" spans="1:5">
      <c r="A40" s="7">
        <f t="shared" si="0"/>
        <v>36</v>
      </c>
      <c r="B40" s="37" t="s">
        <v>284</v>
      </c>
      <c r="C40" s="58">
        <v>1</v>
      </c>
      <c r="D40" s="52">
        <v>1342.17</v>
      </c>
      <c r="E40" s="29"/>
    </row>
    <row r="41" spans="1:5">
      <c r="A41" s="7">
        <f t="shared" si="0"/>
        <v>37</v>
      </c>
      <c r="B41" s="29" t="s">
        <v>272</v>
      </c>
      <c r="C41" s="7"/>
      <c r="D41" s="52">
        <v>1173.1600000000001</v>
      </c>
      <c r="E41" s="29"/>
    </row>
    <row r="42" spans="1:5">
      <c r="A42" s="7">
        <f t="shared" si="0"/>
        <v>38</v>
      </c>
      <c r="B42" s="29" t="s">
        <v>207</v>
      </c>
      <c r="C42" s="7"/>
      <c r="D42" s="52">
        <v>442.64</v>
      </c>
      <c r="E42" s="29"/>
    </row>
    <row r="43" spans="1:5">
      <c r="A43" s="7">
        <f t="shared" si="0"/>
        <v>39</v>
      </c>
      <c r="B43" s="37" t="s">
        <v>90</v>
      </c>
      <c r="C43" s="58"/>
      <c r="D43" s="52">
        <v>922.88</v>
      </c>
      <c r="E43" s="29"/>
    </row>
    <row r="44" spans="1:5">
      <c r="A44" s="7">
        <f t="shared" si="0"/>
        <v>40</v>
      </c>
      <c r="B44" s="37" t="s">
        <v>134</v>
      </c>
      <c r="C44" s="58"/>
      <c r="D44" s="52">
        <v>500.99</v>
      </c>
      <c r="E44" s="29"/>
    </row>
    <row r="45" spans="1:5">
      <c r="A45" s="7">
        <f t="shared" si="0"/>
        <v>41</v>
      </c>
      <c r="B45" s="134" t="s">
        <v>344</v>
      </c>
      <c r="C45" s="136"/>
      <c r="D45" s="132">
        <v>469.87</v>
      </c>
      <c r="E45" s="131" t="s">
        <v>345</v>
      </c>
    </row>
    <row r="46" spans="1:5">
      <c r="A46" s="7">
        <f t="shared" si="0"/>
        <v>42</v>
      </c>
      <c r="B46" s="37" t="s">
        <v>273</v>
      </c>
      <c r="C46" s="58"/>
      <c r="D46" s="52">
        <v>675.62</v>
      </c>
      <c r="E46" s="29"/>
    </row>
    <row r="47" spans="1:5">
      <c r="A47" s="7">
        <f t="shared" si="0"/>
        <v>43</v>
      </c>
      <c r="B47" s="29" t="s">
        <v>41</v>
      </c>
      <c r="C47" s="58"/>
      <c r="D47" s="52">
        <v>1296.78</v>
      </c>
      <c r="E47" s="29"/>
    </row>
    <row r="48" spans="1:5">
      <c r="A48" s="7">
        <f t="shared" si="0"/>
        <v>44</v>
      </c>
      <c r="B48" s="29" t="s">
        <v>288</v>
      </c>
      <c r="C48" s="58"/>
      <c r="D48" s="52">
        <v>843.77</v>
      </c>
      <c r="E48" s="29"/>
    </row>
    <row r="49" spans="1:8">
      <c r="A49" s="7">
        <f t="shared" si="0"/>
        <v>45</v>
      </c>
      <c r="B49" s="29" t="s">
        <v>238</v>
      </c>
      <c r="C49" s="58"/>
      <c r="D49" s="52">
        <v>1276.04</v>
      </c>
      <c r="E49" s="29"/>
    </row>
    <row r="50" spans="1:8">
      <c r="A50" s="7">
        <f t="shared" si="0"/>
        <v>46</v>
      </c>
      <c r="B50" s="37" t="s">
        <v>150</v>
      </c>
      <c r="C50" s="58"/>
      <c r="D50" s="52">
        <v>586.58000000000004</v>
      </c>
      <c r="E50" s="29"/>
    </row>
    <row r="51" spans="1:8">
      <c r="A51" s="7">
        <f t="shared" si="0"/>
        <v>47</v>
      </c>
      <c r="B51" s="29" t="s">
        <v>33</v>
      </c>
      <c r="C51" s="58">
        <v>1</v>
      </c>
      <c r="D51" s="52">
        <v>1010.63</v>
      </c>
      <c r="E51" s="29"/>
    </row>
    <row r="52" spans="1:8">
      <c r="A52" s="7">
        <f t="shared" si="0"/>
        <v>48</v>
      </c>
      <c r="B52" s="37" t="s">
        <v>34</v>
      </c>
      <c r="C52" s="58">
        <v>1</v>
      </c>
      <c r="D52" s="54">
        <v>1238.43</v>
      </c>
      <c r="E52" s="29"/>
    </row>
    <row r="53" spans="1:8">
      <c r="A53" s="7">
        <f t="shared" si="0"/>
        <v>49</v>
      </c>
      <c r="B53" s="29" t="s">
        <v>91</v>
      </c>
      <c r="C53" s="7"/>
      <c r="D53" s="54">
        <v>517.85</v>
      </c>
      <c r="E53" s="29"/>
    </row>
    <row r="54" spans="1:8">
      <c r="A54" s="7">
        <f t="shared" si="0"/>
        <v>50</v>
      </c>
      <c r="B54" s="37" t="s">
        <v>333</v>
      </c>
      <c r="C54" s="7"/>
      <c r="D54" s="52">
        <v>490.62</v>
      </c>
      <c r="E54" s="29"/>
    </row>
    <row r="55" spans="1:8">
      <c r="A55" s="7">
        <f t="shared" si="0"/>
        <v>51</v>
      </c>
      <c r="B55" s="37" t="s">
        <v>350</v>
      </c>
      <c r="C55" s="7"/>
      <c r="D55" s="52">
        <v>469.87</v>
      </c>
      <c r="E55" s="29" t="s">
        <v>353</v>
      </c>
    </row>
    <row r="56" spans="1:8">
      <c r="C56" s="105" t="s">
        <v>313</v>
      </c>
      <c r="D56" s="116">
        <f>SUM(D5:D55)</f>
        <v>47242.38</v>
      </c>
    </row>
    <row r="57" spans="1:8">
      <c r="A57" s="101" t="s">
        <v>289</v>
      </c>
      <c r="B57" s="29" t="s">
        <v>254</v>
      </c>
      <c r="C57" s="7"/>
      <c r="D57" s="52">
        <v>453.01</v>
      </c>
      <c r="E57" s="29"/>
    </row>
    <row r="58" spans="1:8">
      <c r="A58" s="106" t="s">
        <v>289</v>
      </c>
      <c r="B58" s="107" t="s">
        <v>268</v>
      </c>
      <c r="C58" s="108"/>
      <c r="D58" s="127">
        <v>500.99</v>
      </c>
      <c r="E58" s="110"/>
    </row>
    <row r="59" spans="1:8">
      <c r="A59" s="113"/>
      <c r="B59" s="102"/>
      <c r="C59" s="115" t="s">
        <v>323</v>
      </c>
      <c r="D59" s="117">
        <f>SUM(D57:D58)</f>
        <v>954</v>
      </c>
      <c r="E59" s="114"/>
      <c r="G59" s="15"/>
      <c r="H59" s="15"/>
    </row>
    <row r="60" spans="1:8">
      <c r="A60" s="458" t="s">
        <v>315</v>
      </c>
      <c r="B60" s="459"/>
      <c r="C60" s="460"/>
      <c r="D60" s="111">
        <f>D56+D59</f>
        <v>48196.38</v>
      </c>
      <c r="E60" s="112"/>
    </row>
    <row r="61" spans="1:8">
      <c r="A61" s="431" t="s">
        <v>258</v>
      </c>
      <c r="B61" s="432"/>
      <c r="C61" s="7">
        <f>COUNTA(B5:B59)</f>
        <v>53</v>
      </c>
      <c r="D61" s="52"/>
      <c r="E61" s="29"/>
    </row>
    <row r="62" spans="1:8">
      <c r="A62" s="431" t="s">
        <v>242</v>
      </c>
      <c r="B62" s="432"/>
      <c r="C62" s="58">
        <v>18</v>
      </c>
      <c r="D62" s="52"/>
      <c r="E62" s="29"/>
    </row>
    <row r="63" spans="1:8">
      <c r="A63" s="433" t="s">
        <v>246</v>
      </c>
      <c r="B63" s="434"/>
      <c r="C63" s="86">
        <f>C61+C62</f>
        <v>71</v>
      </c>
      <c r="D63" s="52"/>
      <c r="E63" s="29"/>
    </row>
    <row r="64" spans="1:8">
      <c r="A64" s="425" t="s">
        <v>257</v>
      </c>
      <c r="B64" s="426"/>
      <c r="C64" s="427"/>
      <c r="D64" s="77"/>
      <c r="E64" s="75"/>
      <c r="G64" s="15"/>
    </row>
    <row r="65" spans="1:6" ht="27" customHeight="1">
      <c r="A65" s="91"/>
      <c r="B65" s="37" t="s">
        <v>12</v>
      </c>
      <c r="C65" s="104"/>
      <c r="D65" s="135">
        <v>1763.62</v>
      </c>
      <c r="E65" s="137" t="s">
        <v>356</v>
      </c>
      <c r="F65">
        <v>881.81</v>
      </c>
    </row>
    <row r="66" spans="1:6">
      <c r="A66" s="91"/>
      <c r="B66" s="37"/>
      <c r="C66" s="104"/>
      <c r="D66" s="94"/>
      <c r="E66" s="137"/>
    </row>
    <row r="67" spans="1:6">
      <c r="A67" s="428" t="s">
        <v>265</v>
      </c>
      <c r="B67" s="429"/>
      <c r="C67" s="430"/>
      <c r="D67" s="83">
        <f>SUM(D65:D66)</f>
        <v>1763.62</v>
      </c>
      <c r="E67" s="75"/>
    </row>
    <row r="68" spans="1:6">
      <c r="A68" s="422" t="s">
        <v>37</v>
      </c>
      <c r="B68" s="423"/>
      <c r="C68" s="424"/>
      <c r="D68" s="80">
        <f>D60+D67</f>
        <v>49960</v>
      </c>
      <c r="E68" s="84"/>
    </row>
    <row r="69" spans="1:6" ht="18">
      <c r="D69" s="72" t="s">
        <v>250</v>
      </c>
      <c r="E69" s="118">
        <v>44102</v>
      </c>
    </row>
    <row r="70" spans="1:6" ht="18">
      <c r="D70" s="73" t="s">
        <v>251</v>
      </c>
      <c r="E70" s="119" t="s">
        <v>337</v>
      </c>
    </row>
  </sheetData>
  <mergeCells count="7">
    <mergeCell ref="A68:C68"/>
    <mergeCell ref="A60:C60"/>
    <mergeCell ref="A61:B61"/>
    <mergeCell ref="A62:B62"/>
    <mergeCell ref="A63:B63"/>
    <mergeCell ref="A64:C64"/>
    <mergeCell ref="A67:C67"/>
  </mergeCells>
  <conditionalFormatting sqref="B12">
    <cfRule type="duplicateValues" dxfId="378" priority="9"/>
    <cfRule type="duplicateValues" dxfId="377" priority="12"/>
    <cfRule type="duplicateValues" dxfId="376" priority="13"/>
  </conditionalFormatting>
  <conditionalFormatting sqref="B26">
    <cfRule type="duplicateValues" dxfId="375" priority="27"/>
  </conditionalFormatting>
  <conditionalFormatting sqref="B57:B59 B5:B11 B13:B55">
    <cfRule type="duplicateValues" dxfId="374" priority="29"/>
  </conditionalFormatting>
  <conditionalFormatting sqref="B65">
    <cfRule type="duplicateValues" dxfId="373" priority="3"/>
    <cfRule type="duplicateValues" dxfId="372" priority="4"/>
    <cfRule type="duplicateValues" dxfId="371" priority="5"/>
  </conditionalFormatting>
  <conditionalFormatting sqref="B66">
    <cfRule type="duplicateValues" dxfId="370" priority="6"/>
    <cfRule type="duplicateValues" dxfId="369" priority="7"/>
    <cfRule type="duplicateValues" dxfId="368" priority="8"/>
  </conditionalFormatting>
  <conditionalFormatting sqref="B67:B70 B57:B64 B1:B11 B13:B55">
    <cfRule type="duplicateValues" dxfId="367" priority="28"/>
  </conditionalFormatting>
  <conditionalFormatting sqref="B67:B1048576 B13:B64 B1:B11">
    <cfRule type="duplicateValues" dxfId="366" priority="14"/>
  </conditionalFormatting>
  <conditionalFormatting sqref="B71:B1048576">
    <cfRule type="duplicateValues" dxfId="365" priority="26"/>
  </conditionalFormatting>
  <conditionalFormatting sqref="B15:C15">
    <cfRule type="duplicateValues" dxfId="364" priority="23"/>
    <cfRule type="duplicateValues" dxfId="363" priority="24"/>
    <cfRule type="duplicateValues" dxfId="362" priority="25"/>
  </conditionalFormatting>
  <conditionalFormatting sqref="B20:C20">
    <cfRule type="duplicateValues" dxfId="361" priority="20"/>
    <cfRule type="duplicateValues" dxfId="360" priority="21"/>
    <cfRule type="duplicateValues" dxfId="359" priority="22"/>
  </conditionalFormatting>
  <conditionalFormatting sqref="B21:C21">
    <cfRule type="duplicateValues" dxfId="358" priority="17"/>
    <cfRule type="duplicateValues" dxfId="357" priority="18"/>
    <cfRule type="duplicateValues" dxfId="356" priority="19"/>
  </conditionalFormatting>
  <conditionalFormatting sqref="C5:C55">
    <cfRule type="notContainsBlanks" dxfId="355" priority="11">
      <formula>LEN(TRIM(C5))&gt;0</formula>
    </cfRule>
  </conditionalFormatting>
  <conditionalFormatting sqref="C57:C58">
    <cfRule type="notContainsBlanks" dxfId="354" priority="16">
      <formula>LEN(TRIM(C57))&gt;0</formula>
    </cfRule>
  </conditionalFormatting>
  <conditionalFormatting sqref="E5:E55">
    <cfRule type="notContainsBlanks" dxfId="353" priority="10">
      <formula>LEN(TRIM(E5))&gt;0</formula>
    </cfRule>
  </conditionalFormatting>
  <conditionalFormatting sqref="E57:E68">
    <cfRule type="notContainsBlanks" dxfId="352" priority="1">
      <formula>LEN(TRIM(E57))&gt;0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E262-43A2-814B-B841-3F40D27CF1BE}">
  <sheetPr>
    <tabColor theme="8"/>
    <pageSetUpPr fitToPage="1"/>
  </sheetPr>
  <dimension ref="A1:H70"/>
  <sheetViews>
    <sheetView topLeftCell="A34" zoomScale="150" zoomScaleNormal="150" zoomScalePageLayoutView="140" workbookViewId="0">
      <selection activeCell="E19" sqref="E19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349</v>
      </c>
      <c r="E2" s="123">
        <v>44075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572.75</v>
      </c>
      <c r="E5" s="29"/>
    </row>
    <row r="6" spans="1:5">
      <c r="A6" s="7">
        <f>A5+1</f>
        <v>2</v>
      </c>
      <c r="B6" s="29" t="s">
        <v>72</v>
      </c>
      <c r="C6" s="7"/>
      <c r="D6" s="52">
        <v>1173.1600000000001</v>
      </c>
      <c r="E6" s="29"/>
    </row>
    <row r="7" spans="1:5">
      <c r="A7" s="7">
        <f>A6+1</f>
        <v>3</v>
      </c>
      <c r="B7" s="29" t="s">
        <v>62</v>
      </c>
      <c r="C7" s="7"/>
      <c r="D7" s="52">
        <v>1008.47</v>
      </c>
      <c r="E7" s="29"/>
    </row>
    <row r="8" spans="1:5">
      <c r="A8" s="7">
        <f t="shared" ref="A8:A55" si="0">A7+1</f>
        <v>4</v>
      </c>
      <c r="B8" s="37" t="s">
        <v>202</v>
      </c>
      <c r="C8" s="58"/>
      <c r="D8" s="52">
        <v>528.22</v>
      </c>
      <c r="E8" s="29"/>
    </row>
    <row r="9" spans="1:5">
      <c r="A9" s="7">
        <f t="shared" si="0"/>
        <v>5</v>
      </c>
      <c r="B9" s="29" t="s">
        <v>12</v>
      </c>
      <c r="C9" s="7">
        <v>1</v>
      </c>
      <c r="D9" s="52">
        <v>1485.68</v>
      </c>
      <c r="E9" s="29"/>
    </row>
    <row r="10" spans="1:5">
      <c r="A10" s="7">
        <f t="shared" si="0"/>
        <v>6</v>
      </c>
      <c r="B10" s="37" t="s">
        <v>48</v>
      </c>
      <c r="C10" s="58">
        <v>1</v>
      </c>
      <c r="D10" s="52">
        <v>845.66</v>
      </c>
      <c r="E10" s="29"/>
    </row>
    <row r="11" spans="1:5">
      <c r="A11" s="7">
        <v>7</v>
      </c>
      <c r="B11" s="37" t="s">
        <v>236</v>
      </c>
      <c r="C11" s="58">
        <v>3</v>
      </c>
      <c r="D11" s="52">
        <v>1959.43</v>
      </c>
      <c r="E11" s="29"/>
    </row>
    <row r="12" spans="1:5">
      <c r="A12" s="7">
        <v>8</v>
      </c>
      <c r="B12" s="37" t="s">
        <v>316</v>
      </c>
      <c r="C12" s="58"/>
      <c r="D12" s="52">
        <v>843.77</v>
      </c>
      <c r="E12" s="29"/>
    </row>
    <row r="13" spans="1:5">
      <c r="A13" s="7">
        <f>A12+1</f>
        <v>9</v>
      </c>
      <c r="B13" s="37" t="s">
        <v>297</v>
      </c>
      <c r="C13" s="58"/>
      <c r="D13" s="52">
        <v>433.99</v>
      </c>
      <c r="E13" s="29"/>
    </row>
    <row r="14" spans="1:5">
      <c r="A14" s="7">
        <f t="shared" si="0"/>
        <v>10</v>
      </c>
      <c r="B14" s="37" t="s">
        <v>291</v>
      </c>
      <c r="C14" s="58">
        <v>1</v>
      </c>
      <c r="D14" s="52">
        <v>1288.57</v>
      </c>
      <c r="E14" s="29"/>
    </row>
    <row r="15" spans="1:5">
      <c r="A15" s="7">
        <f t="shared" si="0"/>
        <v>11</v>
      </c>
      <c r="B15" s="61" t="s">
        <v>230</v>
      </c>
      <c r="C15" s="62"/>
      <c r="D15" s="52">
        <v>1296.78</v>
      </c>
      <c r="E15" s="29"/>
    </row>
    <row r="16" spans="1:5">
      <c r="A16" s="7">
        <f t="shared" si="0"/>
        <v>12</v>
      </c>
      <c r="B16" s="29" t="s">
        <v>234</v>
      </c>
      <c r="C16" s="7"/>
      <c r="D16" s="52">
        <v>1214.6500000000001</v>
      </c>
      <c r="E16" s="29"/>
    </row>
    <row r="17" spans="1:5">
      <c r="A17" s="7">
        <f t="shared" si="0"/>
        <v>13</v>
      </c>
      <c r="B17" s="29" t="s">
        <v>237</v>
      </c>
      <c r="C17" s="7">
        <v>1</v>
      </c>
      <c r="D17" s="52">
        <v>835.29</v>
      </c>
      <c r="E17" s="29"/>
    </row>
    <row r="18" spans="1:5">
      <c r="A18" s="7">
        <f t="shared" si="0"/>
        <v>14</v>
      </c>
      <c r="B18" s="29" t="s">
        <v>298</v>
      </c>
      <c r="C18" s="7"/>
      <c r="D18" s="52">
        <v>500.99</v>
      </c>
      <c r="E18" s="29"/>
    </row>
    <row r="19" spans="1:5">
      <c r="A19" s="7">
        <f t="shared" si="0"/>
        <v>15</v>
      </c>
      <c r="B19" s="29" t="s">
        <v>336</v>
      </c>
      <c r="C19" s="7">
        <v>1</v>
      </c>
      <c r="D19" s="52">
        <v>862.52</v>
      </c>
      <c r="E19" s="29"/>
    </row>
    <row r="20" spans="1:5">
      <c r="A20" s="7">
        <f t="shared" si="0"/>
        <v>16</v>
      </c>
      <c r="B20" s="61" t="s">
        <v>228</v>
      </c>
      <c r="C20" s="62"/>
      <c r="D20" s="52">
        <v>922.88</v>
      </c>
      <c r="E20" s="29"/>
    </row>
    <row r="21" spans="1:5">
      <c r="A21" s="7">
        <f t="shared" si="0"/>
        <v>17</v>
      </c>
      <c r="B21" s="61" t="s">
        <v>229</v>
      </c>
      <c r="C21" s="62"/>
      <c r="D21" s="52">
        <v>1276.04</v>
      </c>
      <c r="E21" s="29"/>
    </row>
    <row r="22" spans="1:5">
      <c r="A22" s="7">
        <f t="shared" si="0"/>
        <v>18</v>
      </c>
      <c r="B22" s="29" t="s">
        <v>235</v>
      </c>
      <c r="C22" s="7"/>
      <c r="D22" s="52">
        <v>772.02</v>
      </c>
      <c r="E22" s="29"/>
    </row>
    <row r="23" spans="1:5">
      <c r="A23" s="7">
        <f t="shared" si="0"/>
        <v>19</v>
      </c>
      <c r="B23" s="37" t="s">
        <v>63</v>
      </c>
      <c r="C23" s="58">
        <v>2</v>
      </c>
      <c r="D23" s="52">
        <v>1367.12</v>
      </c>
      <c r="E23" s="29"/>
    </row>
    <row r="24" spans="1:5">
      <c r="A24" s="7">
        <f t="shared" si="0"/>
        <v>20</v>
      </c>
      <c r="B24" s="37" t="s">
        <v>168</v>
      </c>
      <c r="C24" s="58"/>
      <c r="D24" s="52">
        <v>1214.6500000000001</v>
      </c>
      <c r="E24" s="29"/>
    </row>
    <row r="25" spans="1:5">
      <c r="A25" s="7">
        <f t="shared" si="0"/>
        <v>21</v>
      </c>
      <c r="B25" s="37" t="s">
        <v>88</v>
      </c>
      <c r="C25" s="58"/>
      <c r="D25" s="52">
        <v>1125.18</v>
      </c>
      <c r="E25" s="29"/>
    </row>
    <row r="26" spans="1:5">
      <c r="A26" s="7">
        <f t="shared" si="0"/>
        <v>22</v>
      </c>
      <c r="B26" s="55" t="s">
        <v>232</v>
      </c>
      <c r="C26" s="7"/>
      <c r="D26" s="52">
        <v>648.39</v>
      </c>
      <c r="E26" s="29"/>
    </row>
    <row r="27" spans="1:5">
      <c r="A27" s="7">
        <f t="shared" si="0"/>
        <v>23</v>
      </c>
      <c r="B27" s="37" t="s">
        <v>231</v>
      </c>
      <c r="C27" s="58">
        <v>1</v>
      </c>
      <c r="D27" s="52">
        <v>1082.1099999999999</v>
      </c>
      <c r="E27" s="29"/>
    </row>
    <row r="28" spans="1:5">
      <c r="A28" s="7">
        <f t="shared" si="0"/>
        <v>24</v>
      </c>
      <c r="B28" s="29" t="s">
        <v>270</v>
      </c>
      <c r="C28" s="7">
        <v>1</v>
      </c>
      <c r="D28" s="52">
        <v>856.04</v>
      </c>
      <c r="E28" s="29"/>
    </row>
    <row r="29" spans="1:5">
      <c r="A29" s="7">
        <f t="shared" si="0"/>
        <v>25</v>
      </c>
      <c r="B29" s="29" t="s">
        <v>239</v>
      </c>
      <c r="C29" s="7"/>
      <c r="D29" s="52">
        <v>490.62</v>
      </c>
      <c r="E29" s="29"/>
    </row>
    <row r="30" spans="1:5">
      <c r="A30" s="7">
        <f t="shared" si="0"/>
        <v>26</v>
      </c>
      <c r="B30" s="37" t="s">
        <v>133</v>
      </c>
      <c r="C30" s="58"/>
      <c r="D30" s="52">
        <v>881.81</v>
      </c>
      <c r="E30" s="29"/>
    </row>
    <row r="31" spans="1:5">
      <c r="A31" s="7">
        <f t="shared" si="0"/>
        <v>27</v>
      </c>
      <c r="B31" s="37" t="s">
        <v>290</v>
      </c>
      <c r="C31" s="58"/>
      <c r="D31" s="52">
        <v>517.85</v>
      </c>
      <c r="E31" s="29"/>
    </row>
    <row r="32" spans="1:5">
      <c r="A32" s="7">
        <f t="shared" si="0"/>
        <v>28</v>
      </c>
      <c r="B32" s="37" t="s">
        <v>271</v>
      </c>
      <c r="C32" s="58">
        <v>1</v>
      </c>
      <c r="D32" s="52">
        <v>890.18</v>
      </c>
      <c r="E32" s="29"/>
    </row>
    <row r="33" spans="1:5">
      <c r="A33" s="7">
        <f t="shared" si="0"/>
        <v>29</v>
      </c>
      <c r="B33" s="37" t="s">
        <v>294</v>
      </c>
      <c r="C33" s="58"/>
      <c r="D33" s="52">
        <v>432.26</v>
      </c>
      <c r="E33" s="29"/>
    </row>
    <row r="34" spans="1:5">
      <c r="A34" s="7">
        <f t="shared" si="0"/>
        <v>30</v>
      </c>
      <c r="B34" s="37" t="s">
        <v>287</v>
      </c>
      <c r="C34" s="58"/>
      <c r="D34" s="52">
        <v>1214.6500000000001</v>
      </c>
      <c r="E34" s="29"/>
    </row>
    <row r="35" spans="1:5">
      <c r="A35" s="7">
        <f t="shared" si="0"/>
        <v>31</v>
      </c>
      <c r="B35" s="29" t="s">
        <v>219</v>
      </c>
      <c r="C35" s="7"/>
      <c r="D35" s="52">
        <v>432.26</v>
      </c>
      <c r="E35" s="29"/>
    </row>
    <row r="36" spans="1:5">
      <c r="A36" s="7">
        <f t="shared" si="0"/>
        <v>32</v>
      </c>
      <c r="B36" s="29" t="s">
        <v>325</v>
      </c>
      <c r="C36" s="7"/>
      <c r="D36" s="52">
        <v>511.37</v>
      </c>
      <c r="E36" s="29"/>
    </row>
    <row r="37" spans="1:5">
      <c r="A37" s="7">
        <f t="shared" si="0"/>
        <v>33</v>
      </c>
      <c r="B37" s="37" t="s">
        <v>233</v>
      </c>
      <c r="C37" s="58"/>
      <c r="D37" s="52">
        <v>1296.78</v>
      </c>
      <c r="E37" s="29"/>
    </row>
    <row r="38" spans="1:5">
      <c r="A38" s="7">
        <f t="shared" si="0"/>
        <v>34</v>
      </c>
      <c r="B38" s="37" t="s">
        <v>301</v>
      </c>
      <c r="C38" s="58"/>
      <c r="D38" s="52">
        <v>881.81</v>
      </c>
      <c r="E38" s="29"/>
    </row>
    <row r="39" spans="1:5">
      <c r="A39" s="7">
        <f t="shared" si="0"/>
        <v>35</v>
      </c>
      <c r="B39" s="37" t="s">
        <v>214</v>
      </c>
      <c r="C39" s="58">
        <v>1</v>
      </c>
      <c r="D39" s="52">
        <v>1438.72</v>
      </c>
      <c r="E39" s="29"/>
    </row>
    <row r="40" spans="1:5">
      <c r="A40" s="7">
        <f t="shared" si="0"/>
        <v>36</v>
      </c>
      <c r="B40" s="37" t="s">
        <v>284</v>
      </c>
      <c r="C40" s="58">
        <v>1</v>
      </c>
      <c r="D40" s="52">
        <v>1342.17</v>
      </c>
      <c r="E40" s="29"/>
    </row>
    <row r="41" spans="1:5">
      <c r="A41" s="7">
        <f t="shared" si="0"/>
        <v>37</v>
      </c>
      <c r="B41" s="29" t="s">
        <v>272</v>
      </c>
      <c r="C41" s="7"/>
      <c r="D41" s="52">
        <v>1173.1600000000001</v>
      </c>
      <c r="E41" s="29"/>
    </row>
    <row r="42" spans="1:5">
      <c r="A42" s="7">
        <f t="shared" si="0"/>
        <v>38</v>
      </c>
      <c r="B42" s="29" t="s">
        <v>207</v>
      </c>
      <c r="C42" s="7"/>
      <c r="D42" s="52">
        <v>442.64</v>
      </c>
      <c r="E42" s="29"/>
    </row>
    <row r="43" spans="1:5">
      <c r="A43" s="7">
        <f t="shared" si="0"/>
        <v>39</v>
      </c>
      <c r="B43" s="37" t="s">
        <v>90</v>
      </c>
      <c r="C43" s="58"/>
      <c r="D43" s="52">
        <v>922.88</v>
      </c>
      <c r="E43" s="29"/>
    </row>
    <row r="44" spans="1:5">
      <c r="A44" s="7">
        <f t="shared" si="0"/>
        <v>40</v>
      </c>
      <c r="B44" s="37" t="s">
        <v>134</v>
      </c>
      <c r="C44" s="58"/>
      <c r="D44" s="52">
        <v>500.99</v>
      </c>
      <c r="E44" s="29"/>
    </row>
    <row r="45" spans="1:5">
      <c r="A45" s="7">
        <f t="shared" si="0"/>
        <v>41</v>
      </c>
      <c r="B45" s="134" t="s">
        <v>344</v>
      </c>
      <c r="C45" s="136"/>
      <c r="D45" s="132">
        <v>469.87</v>
      </c>
      <c r="E45" s="131" t="s">
        <v>345</v>
      </c>
    </row>
    <row r="46" spans="1:5">
      <c r="A46" s="7">
        <f t="shared" si="0"/>
        <v>42</v>
      </c>
      <c r="B46" s="37" t="s">
        <v>273</v>
      </c>
      <c r="C46" s="58"/>
      <c r="D46" s="52">
        <v>675.62</v>
      </c>
      <c r="E46" s="29"/>
    </row>
    <row r="47" spans="1:5">
      <c r="A47" s="7">
        <f t="shared" si="0"/>
        <v>43</v>
      </c>
      <c r="B47" s="29" t="s">
        <v>41</v>
      </c>
      <c r="C47" s="58"/>
      <c r="D47" s="52">
        <v>1296.78</v>
      </c>
      <c r="E47" s="29"/>
    </row>
    <row r="48" spans="1:5">
      <c r="A48" s="7">
        <f t="shared" si="0"/>
        <v>44</v>
      </c>
      <c r="B48" s="29" t="s">
        <v>288</v>
      </c>
      <c r="C48" s="58"/>
      <c r="D48" s="52">
        <v>843.77</v>
      </c>
      <c r="E48" s="29"/>
    </row>
    <row r="49" spans="1:8">
      <c r="A49" s="7">
        <f t="shared" si="0"/>
        <v>45</v>
      </c>
      <c r="B49" s="29" t="s">
        <v>238</v>
      </c>
      <c r="C49" s="58"/>
      <c r="D49" s="52">
        <v>1276.04</v>
      </c>
      <c r="E49" s="29"/>
    </row>
    <row r="50" spans="1:8">
      <c r="A50" s="7">
        <f t="shared" si="0"/>
        <v>46</v>
      </c>
      <c r="B50" s="37" t="s">
        <v>150</v>
      </c>
      <c r="C50" s="58"/>
      <c r="D50" s="52">
        <v>586.58000000000004</v>
      </c>
      <c r="E50" s="29"/>
    </row>
    <row r="51" spans="1:8">
      <c r="A51" s="7">
        <f t="shared" si="0"/>
        <v>47</v>
      </c>
      <c r="B51" s="29" t="s">
        <v>33</v>
      </c>
      <c r="C51" s="58">
        <v>1</v>
      </c>
      <c r="D51" s="52">
        <v>1010.63</v>
      </c>
      <c r="E51" s="29"/>
    </row>
    <row r="52" spans="1:8">
      <c r="A52" s="7">
        <f t="shared" si="0"/>
        <v>48</v>
      </c>
      <c r="B52" s="37" t="s">
        <v>34</v>
      </c>
      <c r="C52" s="58">
        <v>1</v>
      </c>
      <c r="D52" s="54">
        <v>1238.43</v>
      </c>
      <c r="E52" s="29"/>
    </row>
    <row r="53" spans="1:8">
      <c r="A53" s="7">
        <f t="shared" si="0"/>
        <v>49</v>
      </c>
      <c r="B53" s="29" t="s">
        <v>91</v>
      </c>
      <c r="C53" s="7"/>
      <c r="D53" s="54">
        <v>517.85</v>
      </c>
      <c r="E53" s="29"/>
    </row>
    <row r="54" spans="1:8">
      <c r="A54" s="7">
        <f t="shared" si="0"/>
        <v>50</v>
      </c>
      <c r="B54" s="37" t="s">
        <v>333</v>
      </c>
      <c r="C54" s="7"/>
      <c r="D54" s="52">
        <v>490.62</v>
      </c>
      <c r="E54" s="29"/>
    </row>
    <row r="55" spans="1:8">
      <c r="A55" s="7">
        <f t="shared" si="0"/>
        <v>51</v>
      </c>
      <c r="B55" s="37" t="s">
        <v>350</v>
      </c>
      <c r="C55" s="7"/>
      <c r="D55" s="52">
        <v>469.87</v>
      </c>
      <c r="E55" s="29" t="s">
        <v>353</v>
      </c>
    </row>
    <row r="56" spans="1:8">
      <c r="C56" s="105" t="s">
        <v>313</v>
      </c>
      <c r="D56" s="116">
        <f>SUM(D5:D55)</f>
        <v>46360.57</v>
      </c>
    </row>
    <row r="57" spans="1:8">
      <c r="A57" s="101" t="s">
        <v>289</v>
      </c>
      <c r="B57" s="29" t="s">
        <v>254</v>
      </c>
      <c r="C57" s="7"/>
      <c r="D57" s="52">
        <v>453.01</v>
      </c>
      <c r="E57" s="29"/>
    </row>
    <row r="58" spans="1:8">
      <c r="A58" s="106" t="s">
        <v>289</v>
      </c>
      <c r="B58" s="107" t="s">
        <v>268</v>
      </c>
      <c r="C58" s="108"/>
      <c r="D58" s="127">
        <v>500.99</v>
      </c>
      <c r="E58" s="110"/>
    </row>
    <row r="59" spans="1:8">
      <c r="A59" s="113"/>
      <c r="B59" s="102"/>
      <c r="C59" s="115" t="s">
        <v>323</v>
      </c>
      <c r="D59" s="117">
        <f>SUM(D57:D58)</f>
        <v>954</v>
      </c>
      <c r="E59" s="114"/>
      <c r="G59" s="15"/>
      <c r="H59" s="15"/>
    </row>
    <row r="60" spans="1:8">
      <c r="A60" s="458" t="s">
        <v>315</v>
      </c>
      <c r="B60" s="459"/>
      <c r="C60" s="460"/>
      <c r="D60" s="111">
        <f>D56+D59</f>
        <v>47314.57</v>
      </c>
      <c r="E60" s="112"/>
    </row>
    <row r="61" spans="1:8">
      <c r="A61" s="431" t="s">
        <v>258</v>
      </c>
      <c r="B61" s="432"/>
      <c r="C61" s="7">
        <f>COUNTA(B5:B59)</f>
        <v>53</v>
      </c>
      <c r="D61" s="52"/>
      <c r="E61" s="29"/>
    </row>
    <row r="62" spans="1:8">
      <c r="A62" s="431" t="s">
        <v>242</v>
      </c>
      <c r="B62" s="432"/>
      <c r="C62" s="58">
        <f>SUM(C5:C58)</f>
        <v>17</v>
      </c>
      <c r="D62" s="52"/>
      <c r="E62" s="29"/>
    </row>
    <row r="63" spans="1:8">
      <c r="A63" s="433" t="s">
        <v>246</v>
      </c>
      <c r="B63" s="434"/>
      <c r="C63" s="86">
        <f>C61+C62</f>
        <v>70</v>
      </c>
      <c r="D63" s="52"/>
      <c r="E63" s="29"/>
    </row>
    <row r="64" spans="1:8">
      <c r="A64" s="425" t="s">
        <v>257</v>
      </c>
      <c r="B64" s="426"/>
      <c r="C64" s="427"/>
      <c r="D64" s="77"/>
      <c r="E64" s="75"/>
      <c r="G64" s="15"/>
    </row>
    <row r="65" spans="1:5">
      <c r="A65" s="91"/>
      <c r="B65" s="37" t="s">
        <v>205</v>
      </c>
      <c r="C65" s="104"/>
      <c r="D65" s="135">
        <v>-469.87</v>
      </c>
      <c r="E65" s="29" t="s">
        <v>351</v>
      </c>
    </row>
    <row r="66" spans="1:5" ht="28">
      <c r="A66" s="91"/>
      <c r="B66" s="37" t="s">
        <v>350</v>
      </c>
      <c r="C66" s="104"/>
      <c r="D66" s="94">
        <v>939.74</v>
      </c>
      <c r="E66" s="137" t="s">
        <v>352</v>
      </c>
    </row>
    <row r="67" spans="1:5">
      <c r="A67" s="428" t="s">
        <v>265</v>
      </c>
      <c r="B67" s="429"/>
      <c r="C67" s="430"/>
      <c r="D67" s="83">
        <f>SUM(D65:D66)</f>
        <v>469.87</v>
      </c>
      <c r="E67" s="75"/>
    </row>
    <row r="68" spans="1:5">
      <c r="A68" s="422" t="s">
        <v>37</v>
      </c>
      <c r="B68" s="423"/>
      <c r="C68" s="424"/>
      <c r="D68" s="80">
        <f>D60+D67</f>
        <v>47784.44</v>
      </c>
      <c r="E68" s="84"/>
    </row>
    <row r="69" spans="1:5" ht="18">
      <c r="D69" s="72" t="s">
        <v>250</v>
      </c>
      <c r="E69" s="118">
        <v>44070</v>
      </c>
    </row>
    <row r="70" spans="1:5" ht="18">
      <c r="D70" s="73" t="s">
        <v>251</v>
      </c>
      <c r="E70" s="119" t="s">
        <v>337</v>
      </c>
    </row>
  </sheetData>
  <mergeCells count="7">
    <mergeCell ref="A68:C68"/>
    <mergeCell ref="A60:C60"/>
    <mergeCell ref="A61:B61"/>
    <mergeCell ref="A62:B62"/>
    <mergeCell ref="A63:B63"/>
    <mergeCell ref="A64:C64"/>
    <mergeCell ref="A67:C67"/>
  </mergeCells>
  <conditionalFormatting sqref="B12">
    <cfRule type="duplicateValues" dxfId="351" priority="9"/>
    <cfRule type="duplicateValues" dxfId="350" priority="12"/>
    <cfRule type="duplicateValues" dxfId="349" priority="13"/>
  </conditionalFormatting>
  <conditionalFormatting sqref="B26">
    <cfRule type="duplicateValues" dxfId="348" priority="27"/>
  </conditionalFormatting>
  <conditionalFormatting sqref="B57:B59 B5:B11 B13:B55">
    <cfRule type="duplicateValues" dxfId="347" priority="29"/>
  </conditionalFormatting>
  <conditionalFormatting sqref="B65">
    <cfRule type="duplicateValues" dxfId="346" priority="3"/>
    <cfRule type="duplicateValues" dxfId="345" priority="4"/>
    <cfRule type="duplicateValues" dxfId="344" priority="5"/>
  </conditionalFormatting>
  <conditionalFormatting sqref="B66">
    <cfRule type="duplicateValues" dxfId="343" priority="6"/>
    <cfRule type="duplicateValues" dxfId="342" priority="7"/>
    <cfRule type="duplicateValues" dxfId="341" priority="8"/>
  </conditionalFormatting>
  <conditionalFormatting sqref="B67:B70 B57:B64 B1:B11 B13:B55">
    <cfRule type="duplicateValues" dxfId="340" priority="28"/>
  </conditionalFormatting>
  <conditionalFormatting sqref="B67:B1048576 B13:B64 B1:B11">
    <cfRule type="duplicateValues" dxfId="339" priority="14"/>
  </conditionalFormatting>
  <conditionalFormatting sqref="B71:B1048576">
    <cfRule type="duplicateValues" dxfId="338" priority="26"/>
  </conditionalFormatting>
  <conditionalFormatting sqref="B15:C15">
    <cfRule type="duplicateValues" dxfId="337" priority="23"/>
    <cfRule type="duplicateValues" dxfId="336" priority="24"/>
    <cfRule type="duplicateValues" dxfId="335" priority="25"/>
  </conditionalFormatting>
  <conditionalFormatting sqref="B20:C20">
    <cfRule type="duplicateValues" dxfId="334" priority="20"/>
    <cfRule type="duplicateValues" dxfId="333" priority="21"/>
    <cfRule type="duplicateValues" dxfId="332" priority="22"/>
  </conditionalFormatting>
  <conditionalFormatting sqref="B21:C21">
    <cfRule type="duplicateValues" dxfId="331" priority="17"/>
    <cfRule type="duplicateValues" dxfId="330" priority="18"/>
    <cfRule type="duplicateValues" dxfId="329" priority="19"/>
  </conditionalFormatting>
  <conditionalFormatting sqref="C5:C55">
    <cfRule type="notContainsBlanks" dxfId="328" priority="11">
      <formula>LEN(TRIM(C5))&gt;0</formula>
    </cfRule>
  </conditionalFormatting>
  <conditionalFormatting sqref="C57:C58">
    <cfRule type="notContainsBlanks" dxfId="327" priority="16">
      <formula>LEN(TRIM(C57))&gt;0</formula>
    </cfRule>
  </conditionalFormatting>
  <conditionalFormatting sqref="E5:E55">
    <cfRule type="notContainsBlanks" dxfId="326" priority="10">
      <formula>LEN(TRIM(E5))&gt;0</formula>
    </cfRule>
  </conditionalFormatting>
  <conditionalFormatting sqref="E57:E68">
    <cfRule type="notContainsBlanks" dxfId="325" priority="1">
      <formula>LEN(TRIM(E57))&gt;0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C63E-3060-4047-8A5F-A5CC94959B74}">
  <sheetPr>
    <tabColor theme="8"/>
    <pageSetUpPr fitToPage="1"/>
  </sheetPr>
  <dimension ref="A1:H70"/>
  <sheetViews>
    <sheetView topLeftCell="A10" zoomScale="150" zoomScaleNormal="150" zoomScalePageLayoutView="140" workbookViewId="0">
      <selection activeCell="E19" sqref="E19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343</v>
      </c>
      <c r="E2" s="123">
        <v>44044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572.75</v>
      </c>
      <c r="E5" s="29"/>
    </row>
    <row r="6" spans="1:5">
      <c r="A6" s="7">
        <f>A5+1</f>
        <v>2</v>
      </c>
      <c r="B6" s="29" t="s">
        <v>72</v>
      </c>
      <c r="C6" s="7"/>
      <c r="D6" s="52">
        <v>1173.1600000000001</v>
      </c>
      <c r="E6" s="29"/>
    </row>
    <row r="7" spans="1:5">
      <c r="A7" s="7">
        <f>A6+1</f>
        <v>3</v>
      </c>
      <c r="B7" s="29" t="s">
        <v>62</v>
      </c>
      <c r="C7" s="7"/>
      <c r="D7" s="52">
        <v>1008.47</v>
      </c>
      <c r="E7" s="29"/>
    </row>
    <row r="8" spans="1:5">
      <c r="A8" s="7">
        <f t="shared" ref="A8:A54" si="0">A7+1</f>
        <v>4</v>
      </c>
      <c r="B8" s="37" t="s">
        <v>202</v>
      </c>
      <c r="C8" s="58"/>
      <c r="D8" s="52">
        <v>528.22</v>
      </c>
      <c r="E8" s="29"/>
    </row>
    <row r="9" spans="1:5">
      <c r="A9" s="7">
        <f t="shared" si="0"/>
        <v>5</v>
      </c>
      <c r="B9" s="29" t="s">
        <v>12</v>
      </c>
      <c r="C9" s="7">
        <v>1</v>
      </c>
      <c r="D9" s="52">
        <v>1485.68</v>
      </c>
      <c r="E9" s="29"/>
    </row>
    <row r="10" spans="1:5">
      <c r="A10" s="7">
        <f t="shared" si="0"/>
        <v>6</v>
      </c>
      <c r="B10" s="37" t="s">
        <v>48</v>
      </c>
      <c r="C10" s="58">
        <v>1</v>
      </c>
      <c r="D10" s="52">
        <v>845.66</v>
      </c>
      <c r="E10" s="29"/>
    </row>
    <row r="11" spans="1:5">
      <c r="A11" s="7">
        <f t="shared" si="0"/>
        <v>7</v>
      </c>
      <c r="B11" s="37" t="s">
        <v>205</v>
      </c>
      <c r="C11" s="58"/>
      <c r="D11" s="52">
        <v>469.87</v>
      </c>
      <c r="E11" s="29"/>
    </row>
    <row r="12" spans="1:5">
      <c r="A12" s="7">
        <f t="shared" si="0"/>
        <v>8</v>
      </c>
      <c r="B12" s="37" t="s">
        <v>236</v>
      </c>
      <c r="C12" s="58">
        <v>3</v>
      </c>
      <c r="D12" s="52">
        <v>1959.43</v>
      </c>
      <c r="E12" s="29"/>
    </row>
    <row r="13" spans="1:5">
      <c r="A13" s="7">
        <f t="shared" si="0"/>
        <v>9</v>
      </c>
      <c r="B13" s="37" t="s">
        <v>316</v>
      </c>
      <c r="C13" s="58"/>
      <c r="D13" s="52">
        <v>843.77</v>
      </c>
      <c r="E13" s="29"/>
    </row>
    <row r="14" spans="1:5">
      <c r="A14" s="7">
        <f t="shared" si="0"/>
        <v>10</v>
      </c>
      <c r="B14" s="37" t="s">
        <v>297</v>
      </c>
      <c r="C14" s="58"/>
      <c r="D14" s="52">
        <v>433.99</v>
      </c>
      <c r="E14" s="29"/>
    </row>
    <row r="15" spans="1:5">
      <c r="A15" s="7">
        <f t="shared" si="0"/>
        <v>11</v>
      </c>
      <c r="B15" s="37" t="s">
        <v>291</v>
      </c>
      <c r="C15" s="58">
        <v>1</v>
      </c>
      <c r="D15" s="52">
        <v>1288.57</v>
      </c>
      <c r="E15" s="29"/>
    </row>
    <row r="16" spans="1:5">
      <c r="A16" s="7">
        <f t="shared" si="0"/>
        <v>12</v>
      </c>
      <c r="B16" s="61" t="s">
        <v>230</v>
      </c>
      <c r="C16" s="62"/>
      <c r="D16" s="52">
        <v>1296.78</v>
      </c>
      <c r="E16" s="29"/>
    </row>
    <row r="17" spans="1:5">
      <c r="A17" s="7">
        <f t="shared" si="0"/>
        <v>13</v>
      </c>
      <c r="B17" s="29" t="s">
        <v>234</v>
      </c>
      <c r="C17" s="7"/>
      <c r="D17" s="52">
        <v>1214.6500000000001</v>
      </c>
      <c r="E17" s="29"/>
    </row>
    <row r="18" spans="1:5">
      <c r="A18" s="7">
        <f t="shared" si="0"/>
        <v>14</v>
      </c>
      <c r="B18" s="29" t="s">
        <v>237</v>
      </c>
      <c r="C18" s="7">
        <v>1</v>
      </c>
      <c r="D18" s="52">
        <v>835.29</v>
      </c>
      <c r="E18" s="29"/>
    </row>
    <row r="19" spans="1:5">
      <c r="A19" s="7">
        <f t="shared" si="0"/>
        <v>15</v>
      </c>
      <c r="B19" s="29" t="s">
        <v>298</v>
      </c>
      <c r="C19" s="7"/>
      <c r="D19" s="52">
        <v>500.99</v>
      </c>
      <c r="E19" s="29"/>
    </row>
    <row r="20" spans="1:5">
      <c r="A20" s="7">
        <v>16</v>
      </c>
      <c r="B20" s="29" t="s">
        <v>336</v>
      </c>
      <c r="C20" s="7">
        <v>1</v>
      </c>
      <c r="D20" s="52">
        <v>862.52</v>
      </c>
      <c r="E20" s="29"/>
    </row>
    <row r="21" spans="1:5">
      <c r="A21" s="7">
        <v>17</v>
      </c>
      <c r="B21" s="61" t="s">
        <v>228</v>
      </c>
      <c r="C21" s="62"/>
      <c r="D21" s="52">
        <v>922.88</v>
      </c>
      <c r="E21" s="29"/>
    </row>
    <row r="22" spans="1:5">
      <c r="A22" s="7">
        <f t="shared" si="0"/>
        <v>18</v>
      </c>
      <c r="B22" s="61" t="s">
        <v>229</v>
      </c>
      <c r="C22" s="62"/>
      <c r="D22" s="52">
        <v>1276.04</v>
      </c>
      <c r="E22" s="29"/>
    </row>
    <row r="23" spans="1:5">
      <c r="A23" s="7">
        <f t="shared" si="0"/>
        <v>19</v>
      </c>
      <c r="B23" s="29" t="s">
        <v>235</v>
      </c>
      <c r="C23" s="7"/>
      <c r="D23" s="52">
        <v>772.02</v>
      </c>
      <c r="E23" s="29"/>
    </row>
    <row r="24" spans="1:5">
      <c r="A24" s="7">
        <f t="shared" si="0"/>
        <v>20</v>
      </c>
      <c r="B24" s="37" t="s">
        <v>63</v>
      </c>
      <c r="C24" s="58">
        <v>2</v>
      </c>
      <c r="D24" s="52">
        <v>1367.12</v>
      </c>
      <c r="E24" s="29"/>
    </row>
    <row r="25" spans="1:5">
      <c r="A25" s="7">
        <f t="shared" si="0"/>
        <v>21</v>
      </c>
      <c r="B25" s="37" t="s">
        <v>168</v>
      </c>
      <c r="C25" s="58"/>
      <c r="D25" s="52">
        <v>1214.6500000000001</v>
      </c>
      <c r="E25" s="29"/>
    </row>
    <row r="26" spans="1:5">
      <c r="A26" s="7">
        <f t="shared" si="0"/>
        <v>22</v>
      </c>
      <c r="B26" s="37" t="s">
        <v>88</v>
      </c>
      <c r="C26" s="58"/>
      <c r="D26" s="52">
        <v>1125.18</v>
      </c>
      <c r="E26" s="29"/>
    </row>
    <row r="27" spans="1:5">
      <c r="A27" s="7">
        <f t="shared" si="0"/>
        <v>23</v>
      </c>
      <c r="B27" s="55" t="s">
        <v>232</v>
      </c>
      <c r="C27" s="7"/>
      <c r="D27" s="52">
        <v>648.39</v>
      </c>
      <c r="E27" s="29"/>
    </row>
    <row r="28" spans="1:5">
      <c r="A28" s="7">
        <f t="shared" si="0"/>
        <v>24</v>
      </c>
      <c r="B28" s="37" t="s">
        <v>231</v>
      </c>
      <c r="C28" s="58">
        <v>1</v>
      </c>
      <c r="D28" s="52">
        <v>1082.1099999999999</v>
      </c>
      <c r="E28" s="29"/>
    </row>
    <row r="29" spans="1:5">
      <c r="A29" s="7">
        <f t="shared" si="0"/>
        <v>25</v>
      </c>
      <c r="B29" s="29" t="s">
        <v>270</v>
      </c>
      <c r="C29" s="7">
        <v>1</v>
      </c>
      <c r="D29" s="52">
        <v>856.04</v>
      </c>
      <c r="E29" s="29"/>
    </row>
    <row r="30" spans="1:5">
      <c r="A30" s="7">
        <f t="shared" si="0"/>
        <v>26</v>
      </c>
      <c r="B30" s="29" t="s">
        <v>239</v>
      </c>
      <c r="C30" s="7"/>
      <c r="D30" s="52">
        <v>490.62</v>
      </c>
      <c r="E30" s="29"/>
    </row>
    <row r="31" spans="1:5">
      <c r="A31" s="7">
        <f t="shared" si="0"/>
        <v>27</v>
      </c>
      <c r="B31" s="37" t="s">
        <v>133</v>
      </c>
      <c r="C31" s="58"/>
      <c r="D31" s="52">
        <v>881.81</v>
      </c>
      <c r="E31" s="29"/>
    </row>
    <row r="32" spans="1:5">
      <c r="A32" s="7">
        <f t="shared" si="0"/>
        <v>28</v>
      </c>
      <c r="B32" s="37" t="s">
        <v>290</v>
      </c>
      <c r="C32" s="58"/>
      <c r="D32" s="52">
        <v>517.85</v>
      </c>
      <c r="E32" s="29"/>
    </row>
    <row r="33" spans="1:5">
      <c r="A33" s="7">
        <f t="shared" si="0"/>
        <v>29</v>
      </c>
      <c r="B33" s="37" t="s">
        <v>271</v>
      </c>
      <c r="C33" s="58">
        <v>1</v>
      </c>
      <c r="D33" s="52">
        <v>890.18</v>
      </c>
      <c r="E33" s="29"/>
    </row>
    <row r="34" spans="1:5">
      <c r="A34" s="7">
        <f t="shared" si="0"/>
        <v>30</v>
      </c>
      <c r="B34" s="37" t="s">
        <v>294</v>
      </c>
      <c r="C34" s="58"/>
      <c r="D34" s="52">
        <v>432.26</v>
      </c>
      <c r="E34" s="29"/>
    </row>
    <row r="35" spans="1:5">
      <c r="A35" s="7">
        <f t="shared" si="0"/>
        <v>31</v>
      </c>
      <c r="B35" s="37" t="s">
        <v>287</v>
      </c>
      <c r="C35" s="58"/>
      <c r="D35" s="52">
        <v>1214.6500000000001</v>
      </c>
      <c r="E35" s="29"/>
    </row>
    <row r="36" spans="1:5">
      <c r="A36" s="7">
        <f t="shared" si="0"/>
        <v>32</v>
      </c>
      <c r="B36" s="29" t="s">
        <v>219</v>
      </c>
      <c r="C36" s="7"/>
      <c r="D36" s="52">
        <v>432.26</v>
      </c>
      <c r="E36" s="29"/>
    </row>
    <row r="37" spans="1:5">
      <c r="A37" s="7">
        <f t="shared" si="0"/>
        <v>33</v>
      </c>
      <c r="B37" s="29" t="s">
        <v>325</v>
      </c>
      <c r="C37" s="7"/>
      <c r="D37" s="52">
        <v>511.37</v>
      </c>
      <c r="E37" s="29"/>
    </row>
    <row r="38" spans="1:5">
      <c r="A38" s="7">
        <f t="shared" si="0"/>
        <v>34</v>
      </c>
      <c r="B38" s="37" t="s">
        <v>233</v>
      </c>
      <c r="C38" s="58"/>
      <c r="D38" s="52">
        <v>1296.78</v>
      </c>
      <c r="E38" s="29"/>
    </row>
    <row r="39" spans="1:5">
      <c r="A39" s="7">
        <f t="shared" si="0"/>
        <v>35</v>
      </c>
      <c r="B39" s="37" t="s">
        <v>301</v>
      </c>
      <c r="C39" s="58"/>
      <c r="D39" s="52">
        <v>881.81</v>
      </c>
      <c r="E39" s="29"/>
    </row>
    <row r="40" spans="1:5">
      <c r="A40" s="7">
        <f t="shared" si="0"/>
        <v>36</v>
      </c>
      <c r="B40" s="37" t="s">
        <v>214</v>
      </c>
      <c r="C40" s="58">
        <v>1</v>
      </c>
      <c r="D40" s="52">
        <v>1438.72</v>
      </c>
      <c r="E40" s="29"/>
    </row>
    <row r="41" spans="1:5">
      <c r="A41" s="7">
        <f t="shared" si="0"/>
        <v>37</v>
      </c>
      <c r="B41" s="37" t="s">
        <v>284</v>
      </c>
      <c r="C41" s="58">
        <v>1</v>
      </c>
      <c r="D41" s="52">
        <v>1342.17</v>
      </c>
      <c r="E41" s="29"/>
    </row>
    <row r="42" spans="1:5">
      <c r="A42" s="7">
        <f t="shared" si="0"/>
        <v>38</v>
      </c>
      <c r="B42" s="29" t="s">
        <v>272</v>
      </c>
      <c r="C42" s="7"/>
      <c r="D42" s="52">
        <v>1173.1600000000001</v>
      </c>
      <c r="E42" s="29"/>
    </row>
    <row r="43" spans="1:5">
      <c r="A43" s="7">
        <f t="shared" si="0"/>
        <v>39</v>
      </c>
      <c r="B43" s="29" t="s">
        <v>207</v>
      </c>
      <c r="C43" s="7"/>
      <c r="D43" s="52">
        <v>442.64</v>
      </c>
      <c r="E43" s="29"/>
    </row>
    <row r="44" spans="1:5">
      <c r="A44" s="7">
        <f t="shared" si="0"/>
        <v>40</v>
      </c>
      <c r="B44" s="37" t="s">
        <v>90</v>
      </c>
      <c r="C44" s="58"/>
      <c r="D44" s="52">
        <v>922.88</v>
      </c>
      <c r="E44" s="29"/>
    </row>
    <row r="45" spans="1:5">
      <c r="A45" s="7">
        <f t="shared" si="0"/>
        <v>41</v>
      </c>
      <c r="B45" s="37" t="s">
        <v>134</v>
      </c>
      <c r="C45" s="58"/>
      <c r="D45" s="52">
        <v>500.99</v>
      </c>
      <c r="E45" s="29"/>
    </row>
    <row r="46" spans="1:5">
      <c r="A46" s="130">
        <v>42</v>
      </c>
      <c r="B46" s="134" t="s">
        <v>344</v>
      </c>
      <c r="C46" s="136"/>
      <c r="D46" s="132">
        <v>469.87</v>
      </c>
      <c r="E46" s="131" t="s">
        <v>345</v>
      </c>
    </row>
    <row r="47" spans="1:5">
      <c r="A47" s="7">
        <v>43</v>
      </c>
      <c r="B47" s="37" t="s">
        <v>273</v>
      </c>
      <c r="C47" s="58"/>
      <c r="D47" s="52">
        <v>675.62</v>
      </c>
      <c r="E47" s="29"/>
    </row>
    <row r="48" spans="1:5">
      <c r="A48" s="7">
        <f t="shared" si="0"/>
        <v>44</v>
      </c>
      <c r="B48" s="29" t="s">
        <v>41</v>
      </c>
      <c r="C48" s="58"/>
      <c r="D48" s="52">
        <v>1296.78</v>
      </c>
      <c r="E48" s="29"/>
    </row>
    <row r="49" spans="1:8">
      <c r="A49" s="7">
        <f t="shared" si="0"/>
        <v>45</v>
      </c>
      <c r="B49" s="29" t="s">
        <v>288</v>
      </c>
      <c r="C49" s="58"/>
      <c r="D49" s="52">
        <v>843.77</v>
      </c>
      <c r="E49" s="29"/>
    </row>
    <row r="50" spans="1:8">
      <c r="A50" s="7">
        <f t="shared" si="0"/>
        <v>46</v>
      </c>
      <c r="B50" s="29" t="s">
        <v>238</v>
      </c>
      <c r="C50" s="58"/>
      <c r="D50" s="52">
        <v>1276.04</v>
      </c>
      <c r="E50" s="29"/>
    </row>
    <row r="51" spans="1:8">
      <c r="A51" s="7">
        <f t="shared" si="0"/>
        <v>47</v>
      </c>
      <c r="B51" s="37" t="s">
        <v>150</v>
      </c>
      <c r="C51" s="58"/>
      <c r="D51" s="52">
        <v>586.58000000000004</v>
      </c>
      <c r="E51" s="29"/>
    </row>
    <row r="52" spans="1:8">
      <c r="A52" s="7">
        <f t="shared" si="0"/>
        <v>48</v>
      </c>
      <c r="B52" s="29" t="s">
        <v>33</v>
      </c>
      <c r="C52" s="58">
        <v>1</v>
      </c>
      <c r="D52" s="52">
        <v>1010.63</v>
      </c>
      <c r="E52" s="29"/>
    </row>
    <row r="53" spans="1:8">
      <c r="A53" s="7">
        <f t="shared" si="0"/>
        <v>49</v>
      </c>
      <c r="B53" s="37" t="s">
        <v>34</v>
      </c>
      <c r="C53" s="58">
        <v>1</v>
      </c>
      <c r="D53" s="54">
        <v>1238.43</v>
      </c>
      <c r="E53" s="29"/>
    </row>
    <row r="54" spans="1:8">
      <c r="A54" s="7">
        <f t="shared" si="0"/>
        <v>50</v>
      </c>
      <c r="B54" s="29" t="s">
        <v>91</v>
      </c>
      <c r="C54" s="7"/>
      <c r="D54" s="54">
        <v>517.85</v>
      </c>
      <c r="E54" s="29"/>
    </row>
    <row r="55" spans="1:8">
      <c r="A55" s="7">
        <v>51</v>
      </c>
      <c r="B55" s="37" t="s">
        <v>333</v>
      </c>
      <c r="C55" s="7"/>
      <c r="D55" s="52">
        <v>490.62</v>
      </c>
      <c r="E55" s="29"/>
    </row>
    <row r="56" spans="1:8">
      <c r="C56" s="105" t="s">
        <v>313</v>
      </c>
      <c r="D56" s="116">
        <f>SUM(D5:D55)</f>
        <v>46360.57</v>
      </c>
    </row>
    <row r="57" spans="1:8">
      <c r="A57" s="101" t="s">
        <v>289</v>
      </c>
      <c r="B57" s="29" t="s">
        <v>254</v>
      </c>
      <c r="C57" s="7"/>
      <c r="D57" s="52">
        <v>453.01</v>
      </c>
      <c r="E57" s="29"/>
    </row>
    <row r="58" spans="1:8">
      <c r="A58" s="106" t="s">
        <v>289</v>
      </c>
      <c r="B58" s="107" t="s">
        <v>268</v>
      </c>
      <c r="C58" s="108"/>
      <c r="D58" s="127">
        <v>500.99</v>
      </c>
      <c r="E58" s="110"/>
    </row>
    <row r="59" spans="1:8">
      <c r="A59" s="113"/>
      <c r="B59" s="102"/>
      <c r="C59" s="115" t="s">
        <v>323</v>
      </c>
      <c r="D59" s="117">
        <f>SUM(D57:D58)</f>
        <v>954</v>
      </c>
      <c r="E59" s="114"/>
      <c r="G59" s="15"/>
      <c r="H59" s="15"/>
    </row>
    <row r="60" spans="1:8">
      <c r="A60" s="458" t="s">
        <v>315</v>
      </c>
      <c r="B60" s="459"/>
      <c r="C60" s="460"/>
      <c r="D60" s="111">
        <f>D56+D59</f>
        <v>47314.57</v>
      </c>
      <c r="E60" s="112"/>
    </row>
    <row r="61" spans="1:8">
      <c r="A61" s="431" t="s">
        <v>258</v>
      </c>
      <c r="B61" s="432"/>
      <c r="C61" s="7">
        <f>COUNTA(B5:B59)</f>
        <v>53</v>
      </c>
      <c r="D61" s="52"/>
      <c r="E61" s="29"/>
    </row>
    <row r="62" spans="1:8">
      <c r="A62" s="431" t="s">
        <v>242</v>
      </c>
      <c r="B62" s="432"/>
      <c r="C62" s="58">
        <f>SUM(C5:C58)</f>
        <v>17</v>
      </c>
      <c r="D62" s="52"/>
      <c r="E62" s="29"/>
    </row>
    <row r="63" spans="1:8">
      <c r="A63" s="433" t="s">
        <v>246</v>
      </c>
      <c r="B63" s="434"/>
      <c r="C63" s="86">
        <f>C61+C62</f>
        <v>70</v>
      </c>
      <c r="D63" s="52"/>
      <c r="E63" s="29"/>
    </row>
    <row r="64" spans="1:8">
      <c r="A64" s="425" t="s">
        <v>257</v>
      </c>
      <c r="B64" s="426"/>
      <c r="C64" s="427"/>
      <c r="D64" s="77"/>
      <c r="E64" s="75"/>
      <c r="G64" s="15"/>
    </row>
    <row r="65" spans="1:5">
      <c r="A65" s="91"/>
      <c r="B65" s="37" t="s">
        <v>344</v>
      </c>
      <c r="C65" s="104"/>
      <c r="D65" s="135">
        <v>469.87</v>
      </c>
      <c r="E65" s="29" t="s">
        <v>346</v>
      </c>
    </row>
    <row r="66" spans="1:5">
      <c r="A66" s="91"/>
      <c r="B66" s="37" t="s">
        <v>344</v>
      </c>
      <c r="C66" s="104"/>
      <c r="D66" s="94">
        <v>469.87</v>
      </c>
      <c r="E66" s="29" t="s">
        <v>347</v>
      </c>
    </row>
    <row r="67" spans="1:5">
      <c r="A67" s="428" t="s">
        <v>265</v>
      </c>
      <c r="B67" s="429"/>
      <c r="C67" s="430"/>
      <c r="D67" s="83">
        <f>SUM(D65:D66)</f>
        <v>939.74</v>
      </c>
      <c r="E67" s="75"/>
    </row>
    <row r="68" spans="1:5">
      <c r="A68" s="422" t="s">
        <v>37</v>
      </c>
      <c r="B68" s="423"/>
      <c r="C68" s="424"/>
      <c r="D68" s="80">
        <f>D60+D67</f>
        <v>48254.31</v>
      </c>
      <c r="E68" s="84"/>
    </row>
    <row r="69" spans="1:5" ht="18">
      <c r="D69" s="72" t="s">
        <v>250</v>
      </c>
      <c r="E69" s="118">
        <v>44040</v>
      </c>
    </row>
    <row r="70" spans="1:5" ht="18">
      <c r="D70" s="73" t="s">
        <v>251</v>
      </c>
      <c r="E70" s="119" t="s">
        <v>337</v>
      </c>
    </row>
  </sheetData>
  <mergeCells count="7">
    <mergeCell ref="A68:C68"/>
    <mergeCell ref="A60:C60"/>
    <mergeCell ref="A61:B61"/>
    <mergeCell ref="A62:B62"/>
    <mergeCell ref="A63:B63"/>
    <mergeCell ref="A64:C64"/>
    <mergeCell ref="A67:C67"/>
  </mergeCells>
  <conditionalFormatting sqref="B13">
    <cfRule type="duplicateValues" dxfId="324" priority="10"/>
    <cfRule type="duplicateValues" dxfId="323" priority="13"/>
    <cfRule type="duplicateValues" dxfId="322" priority="14"/>
  </conditionalFormatting>
  <conditionalFormatting sqref="B27">
    <cfRule type="duplicateValues" dxfId="321" priority="28"/>
  </conditionalFormatting>
  <conditionalFormatting sqref="B57:B59 B5:B12 B14:B55">
    <cfRule type="duplicateValues" dxfId="320" priority="30"/>
  </conditionalFormatting>
  <conditionalFormatting sqref="B65">
    <cfRule type="duplicateValues" dxfId="319" priority="3"/>
    <cfRule type="duplicateValues" dxfId="318" priority="4"/>
    <cfRule type="duplicateValues" dxfId="317" priority="5"/>
  </conditionalFormatting>
  <conditionalFormatting sqref="B66">
    <cfRule type="duplicateValues" dxfId="316" priority="7"/>
    <cfRule type="duplicateValues" dxfId="315" priority="8"/>
    <cfRule type="duplicateValues" dxfId="314" priority="9"/>
  </conditionalFormatting>
  <conditionalFormatting sqref="B67:B70 B57:B64 B1:B12 B14:B55">
    <cfRule type="duplicateValues" dxfId="313" priority="29"/>
  </conditionalFormatting>
  <conditionalFormatting sqref="B67:B1048576 B14:B64 B1:B12">
    <cfRule type="duplicateValues" dxfId="312" priority="15"/>
  </conditionalFormatting>
  <conditionalFormatting sqref="B71:B1048576">
    <cfRule type="duplicateValues" dxfId="311" priority="27"/>
  </conditionalFormatting>
  <conditionalFormatting sqref="B16:C16">
    <cfRule type="duplicateValues" dxfId="310" priority="24"/>
    <cfRule type="duplicateValues" dxfId="309" priority="25"/>
    <cfRule type="duplicateValues" dxfId="308" priority="26"/>
  </conditionalFormatting>
  <conditionalFormatting sqref="B21:C21">
    <cfRule type="duplicateValues" dxfId="307" priority="21"/>
    <cfRule type="duplicateValues" dxfId="306" priority="22"/>
    <cfRule type="duplicateValues" dxfId="305" priority="23"/>
  </conditionalFormatting>
  <conditionalFormatting sqref="B22:C22">
    <cfRule type="duplicateValues" dxfId="304" priority="18"/>
    <cfRule type="duplicateValues" dxfId="303" priority="19"/>
    <cfRule type="duplicateValues" dxfId="302" priority="20"/>
  </conditionalFormatting>
  <conditionalFormatting sqref="C5:C55">
    <cfRule type="notContainsBlanks" dxfId="301" priority="12">
      <formula>LEN(TRIM(C5))&gt;0</formula>
    </cfRule>
  </conditionalFormatting>
  <conditionalFormatting sqref="C57:C58">
    <cfRule type="notContainsBlanks" dxfId="300" priority="17">
      <formula>LEN(TRIM(C57))&gt;0</formula>
    </cfRule>
  </conditionalFormatting>
  <conditionalFormatting sqref="E5:E55">
    <cfRule type="notContainsBlanks" dxfId="299" priority="11">
      <formula>LEN(TRIM(E5))&gt;0</formula>
    </cfRule>
  </conditionalFormatting>
  <conditionalFormatting sqref="E57:E68">
    <cfRule type="notContainsBlanks" dxfId="298" priority="1">
      <formula>LEN(TRIM(E57))&gt;0</formula>
    </cfRule>
  </conditionalFormatting>
  <pageMargins left="1" right="1" top="1" bottom="1" header="0.5" footer="0.5"/>
  <pageSetup scale="70" fitToWidth="0" orientation="portrait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CB64-93BE-814E-90A5-CDB8007573AD}">
  <sheetPr>
    <tabColor theme="8"/>
    <pageSetUpPr fitToPage="1"/>
  </sheetPr>
  <dimension ref="A1:H69"/>
  <sheetViews>
    <sheetView topLeftCell="A44" zoomScale="150" zoomScaleNormal="150" zoomScalePageLayoutView="140" workbookViewId="0">
      <selection activeCell="D20" sqref="D20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68" t="s">
        <v>342</v>
      </c>
      <c r="E1" s="68" t="s">
        <v>223</v>
      </c>
    </row>
    <row r="2" spans="1:5" ht="13.5" customHeight="1">
      <c r="A2" s="1" t="s">
        <v>249</v>
      </c>
      <c r="D2" s="7" t="s">
        <v>348</v>
      </c>
      <c r="E2" s="123">
        <v>44044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572.75</v>
      </c>
      <c r="E5" s="29"/>
    </row>
    <row r="6" spans="1:5">
      <c r="A6" s="7">
        <f>A5+1</f>
        <v>2</v>
      </c>
      <c r="B6" s="29" t="s">
        <v>72</v>
      </c>
      <c r="C6" s="7"/>
      <c r="D6" s="52">
        <v>1173.1600000000001</v>
      </c>
      <c r="E6" s="29"/>
    </row>
    <row r="7" spans="1:5">
      <c r="A7" s="7">
        <f>A6+1</f>
        <v>3</v>
      </c>
      <c r="B7" s="29" t="s">
        <v>62</v>
      </c>
      <c r="C7" s="7"/>
      <c r="D7" s="52">
        <v>1008.47</v>
      </c>
      <c r="E7" s="29"/>
    </row>
    <row r="8" spans="1:5">
      <c r="A8" s="7">
        <f t="shared" ref="A8:A53" si="0">A7+1</f>
        <v>4</v>
      </c>
      <c r="B8" s="37" t="s">
        <v>202</v>
      </c>
      <c r="C8" s="58"/>
      <c r="D8" s="52">
        <v>528.22</v>
      </c>
      <c r="E8" s="29"/>
    </row>
    <row r="9" spans="1:5">
      <c r="A9" s="7">
        <f t="shared" si="0"/>
        <v>5</v>
      </c>
      <c r="B9" s="29" t="s">
        <v>12</v>
      </c>
      <c r="C9" s="7">
        <v>1</v>
      </c>
      <c r="D9" s="52">
        <v>1485.68</v>
      </c>
      <c r="E9" s="29"/>
    </row>
    <row r="10" spans="1:5">
      <c r="A10" s="7">
        <f t="shared" si="0"/>
        <v>6</v>
      </c>
      <c r="B10" s="37" t="s">
        <v>48</v>
      </c>
      <c r="C10" s="58">
        <v>1</v>
      </c>
      <c r="D10" s="52">
        <v>845.66</v>
      </c>
      <c r="E10" s="29"/>
    </row>
    <row r="11" spans="1:5">
      <c r="A11" s="7">
        <f t="shared" si="0"/>
        <v>7</v>
      </c>
      <c r="B11" s="37" t="s">
        <v>205</v>
      </c>
      <c r="C11" s="58"/>
      <c r="D11" s="52">
        <v>469.87</v>
      </c>
      <c r="E11" s="29"/>
    </row>
    <row r="12" spans="1:5">
      <c r="A12" s="7">
        <f t="shared" si="0"/>
        <v>8</v>
      </c>
      <c r="B12" s="37" t="s">
        <v>236</v>
      </c>
      <c r="C12" s="58">
        <v>3</v>
      </c>
      <c r="D12" s="52">
        <v>1959.43</v>
      </c>
      <c r="E12" s="29"/>
    </row>
    <row r="13" spans="1:5">
      <c r="A13" s="7">
        <f t="shared" si="0"/>
        <v>9</v>
      </c>
      <c r="B13" s="37" t="s">
        <v>316</v>
      </c>
      <c r="C13" s="58"/>
      <c r="D13" s="52">
        <v>843.77</v>
      </c>
      <c r="E13" s="29"/>
    </row>
    <row r="14" spans="1:5">
      <c r="A14" s="7">
        <f t="shared" si="0"/>
        <v>10</v>
      </c>
      <c r="B14" s="37" t="s">
        <v>297</v>
      </c>
      <c r="C14" s="58"/>
      <c r="D14" s="52">
        <v>433.99</v>
      </c>
      <c r="E14" s="29"/>
    </row>
    <row r="15" spans="1:5">
      <c r="A15" s="7">
        <f t="shared" si="0"/>
        <v>11</v>
      </c>
      <c r="B15" s="37" t="s">
        <v>291</v>
      </c>
      <c r="C15" s="58">
        <v>1</v>
      </c>
      <c r="D15" s="52">
        <v>1288.57</v>
      </c>
      <c r="E15" s="29"/>
    </row>
    <row r="16" spans="1:5">
      <c r="A16" s="7">
        <f t="shared" si="0"/>
        <v>12</v>
      </c>
      <c r="B16" s="61" t="s">
        <v>230</v>
      </c>
      <c r="C16" s="62"/>
      <c r="D16" s="52">
        <v>1296.78</v>
      </c>
      <c r="E16" s="29"/>
    </row>
    <row r="17" spans="1:5">
      <c r="A17" s="7">
        <f t="shared" si="0"/>
        <v>13</v>
      </c>
      <c r="B17" s="29" t="s">
        <v>234</v>
      </c>
      <c r="C17" s="7"/>
      <c r="D17" s="52">
        <v>1214.6500000000001</v>
      </c>
      <c r="E17" s="29"/>
    </row>
    <row r="18" spans="1:5">
      <c r="A18" s="7">
        <f t="shared" si="0"/>
        <v>14</v>
      </c>
      <c r="B18" s="29" t="s">
        <v>237</v>
      </c>
      <c r="C18" s="7">
        <v>1</v>
      </c>
      <c r="D18" s="52">
        <v>835.29</v>
      </c>
      <c r="E18" s="29"/>
    </row>
    <row r="19" spans="1:5">
      <c r="A19" s="7">
        <f t="shared" si="0"/>
        <v>15</v>
      </c>
      <c r="B19" s="29" t="s">
        <v>298</v>
      </c>
      <c r="C19" s="7"/>
      <c r="D19" s="52">
        <v>500.99</v>
      </c>
      <c r="E19" s="29"/>
    </row>
    <row r="20" spans="1:5">
      <c r="A20" s="7">
        <v>16</v>
      </c>
      <c r="B20" s="29" t="s">
        <v>336</v>
      </c>
      <c r="C20" s="7">
        <v>1</v>
      </c>
      <c r="D20" s="52">
        <v>862.52</v>
      </c>
      <c r="E20" s="29"/>
    </row>
    <row r="21" spans="1:5">
      <c r="A21" s="7">
        <v>17</v>
      </c>
      <c r="B21" s="61" t="s">
        <v>228</v>
      </c>
      <c r="C21" s="62"/>
      <c r="D21" s="52">
        <v>922.88</v>
      </c>
      <c r="E21" s="29"/>
    </row>
    <row r="22" spans="1:5">
      <c r="A22" s="7">
        <f t="shared" si="0"/>
        <v>18</v>
      </c>
      <c r="B22" s="61" t="s">
        <v>229</v>
      </c>
      <c r="C22" s="62"/>
      <c r="D22" s="52">
        <v>1276.04</v>
      </c>
      <c r="E22" s="29"/>
    </row>
    <row r="23" spans="1:5">
      <c r="A23" s="7">
        <f t="shared" si="0"/>
        <v>19</v>
      </c>
      <c r="B23" s="29" t="s">
        <v>235</v>
      </c>
      <c r="C23" s="7"/>
      <c r="D23" s="52">
        <v>772.02</v>
      </c>
      <c r="E23" s="29"/>
    </row>
    <row r="24" spans="1:5">
      <c r="A24" s="7">
        <f t="shared" si="0"/>
        <v>20</v>
      </c>
      <c r="B24" s="37" t="s">
        <v>63</v>
      </c>
      <c r="C24" s="58">
        <v>2</v>
      </c>
      <c r="D24" s="52">
        <v>1367.12</v>
      </c>
      <c r="E24" s="29"/>
    </row>
    <row r="25" spans="1:5">
      <c r="A25" s="7">
        <f t="shared" si="0"/>
        <v>21</v>
      </c>
      <c r="B25" s="37" t="s">
        <v>168</v>
      </c>
      <c r="C25" s="58"/>
      <c r="D25" s="52">
        <v>1214.6500000000001</v>
      </c>
      <c r="E25" s="29"/>
    </row>
    <row r="26" spans="1:5">
      <c r="A26" s="7">
        <f t="shared" si="0"/>
        <v>22</v>
      </c>
      <c r="B26" s="37" t="s">
        <v>88</v>
      </c>
      <c r="C26" s="58"/>
      <c r="D26" s="52">
        <v>1125.18</v>
      </c>
      <c r="E26" s="29"/>
    </row>
    <row r="27" spans="1:5">
      <c r="A27" s="7">
        <f t="shared" si="0"/>
        <v>23</v>
      </c>
      <c r="B27" s="55" t="s">
        <v>232</v>
      </c>
      <c r="C27" s="7"/>
      <c r="D27" s="52">
        <v>648.39</v>
      </c>
      <c r="E27" s="29"/>
    </row>
    <row r="28" spans="1:5">
      <c r="A28" s="7">
        <f t="shared" si="0"/>
        <v>24</v>
      </c>
      <c r="B28" s="37" t="s">
        <v>231</v>
      </c>
      <c r="C28" s="58">
        <v>1</v>
      </c>
      <c r="D28" s="52">
        <v>1082.1099999999999</v>
      </c>
      <c r="E28" s="29"/>
    </row>
    <row r="29" spans="1:5">
      <c r="A29" s="7">
        <f t="shared" si="0"/>
        <v>25</v>
      </c>
      <c r="B29" s="29" t="s">
        <v>270</v>
      </c>
      <c r="C29" s="7">
        <v>1</v>
      </c>
      <c r="D29" s="52">
        <v>856.04</v>
      </c>
      <c r="E29" s="29"/>
    </row>
    <row r="30" spans="1:5">
      <c r="A30" s="7">
        <f t="shared" si="0"/>
        <v>26</v>
      </c>
      <c r="B30" s="29" t="s">
        <v>239</v>
      </c>
      <c r="C30" s="7"/>
      <c r="D30" s="52">
        <v>490.62</v>
      </c>
      <c r="E30" s="29"/>
    </row>
    <row r="31" spans="1:5">
      <c r="A31" s="7">
        <f t="shared" si="0"/>
        <v>27</v>
      </c>
      <c r="B31" s="37" t="s">
        <v>133</v>
      </c>
      <c r="C31" s="58"/>
      <c r="D31" s="52">
        <v>881.81</v>
      </c>
      <c r="E31" s="29"/>
    </row>
    <row r="32" spans="1:5">
      <c r="A32" s="7">
        <f t="shared" si="0"/>
        <v>28</v>
      </c>
      <c r="B32" s="37" t="s">
        <v>290</v>
      </c>
      <c r="C32" s="58"/>
      <c r="D32" s="52">
        <v>517.85</v>
      </c>
      <c r="E32" s="29"/>
    </row>
    <row r="33" spans="1:5">
      <c r="A33" s="7">
        <f t="shared" si="0"/>
        <v>29</v>
      </c>
      <c r="B33" s="37" t="s">
        <v>271</v>
      </c>
      <c r="C33" s="58">
        <v>1</v>
      </c>
      <c r="D33" s="52">
        <v>890.18</v>
      </c>
      <c r="E33" s="29"/>
    </row>
    <row r="34" spans="1:5">
      <c r="A34" s="7">
        <f t="shared" si="0"/>
        <v>30</v>
      </c>
      <c r="B34" s="37" t="s">
        <v>294</v>
      </c>
      <c r="C34" s="58"/>
      <c r="D34" s="52">
        <v>432.26</v>
      </c>
      <c r="E34" s="29"/>
    </row>
    <row r="35" spans="1:5">
      <c r="A35" s="7">
        <f t="shared" si="0"/>
        <v>31</v>
      </c>
      <c r="B35" s="37" t="s">
        <v>287</v>
      </c>
      <c r="C35" s="58"/>
      <c r="D35" s="52">
        <v>1214.6500000000001</v>
      </c>
      <c r="E35" s="29"/>
    </row>
    <row r="36" spans="1:5">
      <c r="A36" s="7">
        <f t="shared" si="0"/>
        <v>32</v>
      </c>
      <c r="B36" s="29" t="s">
        <v>219</v>
      </c>
      <c r="C36" s="7"/>
      <c r="D36" s="52">
        <v>432.26</v>
      </c>
      <c r="E36" s="29"/>
    </row>
    <row r="37" spans="1:5">
      <c r="A37" s="7">
        <f t="shared" si="0"/>
        <v>33</v>
      </c>
      <c r="B37" s="29" t="s">
        <v>325</v>
      </c>
      <c r="C37" s="7"/>
      <c r="D37" s="52">
        <v>511.37</v>
      </c>
      <c r="E37" s="29"/>
    </row>
    <row r="38" spans="1:5">
      <c r="A38" s="7">
        <f t="shared" si="0"/>
        <v>34</v>
      </c>
      <c r="B38" s="37" t="s">
        <v>233</v>
      </c>
      <c r="C38" s="58"/>
      <c r="D38" s="52">
        <v>1296.78</v>
      </c>
      <c r="E38" s="29"/>
    </row>
    <row r="39" spans="1:5">
      <c r="A39" s="7">
        <f t="shared" si="0"/>
        <v>35</v>
      </c>
      <c r="B39" s="37" t="s">
        <v>301</v>
      </c>
      <c r="C39" s="58"/>
      <c r="D39" s="52">
        <v>881.81</v>
      </c>
      <c r="E39" s="29"/>
    </row>
    <row r="40" spans="1:5">
      <c r="A40" s="7">
        <f t="shared" si="0"/>
        <v>36</v>
      </c>
      <c r="B40" s="37" t="s">
        <v>214</v>
      </c>
      <c r="C40" s="58">
        <v>1</v>
      </c>
      <c r="D40" s="52">
        <v>1438.72</v>
      </c>
      <c r="E40" s="29"/>
    </row>
    <row r="41" spans="1:5">
      <c r="A41" s="7">
        <f t="shared" si="0"/>
        <v>37</v>
      </c>
      <c r="B41" s="37" t="s">
        <v>284</v>
      </c>
      <c r="C41" s="58">
        <v>1</v>
      </c>
      <c r="D41" s="52">
        <v>1342.17</v>
      </c>
      <c r="E41" s="29" t="s">
        <v>341</v>
      </c>
    </row>
    <row r="42" spans="1:5">
      <c r="A42" s="7">
        <f t="shared" si="0"/>
        <v>38</v>
      </c>
      <c r="B42" s="29" t="s">
        <v>272</v>
      </c>
      <c r="C42" s="7"/>
      <c r="D42" s="52">
        <v>1173.1600000000001</v>
      </c>
      <c r="E42" s="29"/>
    </row>
    <row r="43" spans="1:5">
      <c r="A43" s="7">
        <f t="shared" si="0"/>
        <v>39</v>
      </c>
      <c r="B43" s="29" t="s">
        <v>207</v>
      </c>
      <c r="C43" s="7"/>
      <c r="D43" s="52">
        <v>442.64</v>
      </c>
      <c r="E43" s="29"/>
    </row>
    <row r="44" spans="1:5">
      <c r="A44" s="7">
        <f t="shared" si="0"/>
        <v>40</v>
      </c>
      <c r="B44" s="37" t="s">
        <v>90</v>
      </c>
      <c r="C44" s="58"/>
      <c r="D44" s="52">
        <v>922.88</v>
      </c>
      <c r="E44" s="29"/>
    </row>
    <row r="45" spans="1:5">
      <c r="A45" s="7">
        <f t="shared" si="0"/>
        <v>41</v>
      </c>
      <c r="B45" s="37" t="s">
        <v>134</v>
      </c>
      <c r="C45" s="58"/>
      <c r="D45" s="52">
        <v>500.99</v>
      </c>
      <c r="E45" s="29"/>
    </row>
    <row r="46" spans="1:5">
      <c r="A46" s="7">
        <f t="shared" si="0"/>
        <v>42</v>
      </c>
      <c r="B46" s="37" t="s">
        <v>273</v>
      </c>
      <c r="C46" s="58"/>
      <c r="D46" s="52">
        <v>675.62</v>
      </c>
      <c r="E46" s="29"/>
    </row>
    <row r="47" spans="1:5">
      <c r="A47" s="7">
        <f t="shared" si="0"/>
        <v>43</v>
      </c>
      <c r="B47" s="29" t="s">
        <v>41</v>
      </c>
      <c r="C47" s="58"/>
      <c r="D47" s="52">
        <v>1296.78</v>
      </c>
      <c r="E47" s="29"/>
    </row>
    <row r="48" spans="1:5">
      <c r="A48" s="7">
        <f t="shared" si="0"/>
        <v>44</v>
      </c>
      <c r="B48" s="29" t="s">
        <v>288</v>
      </c>
      <c r="C48" s="58"/>
      <c r="D48" s="52">
        <v>843.77</v>
      </c>
      <c r="E48" s="29"/>
    </row>
    <row r="49" spans="1:8">
      <c r="A49" s="7">
        <f t="shared" si="0"/>
        <v>45</v>
      </c>
      <c r="B49" s="29" t="s">
        <v>238</v>
      </c>
      <c r="C49" s="58"/>
      <c r="D49" s="52">
        <v>1276.04</v>
      </c>
      <c r="E49" s="29"/>
    </row>
    <row r="50" spans="1:8">
      <c r="A50" s="7">
        <f t="shared" si="0"/>
        <v>46</v>
      </c>
      <c r="B50" s="37" t="s">
        <v>150</v>
      </c>
      <c r="C50" s="58"/>
      <c r="D50" s="52">
        <v>586.58000000000004</v>
      </c>
      <c r="E50" s="29"/>
    </row>
    <row r="51" spans="1:8">
      <c r="A51" s="7">
        <f t="shared" si="0"/>
        <v>47</v>
      </c>
      <c r="B51" s="29" t="s">
        <v>33</v>
      </c>
      <c r="C51" s="58">
        <v>1</v>
      </c>
      <c r="D51" s="52">
        <v>1010.63</v>
      </c>
      <c r="E51" s="29"/>
    </row>
    <row r="52" spans="1:8">
      <c r="A52" s="7">
        <f t="shared" si="0"/>
        <v>48</v>
      </c>
      <c r="B52" s="37" t="s">
        <v>34</v>
      </c>
      <c r="C52" s="58">
        <v>1</v>
      </c>
      <c r="D52" s="54">
        <v>1238.43</v>
      </c>
      <c r="E52" s="29"/>
    </row>
    <row r="53" spans="1:8">
      <c r="A53" s="7">
        <f t="shared" si="0"/>
        <v>49</v>
      </c>
      <c r="B53" s="29" t="s">
        <v>91</v>
      </c>
      <c r="C53" s="7"/>
      <c r="D53" s="54">
        <v>517.85</v>
      </c>
      <c r="E53" s="29"/>
    </row>
    <row r="54" spans="1:8">
      <c r="A54" s="7">
        <v>50</v>
      </c>
      <c r="B54" s="37" t="s">
        <v>333</v>
      </c>
      <c r="C54" s="7"/>
      <c r="D54" s="52">
        <v>490.62</v>
      </c>
      <c r="E54" s="29"/>
    </row>
    <row r="55" spans="1:8">
      <c r="C55" s="105" t="s">
        <v>313</v>
      </c>
      <c r="D55" s="116">
        <f>SUM(D5:D54)</f>
        <v>45890.7</v>
      </c>
    </row>
    <row r="56" spans="1:8">
      <c r="A56" s="101" t="s">
        <v>289</v>
      </c>
      <c r="B56" s="29" t="s">
        <v>254</v>
      </c>
      <c r="C56" s="7"/>
      <c r="D56" s="52">
        <v>453.01</v>
      </c>
      <c r="E56" s="29"/>
    </row>
    <row r="57" spans="1:8">
      <c r="A57" s="106" t="s">
        <v>289</v>
      </c>
      <c r="B57" s="107" t="s">
        <v>268</v>
      </c>
      <c r="C57" s="108"/>
      <c r="D57" s="127">
        <v>500.99</v>
      </c>
      <c r="E57" s="110"/>
    </row>
    <row r="58" spans="1:8">
      <c r="A58" s="113"/>
      <c r="B58" s="102"/>
      <c r="C58" s="115" t="s">
        <v>323</v>
      </c>
      <c r="D58" s="117">
        <f>SUM(D56:D57)</f>
        <v>954</v>
      </c>
      <c r="E58" s="114"/>
      <c r="G58" s="15"/>
      <c r="H58" s="15"/>
    </row>
    <row r="59" spans="1:8">
      <c r="A59" s="458" t="s">
        <v>315</v>
      </c>
      <c r="B59" s="459"/>
      <c r="C59" s="460"/>
      <c r="D59" s="111">
        <f>D55+D58</f>
        <v>46844.7</v>
      </c>
      <c r="E59" s="112"/>
    </row>
    <row r="60" spans="1:8">
      <c r="A60" s="431" t="s">
        <v>258</v>
      </c>
      <c r="B60" s="432"/>
      <c r="C60" s="7">
        <f>COUNTA(B5:B58)</f>
        <v>52</v>
      </c>
      <c r="D60" s="52"/>
      <c r="E60" s="29"/>
    </row>
    <row r="61" spans="1:8">
      <c r="A61" s="431" t="s">
        <v>242</v>
      </c>
      <c r="B61" s="432"/>
      <c r="C61" s="58">
        <f>SUM(C5:C57)</f>
        <v>17</v>
      </c>
      <c r="D61" s="52"/>
      <c r="E61" s="29"/>
    </row>
    <row r="62" spans="1:8">
      <c r="A62" s="433" t="s">
        <v>246</v>
      </c>
      <c r="B62" s="434"/>
      <c r="C62" s="86">
        <f>C60+C61</f>
        <v>69</v>
      </c>
      <c r="D62" s="52"/>
      <c r="E62" s="29"/>
    </row>
    <row r="63" spans="1:8">
      <c r="A63" s="425" t="s">
        <v>257</v>
      </c>
      <c r="B63" s="426"/>
      <c r="C63" s="427"/>
      <c r="D63" s="77"/>
      <c r="E63" s="75"/>
      <c r="G63" s="15"/>
    </row>
    <row r="64" spans="1:8">
      <c r="A64" s="91"/>
      <c r="B64" s="37" t="s">
        <v>339</v>
      </c>
      <c r="C64" s="104"/>
      <c r="D64" s="135">
        <v>49984.97</v>
      </c>
      <c r="E64" s="29"/>
    </row>
    <row r="65" spans="1:5">
      <c r="A65" s="91"/>
      <c r="B65" s="37" t="s">
        <v>340</v>
      </c>
      <c r="C65" s="104"/>
      <c r="D65" s="94">
        <v>47278.69</v>
      </c>
      <c r="E65" s="29"/>
    </row>
    <row r="66" spans="1:5">
      <c r="A66" s="428" t="s">
        <v>265</v>
      </c>
      <c r="B66" s="429"/>
      <c r="C66" s="430"/>
      <c r="D66" s="83">
        <f>SUM(D64:D65)</f>
        <v>97263.66</v>
      </c>
      <c r="E66" s="75"/>
    </row>
    <row r="67" spans="1:5">
      <c r="A67" s="422" t="s">
        <v>37</v>
      </c>
      <c r="B67" s="423"/>
      <c r="C67" s="424"/>
      <c r="D67" s="80">
        <f>D59+D66</f>
        <v>144108.35999999999</v>
      </c>
      <c r="E67" s="84"/>
    </row>
    <row r="68" spans="1:5" ht="18">
      <c r="D68" s="72" t="s">
        <v>250</v>
      </c>
      <c r="E68" s="118">
        <v>44014</v>
      </c>
    </row>
    <row r="69" spans="1:5" ht="18">
      <c r="D69" s="73" t="s">
        <v>251</v>
      </c>
      <c r="E69" s="119" t="s">
        <v>337</v>
      </c>
    </row>
  </sheetData>
  <mergeCells count="7">
    <mergeCell ref="A67:C67"/>
    <mergeCell ref="A59:C59"/>
    <mergeCell ref="A60:B60"/>
    <mergeCell ref="A61:B61"/>
    <mergeCell ref="A62:B62"/>
    <mergeCell ref="A63:C63"/>
    <mergeCell ref="A66:C66"/>
  </mergeCells>
  <conditionalFormatting sqref="B13">
    <cfRule type="duplicateValues" dxfId="297" priority="9"/>
    <cfRule type="duplicateValues" dxfId="296" priority="12"/>
    <cfRule type="duplicateValues" dxfId="295" priority="13"/>
  </conditionalFormatting>
  <conditionalFormatting sqref="B27">
    <cfRule type="duplicateValues" dxfId="294" priority="27"/>
  </conditionalFormatting>
  <conditionalFormatting sqref="B56:B58 B5:B12 B14:B54">
    <cfRule type="duplicateValues" dxfId="293" priority="29"/>
  </conditionalFormatting>
  <conditionalFormatting sqref="B64">
    <cfRule type="duplicateValues" dxfId="292" priority="2"/>
    <cfRule type="duplicateValues" dxfId="291" priority="3"/>
    <cfRule type="duplicateValues" dxfId="290" priority="4"/>
  </conditionalFormatting>
  <conditionalFormatting sqref="B65">
    <cfRule type="duplicateValues" dxfId="289" priority="6"/>
    <cfRule type="duplicateValues" dxfId="288" priority="7"/>
    <cfRule type="duplicateValues" dxfId="287" priority="8"/>
  </conditionalFormatting>
  <conditionalFormatting sqref="B66:B69 B56:B63 B1:B12 B14:B54">
    <cfRule type="duplicateValues" dxfId="286" priority="28"/>
  </conditionalFormatting>
  <conditionalFormatting sqref="B66:B1048576 B14:B63 B1:B12">
    <cfRule type="duplicateValues" dxfId="285" priority="14"/>
  </conditionalFormatting>
  <conditionalFormatting sqref="B70:B1048576">
    <cfRule type="duplicateValues" dxfId="284" priority="26"/>
  </conditionalFormatting>
  <conditionalFormatting sqref="B16:C16">
    <cfRule type="duplicateValues" dxfId="283" priority="23"/>
    <cfRule type="duplicateValues" dxfId="282" priority="24"/>
    <cfRule type="duplicateValues" dxfId="281" priority="25"/>
  </conditionalFormatting>
  <conditionalFormatting sqref="B21:C21">
    <cfRule type="duplicateValues" dxfId="280" priority="20"/>
    <cfRule type="duplicateValues" dxfId="279" priority="21"/>
    <cfRule type="duplicateValues" dxfId="278" priority="22"/>
  </conditionalFormatting>
  <conditionalFormatting sqref="B22:C22">
    <cfRule type="duplicateValues" dxfId="277" priority="17"/>
    <cfRule type="duplicateValues" dxfId="276" priority="18"/>
    <cfRule type="duplicateValues" dxfId="275" priority="19"/>
  </conditionalFormatting>
  <conditionalFormatting sqref="C5:C54">
    <cfRule type="notContainsBlanks" dxfId="274" priority="11">
      <formula>LEN(TRIM(C5))&gt;0</formula>
    </cfRule>
  </conditionalFormatting>
  <conditionalFormatting sqref="C56:C57">
    <cfRule type="notContainsBlanks" dxfId="273" priority="16">
      <formula>LEN(TRIM(C56))&gt;0</formula>
    </cfRule>
  </conditionalFormatting>
  <conditionalFormatting sqref="E5:E54">
    <cfRule type="notContainsBlanks" dxfId="272" priority="10">
      <formula>LEN(TRIM(E5))&gt;0</formula>
    </cfRule>
  </conditionalFormatting>
  <conditionalFormatting sqref="E56:E67">
    <cfRule type="notContainsBlanks" dxfId="271" priority="1">
      <formula>LEN(TRIM(E56))&gt;0</formula>
    </cfRule>
  </conditionalFormatting>
  <pageMargins left="1" right="1" top="1" bottom="1" header="0.5" footer="0.5"/>
  <pageSetup scale="71" fitToWidth="0" orientation="portrait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7ED5-4D3C-814C-BC05-F9FDCEF23A58}">
  <sheetPr>
    <tabColor theme="8"/>
    <pageSetUpPr fitToPage="1"/>
  </sheetPr>
  <dimension ref="A1:H68"/>
  <sheetViews>
    <sheetView topLeftCell="A55" zoomScale="150" zoomScaleNormal="150" zoomScalePageLayoutView="140" workbookViewId="0">
      <selection activeCell="E19" sqref="E19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123">
        <v>44013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572.75</v>
      </c>
      <c r="E5" s="29"/>
    </row>
    <row r="6" spans="1:5">
      <c r="A6" s="7">
        <f>A5+1</f>
        <v>2</v>
      </c>
      <c r="B6" s="29" t="s">
        <v>72</v>
      </c>
      <c r="C6" s="7"/>
      <c r="D6" s="52">
        <v>1173.1600000000001</v>
      </c>
      <c r="E6" s="29"/>
    </row>
    <row r="7" spans="1:5">
      <c r="A7" s="7">
        <f>A6+1</f>
        <v>3</v>
      </c>
      <c r="B7" s="29" t="s">
        <v>62</v>
      </c>
      <c r="C7" s="7"/>
      <c r="D7" s="52">
        <v>1008.47</v>
      </c>
      <c r="E7" s="29"/>
    </row>
    <row r="8" spans="1:5">
      <c r="A8" s="7">
        <f t="shared" ref="A8:A53" si="0">A7+1</f>
        <v>4</v>
      </c>
      <c r="B8" s="37" t="s">
        <v>202</v>
      </c>
      <c r="C8" s="58"/>
      <c r="D8" s="52">
        <v>528.22</v>
      </c>
      <c r="E8" s="29"/>
    </row>
    <row r="9" spans="1:5">
      <c r="A9" s="7">
        <f t="shared" si="0"/>
        <v>5</v>
      </c>
      <c r="B9" s="29" t="s">
        <v>12</v>
      </c>
      <c r="C9" s="7">
        <v>1</v>
      </c>
      <c r="D9" s="52">
        <v>1485.68</v>
      </c>
      <c r="E9" s="29"/>
    </row>
    <row r="10" spans="1:5">
      <c r="A10" s="7">
        <f t="shared" si="0"/>
        <v>6</v>
      </c>
      <c r="B10" s="37" t="s">
        <v>48</v>
      </c>
      <c r="C10" s="58">
        <v>1</v>
      </c>
      <c r="D10" s="52">
        <v>845.66</v>
      </c>
      <c r="E10" s="29"/>
    </row>
    <row r="11" spans="1:5">
      <c r="A11" s="7">
        <f t="shared" si="0"/>
        <v>7</v>
      </c>
      <c r="B11" s="37" t="s">
        <v>205</v>
      </c>
      <c r="C11" s="58"/>
      <c r="D11" s="52">
        <v>469.87</v>
      </c>
      <c r="E11" s="29"/>
    </row>
    <row r="12" spans="1:5">
      <c r="A12" s="7">
        <f t="shared" si="0"/>
        <v>8</v>
      </c>
      <c r="B12" s="37" t="s">
        <v>236</v>
      </c>
      <c r="C12" s="58">
        <v>3</v>
      </c>
      <c r="D12" s="52">
        <v>1959.43</v>
      </c>
      <c r="E12" s="29"/>
    </row>
    <row r="13" spans="1:5">
      <c r="A13" s="7">
        <f t="shared" si="0"/>
        <v>9</v>
      </c>
      <c r="B13" s="37" t="s">
        <v>316</v>
      </c>
      <c r="C13" s="58"/>
      <c r="D13" s="52">
        <v>843.77</v>
      </c>
      <c r="E13" s="29"/>
    </row>
    <row r="14" spans="1:5">
      <c r="A14" s="7">
        <f t="shared" si="0"/>
        <v>10</v>
      </c>
      <c r="B14" s="37" t="s">
        <v>297</v>
      </c>
      <c r="C14" s="58"/>
      <c r="D14" s="52">
        <v>433.99</v>
      </c>
      <c r="E14" s="29"/>
    </row>
    <row r="15" spans="1:5">
      <c r="A15" s="7">
        <f t="shared" si="0"/>
        <v>11</v>
      </c>
      <c r="B15" s="37" t="s">
        <v>291</v>
      </c>
      <c r="C15" s="58">
        <v>1</v>
      </c>
      <c r="D15" s="52">
        <v>1288.57</v>
      </c>
      <c r="E15" s="29"/>
    </row>
    <row r="16" spans="1:5">
      <c r="A16" s="7">
        <f t="shared" si="0"/>
        <v>12</v>
      </c>
      <c r="B16" s="61" t="s">
        <v>230</v>
      </c>
      <c r="C16" s="62"/>
      <c r="D16" s="52">
        <v>1296.78</v>
      </c>
      <c r="E16" s="29"/>
    </row>
    <row r="17" spans="1:5">
      <c r="A17" s="7">
        <f t="shared" si="0"/>
        <v>13</v>
      </c>
      <c r="B17" s="29" t="s">
        <v>234</v>
      </c>
      <c r="C17" s="7"/>
      <c r="D17" s="52">
        <v>1214.6500000000001</v>
      </c>
      <c r="E17" s="29"/>
    </row>
    <row r="18" spans="1:5">
      <c r="A18" s="7">
        <f t="shared" si="0"/>
        <v>14</v>
      </c>
      <c r="B18" s="29" t="s">
        <v>237</v>
      </c>
      <c r="C18" s="7">
        <v>1</v>
      </c>
      <c r="D18" s="52">
        <v>835.29</v>
      </c>
      <c r="E18" s="29"/>
    </row>
    <row r="19" spans="1:5">
      <c r="A19" s="7">
        <f t="shared" si="0"/>
        <v>15</v>
      </c>
      <c r="B19" s="29" t="s">
        <v>298</v>
      </c>
      <c r="C19" s="7"/>
      <c r="D19" s="52">
        <v>500.99</v>
      </c>
      <c r="E19" s="29"/>
    </row>
    <row r="20" spans="1:5">
      <c r="A20" s="7">
        <v>16</v>
      </c>
      <c r="B20" s="131" t="s">
        <v>336</v>
      </c>
      <c r="C20" s="130">
        <v>1</v>
      </c>
      <c r="D20" s="132">
        <v>862.52</v>
      </c>
      <c r="E20" s="29" t="s">
        <v>338</v>
      </c>
    </row>
    <row r="21" spans="1:5">
      <c r="A21" s="7">
        <v>17</v>
      </c>
      <c r="B21" s="61" t="s">
        <v>228</v>
      </c>
      <c r="C21" s="62"/>
      <c r="D21" s="52">
        <v>922.88</v>
      </c>
      <c r="E21" s="29"/>
    </row>
    <row r="22" spans="1:5">
      <c r="A22" s="7">
        <f t="shared" si="0"/>
        <v>18</v>
      </c>
      <c r="B22" s="61" t="s">
        <v>229</v>
      </c>
      <c r="C22" s="62"/>
      <c r="D22" s="52">
        <v>1276.04</v>
      </c>
      <c r="E22" s="29"/>
    </row>
    <row r="23" spans="1:5">
      <c r="A23" s="7">
        <f t="shared" si="0"/>
        <v>19</v>
      </c>
      <c r="B23" s="29" t="s">
        <v>235</v>
      </c>
      <c r="C23" s="7"/>
      <c r="D23" s="52">
        <v>772.02</v>
      </c>
      <c r="E23" s="29"/>
    </row>
    <row r="24" spans="1:5">
      <c r="A24" s="7">
        <f t="shared" si="0"/>
        <v>20</v>
      </c>
      <c r="B24" s="37" t="s">
        <v>63</v>
      </c>
      <c r="C24" s="58">
        <v>2</v>
      </c>
      <c r="D24" s="52">
        <v>1367.12</v>
      </c>
      <c r="E24" s="29"/>
    </row>
    <row r="25" spans="1:5">
      <c r="A25" s="7">
        <f t="shared" si="0"/>
        <v>21</v>
      </c>
      <c r="B25" s="37" t="s">
        <v>168</v>
      </c>
      <c r="C25" s="58"/>
      <c r="D25" s="52">
        <v>1214.6500000000001</v>
      </c>
      <c r="E25" s="29"/>
    </row>
    <row r="26" spans="1:5">
      <c r="A26" s="7">
        <f t="shared" si="0"/>
        <v>22</v>
      </c>
      <c r="B26" s="37" t="s">
        <v>88</v>
      </c>
      <c r="C26" s="58"/>
      <c r="D26" s="52">
        <v>1125.18</v>
      </c>
      <c r="E26" s="29"/>
    </row>
    <row r="27" spans="1:5">
      <c r="A27" s="7">
        <f t="shared" si="0"/>
        <v>23</v>
      </c>
      <c r="B27" s="55" t="s">
        <v>232</v>
      </c>
      <c r="C27" s="7"/>
      <c r="D27" s="52">
        <v>648.39</v>
      </c>
      <c r="E27" s="29"/>
    </row>
    <row r="28" spans="1:5">
      <c r="A28" s="7">
        <f t="shared" si="0"/>
        <v>24</v>
      </c>
      <c r="B28" s="37" t="s">
        <v>231</v>
      </c>
      <c r="C28" s="58">
        <v>1</v>
      </c>
      <c r="D28" s="52">
        <v>1082.1099999999999</v>
      </c>
      <c r="E28" s="29"/>
    </row>
    <row r="29" spans="1:5">
      <c r="A29" s="7">
        <f t="shared" si="0"/>
        <v>25</v>
      </c>
      <c r="B29" s="29" t="s">
        <v>270</v>
      </c>
      <c r="C29" s="7">
        <v>1</v>
      </c>
      <c r="D29" s="52">
        <v>856.04</v>
      </c>
      <c r="E29" s="29"/>
    </row>
    <row r="30" spans="1:5">
      <c r="A30" s="7">
        <f t="shared" si="0"/>
        <v>26</v>
      </c>
      <c r="B30" s="29" t="s">
        <v>239</v>
      </c>
      <c r="C30" s="7"/>
      <c r="D30" s="52">
        <v>490.62</v>
      </c>
      <c r="E30" s="29"/>
    </row>
    <row r="31" spans="1:5">
      <c r="A31" s="7">
        <f t="shared" si="0"/>
        <v>27</v>
      </c>
      <c r="B31" s="37" t="s">
        <v>133</v>
      </c>
      <c r="C31" s="58"/>
      <c r="D31" s="52">
        <v>881.81</v>
      </c>
      <c r="E31" s="29"/>
    </row>
    <row r="32" spans="1:5">
      <c r="A32" s="7">
        <f t="shared" si="0"/>
        <v>28</v>
      </c>
      <c r="B32" s="37" t="s">
        <v>290</v>
      </c>
      <c r="C32" s="58"/>
      <c r="D32" s="52">
        <v>517.85</v>
      </c>
      <c r="E32" s="29"/>
    </row>
    <row r="33" spans="1:5">
      <c r="A33" s="7">
        <f t="shared" si="0"/>
        <v>29</v>
      </c>
      <c r="B33" s="37" t="s">
        <v>271</v>
      </c>
      <c r="C33" s="58">
        <v>1</v>
      </c>
      <c r="D33" s="52">
        <v>890.18</v>
      </c>
      <c r="E33" s="29"/>
    </row>
    <row r="34" spans="1:5">
      <c r="A34" s="7">
        <f t="shared" si="0"/>
        <v>30</v>
      </c>
      <c r="B34" s="37" t="s">
        <v>294</v>
      </c>
      <c r="C34" s="58"/>
      <c r="D34" s="52">
        <v>432.26</v>
      </c>
      <c r="E34" s="29"/>
    </row>
    <row r="35" spans="1:5">
      <c r="A35" s="7">
        <f t="shared" si="0"/>
        <v>31</v>
      </c>
      <c r="B35" s="37" t="s">
        <v>287</v>
      </c>
      <c r="C35" s="58"/>
      <c r="D35" s="52">
        <v>1214.6500000000001</v>
      </c>
      <c r="E35" s="29"/>
    </row>
    <row r="36" spans="1:5">
      <c r="A36" s="7">
        <f t="shared" si="0"/>
        <v>32</v>
      </c>
      <c r="B36" s="29" t="s">
        <v>219</v>
      </c>
      <c r="C36" s="7"/>
      <c r="D36" s="52">
        <v>432.26</v>
      </c>
      <c r="E36" s="29"/>
    </row>
    <row r="37" spans="1:5">
      <c r="A37" s="7">
        <f t="shared" si="0"/>
        <v>33</v>
      </c>
      <c r="B37" s="29" t="s">
        <v>325</v>
      </c>
      <c r="C37" s="7"/>
      <c r="D37" s="52">
        <v>511.37</v>
      </c>
      <c r="E37" s="29"/>
    </row>
    <row r="38" spans="1:5">
      <c r="A38" s="7">
        <f t="shared" si="0"/>
        <v>34</v>
      </c>
      <c r="B38" s="37" t="s">
        <v>233</v>
      </c>
      <c r="C38" s="58"/>
      <c r="D38" s="52">
        <v>1296.78</v>
      </c>
      <c r="E38" s="29"/>
    </row>
    <row r="39" spans="1:5">
      <c r="A39" s="7">
        <f t="shared" si="0"/>
        <v>35</v>
      </c>
      <c r="B39" s="37" t="s">
        <v>301</v>
      </c>
      <c r="C39" s="58"/>
      <c r="D39" s="52">
        <v>881.81</v>
      </c>
      <c r="E39" s="29"/>
    </row>
    <row r="40" spans="1:5">
      <c r="A40" s="7">
        <f t="shared" si="0"/>
        <v>36</v>
      </c>
      <c r="B40" s="37" t="s">
        <v>214</v>
      </c>
      <c r="C40" s="58">
        <v>1</v>
      </c>
      <c r="D40" s="52">
        <v>1438.72</v>
      </c>
      <c r="E40" s="29"/>
    </row>
    <row r="41" spans="1:5">
      <c r="A41" s="7">
        <f t="shared" si="0"/>
        <v>37</v>
      </c>
      <c r="B41" s="37" t="s">
        <v>284</v>
      </c>
      <c r="C41" s="58">
        <v>2</v>
      </c>
      <c r="D41" s="52">
        <v>1776.16</v>
      </c>
      <c r="E41" s="29"/>
    </row>
    <row r="42" spans="1:5">
      <c r="A42" s="7">
        <f t="shared" si="0"/>
        <v>38</v>
      </c>
      <c r="B42" s="29" t="s">
        <v>272</v>
      </c>
      <c r="C42" s="7"/>
      <c r="D42" s="52">
        <v>1173.1600000000001</v>
      </c>
      <c r="E42" s="29"/>
    </row>
    <row r="43" spans="1:5">
      <c r="A43" s="7">
        <f t="shared" si="0"/>
        <v>39</v>
      </c>
      <c r="B43" s="29" t="s">
        <v>207</v>
      </c>
      <c r="C43" s="7"/>
      <c r="D43" s="52">
        <v>442.64</v>
      </c>
      <c r="E43" s="29"/>
    </row>
    <row r="44" spans="1:5">
      <c r="A44" s="7">
        <f t="shared" si="0"/>
        <v>40</v>
      </c>
      <c r="B44" s="37" t="s">
        <v>90</v>
      </c>
      <c r="C44" s="58"/>
      <c r="D44" s="52">
        <v>922.88</v>
      </c>
      <c r="E44" s="29"/>
    </row>
    <row r="45" spans="1:5">
      <c r="A45" s="7">
        <f t="shared" si="0"/>
        <v>41</v>
      </c>
      <c r="B45" s="37" t="s">
        <v>134</v>
      </c>
      <c r="C45" s="58"/>
      <c r="D45" s="52">
        <v>500.99</v>
      </c>
      <c r="E45" s="29"/>
    </row>
    <row r="46" spans="1:5">
      <c r="A46" s="7">
        <f t="shared" si="0"/>
        <v>42</v>
      </c>
      <c r="B46" s="37" t="s">
        <v>273</v>
      </c>
      <c r="C46" s="58"/>
      <c r="D46" s="52">
        <v>675.62</v>
      </c>
      <c r="E46" s="29"/>
    </row>
    <row r="47" spans="1:5">
      <c r="A47" s="7">
        <f t="shared" si="0"/>
        <v>43</v>
      </c>
      <c r="B47" s="29" t="s">
        <v>41</v>
      </c>
      <c r="C47" s="58"/>
      <c r="D47" s="52">
        <v>1296.78</v>
      </c>
      <c r="E47" s="29"/>
    </row>
    <row r="48" spans="1:5">
      <c r="A48" s="7">
        <f t="shared" si="0"/>
        <v>44</v>
      </c>
      <c r="B48" s="29" t="s">
        <v>288</v>
      </c>
      <c r="C48" s="58"/>
      <c r="D48" s="52">
        <v>843.77</v>
      </c>
      <c r="E48" s="29"/>
    </row>
    <row r="49" spans="1:8">
      <c r="A49" s="7">
        <f t="shared" si="0"/>
        <v>45</v>
      </c>
      <c r="B49" s="29" t="s">
        <v>238</v>
      </c>
      <c r="C49" s="58"/>
      <c r="D49" s="52">
        <v>1276.04</v>
      </c>
      <c r="E49" s="29"/>
    </row>
    <row r="50" spans="1:8">
      <c r="A50" s="7">
        <f t="shared" si="0"/>
        <v>46</v>
      </c>
      <c r="B50" s="37" t="s">
        <v>150</v>
      </c>
      <c r="C50" s="58"/>
      <c r="D50" s="52">
        <v>586.58000000000004</v>
      </c>
      <c r="E50" s="29"/>
    </row>
    <row r="51" spans="1:8">
      <c r="A51" s="7">
        <f t="shared" si="0"/>
        <v>47</v>
      </c>
      <c r="B51" s="29" t="s">
        <v>33</v>
      </c>
      <c r="C51" s="58">
        <v>1</v>
      </c>
      <c r="D51" s="52">
        <v>1010.63</v>
      </c>
      <c r="E51" s="29"/>
    </row>
    <row r="52" spans="1:8">
      <c r="A52" s="7">
        <f t="shared" si="0"/>
        <v>48</v>
      </c>
      <c r="B52" s="37" t="s">
        <v>34</v>
      </c>
      <c r="C52" s="58">
        <v>1</v>
      </c>
      <c r="D52" s="54">
        <v>1238.43</v>
      </c>
      <c r="E52" s="29"/>
    </row>
    <row r="53" spans="1:8">
      <c r="A53" s="7">
        <f t="shared" si="0"/>
        <v>49</v>
      </c>
      <c r="B53" s="29" t="s">
        <v>91</v>
      </c>
      <c r="C53" s="7"/>
      <c r="D53" s="54">
        <v>517.85</v>
      </c>
      <c r="E53" s="29"/>
    </row>
    <row r="54" spans="1:8">
      <c r="A54" s="7">
        <v>50</v>
      </c>
      <c r="B54" s="134" t="s">
        <v>333</v>
      </c>
      <c r="C54" s="130"/>
      <c r="D54" s="132">
        <v>490.62</v>
      </c>
      <c r="E54" s="131" t="s">
        <v>338</v>
      </c>
    </row>
    <row r="55" spans="1:8">
      <c r="C55" s="105" t="s">
        <v>313</v>
      </c>
      <c r="D55" s="116">
        <f>SUM(D5:D54)</f>
        <v>46324.69</v>
      </c>
    </row>
    <row r="56" spans="1:8">
      <c r="A56" s="101" t="s">
        <v>289</v>
      </c>
      <c r="B56" s="29" t="s">
        <v>254</v>
      </c>
      <c r="C56" s="7"/>
      <c r="D56" s="52">
        <v>453.01</v>
      </c>
      <c r="E56" s="29"/>
    </row>
    <row r="57" spans="1:8">
      <c r="A57" s="106" t="s">
        <v>289</v>
      </c>
      <c r="B57" s="107" t="s">
        <v>268</v>
      </c>
      <c r="C57" s="108"/>
      <c r="D57" s="127">
        <v>500.99</v>
      </c>
      <c r="E57" s="110"/>
    </row>
    <row r="58" spans="1:8">
      <c r="A58" s="113"/>
      <c r="B58" s="102"/>
      <c r="C58" s="115" t="s">
        <v>323</v>
      </c>
      <c r="D58" s="117">
        <f>SUM(D56:D57)</f>
        <v>954</v>
      </c>
      <c r="E58" s="114"/>
      <c r="G58" s="15"/>
      <c r="H58" s="15"/>
    </row>
    <row r="59" spans="1:8">
      <c r="A59" s="458" t="s">
        <v>315</v>
      </c>
      <c r="B59" s="459"/>
      <c r="C59" s="460"/>
      <c r="D59" s="111">
        <f>D55+D58</f>
        <v>47278.69</v>
      </c>
      <c r="E59" s="112"/>
    </row>
    <row r="60" spans="1:8">
      <c r="A60" s="431" t="s">
        <v>258</v>
      </c>
      <c r="B60" s="432"/>
      <c r="C60" s="7">
        <f>COUNTA(B5:B58)</f>
        <v>52</v>
      </c>
      <c r="D60" s="52"/>
      <c r="E60" s="29"/>
    </row>
    <row r="61" spans="1:8">
      <c r="A61" s="431" t="s">
        <v>242</v>
      </c>
      <c r="B61" s="432"/>
      <c r="C61" s="58">
        <f>SUM(C5:C57)</f>
        <v>18</v>
      </c>
      <c r="D61" s="52"/>
      <c r="E61" s="29"/>
    </row>
    <row r="62" spans="1:8">
      <c r="A62" s="433" t="s">
        <v>246</v>
      </c>
      <c r="B62" s="434"/>
      <c r="C62" s="86">
        <f>C60+C61</f>
        <v>70</v>
      </c>
      <c r="D62" s="52"/>
      <c r="E62" s="29"/>
    </row>
    <row r="63" spans="1:8">
      <c r="A63" s="425" t="s">
        <v>257</v>
      </c>
      <c r="B63" s="426"/>
      <c r="C63" s="427"/>
      <c r="D63" s="77"/>
      <c r="E63" s="75"/>
      <c r="G63" s="15"/>
    </row>
    <row r="64" spans="1:8">
      <c r="A64" s="91"/>
      <c r="B64" s="37"/>
      <c r="C64" s="104"/>
      <c r="D64" s="52"/>
      <c r="E64" s="29"/>
    </row>
    <row r="65" spans="1:5">
      <c r="A65" s="428" t="s">
        <v>265</v>
      </c>
      <c r="B65" s="429"/>
      <c r="C65" s="430"/>
      <c r="D65" s="83">
        <f>SUM(D64:D64)</f>
        <v>0</v>
      </c>
      <c r="E65" s="75"/>
    </row>
    <row r="66" spans="1:5">
      <c r="A66" s="422" t="s">
        <v>37</v>
      </c>
      <c r="B66" s="423"/>
      <c r="C66" s="424"/>
      <c r="D66" s="80">
        <f>SUM(D59+D65+D63)</f>
        <v>47278.69</v>
      </c>
      <c r="E66" s="84"/>
    </row>
    <row r="67" spans="1:5" ht="18">
      <c r="D67" s="72" t="s">
        <v>250</v>
      </c>
      <c r="E67" s="118">
        <v>44014</v>
      </c>
    </row>
    <row r="68" spans="1:5" ht="18">
      <c r="D68" s="73" t="s">
        <v>251</v>
      </c>
      <c r="E68" s="119" t="s">
        <v>337</v>
      </c>
    </row>
  </sheetData>
  <mergeCells count="7">
    <mergeCell ref="A66:C66"/>
    <mergeCell ref="A59:C59"/>
    <mergeCell ref="A60:B60"/>
    <mergeCell ref="A61:B61"/>
    <mergeCell ref="A62:B62"/>
    <mergeCell ref="A63:C63"/>
    <mergeCell ref="A65:C65"/>
  </mergeCells>
  <conditionalFormatting sqref="B13">
    <cfRule type="duplicateValues" dxfId="270" priority="12"/>
    <cfRule type="duplicateValues" dxfId="269" priority="15"/>
    <cfRule type="duplicateValues" dxfId="268" priority="16"/>
  </conditionalFormatting>
  <conditionalFormatting sqref="B27">
    <cfRule type="duplicateValues" dxfId="267" priority="32"/>
  </conditionalFormatting>
  <conditionalFormatting sqref="B56:B58 B5:B12 B14:B54">
    <cfRule type="duplicateValues" dxfId="266" priority="34"/>
  </conditionalFormatting>
  <conditionalFormatting sqref="B64">
    <cfRule type="duplicateValues" dxfId="265" priority="5"/>
    <cfRule type="duplicateValues" dxfId="264" priority="6"/>
    <cfRule type="duplicateValues" dxfId="263" priority="7"/>
  </conditionalFormatting>
  <conditionalFormatting sqref="B65:B68 B56:B63 B1:B12 B14:B54">
    <cfRule type="duplicateValues" dxfId="262" priority="33"/>
  </conditionalFormatting>
  <conditionalFormatting sqref="B65:B1048576 B14:B63 B1:B12">
    <cfRule type="duplicateValues" dxfId="261" priority="17"/>
  </conditionalFormatting>
  <conditionalFormatting sqref="B69:B1048576">
    <cfRule type="duplicateValues" dxfId="260" priority="31"/>
  </conditionalFormatting>
  <conditionalFormatting sqref="B16:C16">
    <cfRule type="duplicateValues" dxfId="259" priority="28"/>
    <cfRule type="duplicateValues" dxfId="258" priority="29"/>
    <cfRule type="duplicateValues" dxfId="257" priority="30"/>
  </conditionalFormatting>
  <conditionalFormatting sqref="B21:C21">
    <cfRule type="duplicateValues" dxfId="256" priority="25"/>
    <cfRule type="duplicateValues" dxfId="255" priority="26"/>
    <cfRule type="duplicateValues" dxfId="254" priority="27"/>
  </conditionalFormatting>
  <conditionalFormatting sqref="B22:C22">
    <cfRule type="duplicateValues" dxfId="253" priority="22"/>
    <cfRule type="duplicateValues" dxfId="252" priority="23"/>
    <cfRule type="duplicateValues" dxfId="251" priority="24"/>
  </conditionalFormatting>
  <conditionalFormatting sqref="C5:C54">
    <cfRule type="notContainsBlanks" dxfId="250" priority="14">
      <formula>LEN(TRIM(C5))&gt;0</formula>
    </cfRule>
  </conditionalFormatting>
  <conditionalFormatting sqref="C56:C57">
    <cfRule type="notContainsBlanks" dxfId="249" priority="21">
      <formula>LEN(TRIM(C56))&gt;0</formula>
    </cfRule>
  </conditionalFormatting>
  <conditionalFormatting sqref="E5:E54">
    <cfRule type="notContainsBlanks" dxfId="248" priority="13">
      <formula>LEN(TRIM(E5))&gt;0</formula>
    </cfRule>
  </conditionalFormatting>
  <conditionalFormatting sqref="E56:E66">
    <cfRule type="notContainsBlanks" dxfId="247" priority="4">
      <formula>LEN(TRIM(E56))&gt;0</formula>
    </cfRule>
  </conditionalFormatting>
  <pageMargins left="1" right="1" top="1" bottom="1" header="0.5" footer="0.5"/>
  <pageSetup scale="72" fitToWidth="0" orientation="portrait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9491-15B7-F040-8AFB-8A382FF96AF4}">
  <sheetPr>
    <tabColor theme="8"/>
    <pageSetUpPr fitToPage="1"/>
  </sheetPr>
  <dimension ref="A1:H70"/>
  <sheetViews>
    <sheetView topLeftCell="A37" zoomScale="150" zoomScaleNormal="150" zoomScalePageLayoutView="140" workbookViewId="0">
      <selection activeCell="D23" sqref="D23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123">
        <v>43983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572.75</v>
      </c>
      <c r="E5" s="29"/>
    </row>
    <row r="6" spans="1:5">
      <c r="A6" s="7">
        <f>A5+1</f>
        <v>2</v>
      </c>
      <c r="B6" s="29" t="s">
        <v>72</v>
      </c>
      <c r="C6" s="7"/>
      <c r="D6" s="52">
        <v>1173.1600000000001</v>
      </c>
      <c r="E6" s="29"/>
    </row>
    <row r="7" spans="1:5">
      <c r="A7" s="7">
        <f>A6+1</f>
        <v>3</v>
      </c>
      <c r="B7" s="29" t="s">
        <v>62</v>
      </c>
      <c r="C7" s="7"/>
      <c r="D7" s="52">
        <v>1008.47</v>
      </c>
      <c r="E7" s="29"/>
    </row>
    <row r="8" spans="1:5">
      <c r="A8" s="7">
        <f t="shared" ref="A8:A53" si="0">A7+1</f>
        <v>4</v>
      </c>
      <c r="B8" s="37" t="s">
        <v>202</v>
      </c>
      <c r="C8" s="58"/>
      <c r="D8" s="52">
        <v>528.22</v>
      </c>
      <c r="E8" s="29"/>
    </row>
    <row r="9" spans="1:5">
      <c r="A9" s="7">
        <f t="shared" si="0"/>
        <v>5</v>
      </c>
      <c r="B9" s="29" t="s">
        <v>12</v>
      </c>
      <c r="C9" s="7">
        <v>1</v>
      </c>
      <c r="D9" s="52">
        <v>1485.68</v>
      </c>
      <c r="E9" s="29"/>
    </row>
    <row r="10" spans="1:5">
      <c r="A10" s="7">
        <f t="shared" si="0"/>
        <v>6</v>
      </c>
      <c r="B10" s="37" t="s">
        <v>48</v>
      </c>
      <c r="C10" s="58">
        <v>1</v>
      </c>
      <c r="D10" s="52">
        <v>845.66</v>
      </c>
      <c r="E10" s="29"/>
    </row>
    <row r="11" spans="1:5">
      <c r="A11" s="7">
        <f t="shared" si="0"/>
        <v>7</v>
      </c>
      <c r="B11" s="37" t="s">
        <v>205</v>
      </c>
      <c r="C11" s="58"/>
      <c r="D11" s="52">
        <v>469.87</v>
      </c>
      <c r="E11" s="29"/>
    </row>
    <row r="12" spans="1:5">
      <c r="A12" s="7">
        <f t="shared" si="0"/>
        <v>8</v>
      </c>
      <c r="B12" s="37" t="s">
        <v>236</v>
      </c>
      <c r="C12" s="58">
        <v>3</v>
      </c>
      <c r="D12" s="52">
        <v>1959.43</v>
      </c>
      <c r="E12" s="29"/>
    </row>
    <row r="13" spans="1:5">
      <c r="A13" s="7">
        <f t="shared" si="0"/>
        <v>9</v>
      </c>
      <c r="B13" s="37" t="s">
        <v>316</v>
      </c>
      <c r="C13" s="58"/>
      <c r="D13" s="52">
        <v>843.77</v>
      </c>
      <c r="E13" s="29"/>
    </row>
    <row r="14" spans="1:5">
      <c r="A14" s="7">
        <f t="shared" si="0"/>
        <v>10</v>
      </c>
      <c r="B14" s="37" t="s">
        <v>297</v>
      </c>
      <c r="C14" s="58"/>
      <c r="D14" s="52">
        <v>433.99</v>
      </c>
      <c r="E14" s="29"/>
    </row>
    <row r="15" spans="1:5">
      <c r="A15" s="7">
        <f t="shared" si="0"/>
        <v>11</v>
      </c>
      <c r="B15" s="37" t="s">
        <v>291</v>
      </c>
      <c r="C15" s="58">
        <v>1</v>
      </c>
      <c r="D15" s="52">
        <v>1288.57</v>
      </c>
      <c r="E15" s="29"/>
    </row>
    <row r="16" spans="1:5">
      <c r="A16" s="7">
        <f t="shared" si="0"/>
        <v>12</v>
      </c>
      <c r="B16" s="61" t="s">
        <v>230</v>
      </c>
      <c r="C16" s="62"/>
      <c r="D16" s="52">
        <v>1296.78</v>
      </c>
      <c r="E16" s="29"/>
    </row>
    <row r="17" spans="1:5">
      <c r="A17" s="7">
        <f t="shared" si="0"/>
        <v>13</v>
      </c>
      <c r="B17" s="29" t="s">
        <v>234</v>
      </c>
      <c r="C17" s="7"/>
      <c r="D17" s="52">
        <v>1214.6500000000001</v>
      </c>
      <c r="E17" s="29"/>
    </row>
    <row r="18" spans="1:5">
      <c r="A18" s="7">
        <f t="shared" si="0"/>
        <v>14</v>
      </c>
      <c r="B18" s="29" t="s">
        <v>237</v>
      </c>
      <c r="C18" s="7">
        <v>1</v>
      </c>
      <c r="D18" s="52">
        <v>835.29</v>
      </c>
      <c r="E18" s="29"/>
    </row>
    <row r="19" spans="1:5">
      <c r="A19" s="7">
        <f t="shared" si="0"/>
        <v>15</v>
      </c>
      <c r="B19" s="29" t="s">
        <v>298</v>
      </c>
      <c r="C19" s="7"/>
      <c r="D19" s="52">
        <v>500.99</v>
      </c>
      <c r="E19" s="29"/>
    </row>
    <row r="20" spans="1:5" s="133" customFormat="1">
      <c r="A20" s="130">
        <v>16</v>
      </c>
      <c r="B20" s="131" t="s">
        <v>336</v>
      </c>
      <c r="C20" s="130">
        <v>1</v>
      </c>
      <c r="D20" s="132">
        <v>862.52</v>
      </c>
      <c r="E20" s="131" t="s">
        <v>338</v>
      </c>
    </row>
    <row r="21" spans="1:5">
      <c r="A21" s="7">
        <v>17</v>
      </c>
      <c r="B21" s="61" t="s">
        <v>228</v>
      </c>
      <c r="C21" s="62"/>
      <c r="D21" s="52">
        <v>922.88</v>
      </c>
      <c r="E21" s="29"/>
    </row>
    <row r="22" spans="1:5">
      <c r="A22" s="7">
        <f t="shared" si="0"/>
        <v>18</v>
      </c>
      <c r="B22" s="61" t="s">
        <v>229</v>
      </c>
      <c r="C22" s="62"/>
      <c r="D22" s="52">
        <v>1276.04</v>
      </c>
      <c r="E22" s="29"/>
    </row>
    <row r="23" spans="1:5">
      <c r="A23" s="7">
        <f t="shared" si="0"/>
        <v>19</v>
      </c>
      <c r="B23" s="29" t="s">
        <v>235</v>
      </c>
      <c r="C23" s="7"/>
      <c r="D23" s="52">
        <v>772.02</v>
      </c>
      <c r="E23" s="29"/>
    </row>
    <row r="24" spans="1:5">
      <c r="A24" s="7">
        <f t="shared" si="0"/>
        <v>20</v>
      </c>
      <c r="B24" s="37" t="s">
        <v>63</v>
      </c>
      <c r="C24" s="58">
        <v>2</v>
      </c>
      <c r="D24" s="52">
        <v>1367.12</v>
      </c>
      <c r="E24" s="29"/>
    </row>
    <row r="25" spans="1:5">
      <c r="A25" s="7">
        <f t="shared" si="0"/>
        <v>21</v>
      </c>
      <c r="B25" s="37" t="s">
        <v>168</v>
      </c>
      <c r="C25" s="58"/>
      <c r="D25" s="52">
        <v>1214.6500000000001</v>
      </c>
      <c r="E25" s="29"/>
    </row>
    <row r="26" spans="1:5">
      <c r="A26" s="7">
        <f t="shared" si="0"/>
        <v>22</v>
      </c>
      <c r="B26" s="37" t="s">
        <v>88</v>
      </c>
      <c r="C26" s="58"/>
      <c r="D26" s="52">
        <v>1125.18</v>
      </c>
      <c r="E26" s="29"/>
    </row>
    <row r="27" spans="1:5">
      <c r="A27" s="7">
        <f t="shared" si="0"/>
        <v>23</v>
      </c>
      <c r="B27" s="55" t="s">
        <v>232</v>
      </c>
      <c r="C27" s="7"/>
      <c r="D27" s="52">
        <v>648.39</v>
      </c>
      <c r="E27" s="29"/>
    </row>
    <row r="28" spans="1:5">
      <c r="A28" s="7">
        <f t="shared" si="0"/>
        <v>24</v>
      </c>
      <c r="B28" s="37" t="s">
        <v>231</v>
      </c>
      <c r="C28" s="58">
        <v>1</v>
      </c>
      <c r="D28" s="52">
        <v>1082.1099999999999</v>
      </c>
      <c r="E28" s="29"/>
    </row>
    <row r="29" spans="1:5">
      <c r="A29" s="7">
        <f t="shared" si="0"/>
        <v>25</v>
      </c>
      <c r="B29" s="29" t="s">
        <v>270</v>
      </c>
      <c r="C29" s="7">
        <v>1</v>
      </c>
      <c r="D29" s="52">
        <v>856.04</v>
      </c>
      <c r="E29" s="29"/>
    </row>
    <row r="30" spans="1:5">
      <c r="A30" s="7">
        <f t="shared" si="0"/>
        <v>26</v>
      </c>
      <c r="B30" s="29" t="s">
        <v>239</v>
      </c>
      <c r="C30" s="7"/>
      <c r="D30" s="52">
        <v>490.62</v>
      </c>
      <c r="E30" s="29"/>
    </row>
    <row r="31" spans="1:5">
      <c r="A31" s="7">
        <f t="shared" si="0"/>
        <v>27</v>
      </c>
      <c r="B31" s="37" t="s">
        <v>133</v>
      </c>
      <c r="C31" s="58"/>
      <c r="D31" s="52">
        <v>881.81</v>
      </c>
      <c r="E31" s="29"/>
    </row>
    <row r="32" spans="1:5">
      <c r="A32" s="7">
        <f t="shared" si="0"/>
        <v>28</v>
      </c>
      <c r="B32" s="37" t="s">
        <v>290</v>
      </c>
      <c r="C32" s="58"/>
      <c r="D32" s="52">
        <v>517.85</v>
      </c>
      <c r="E32" s="29"/>
    </row>
    <row r="33" spans="1:5">
      <c r="A33" s="7">
        <f t="shared" si="0"/>
        <v>29</v>
      </c>
      <c r="B33" s="37" t="s">
        <v>271</v>
      </c>
      <c r="C33" s="58">
        <v>1</v>
      </c>
      <c r="D33" s="52">
        <v>890.18</v>
      </c>
      <c r="E33" s="29"/>
    </row>
    <row r="34" spans="1:5">
      <c r="A34" s="7">
        <f t="shared" si="0"/>
        <v>30</v>
      </c>
      <c r="B34" s="37" t="s">
        <v>294</v>
      </c>
      <c r="C34" s="58"/>
      <c r="D34" s="52">
        <v>432.26</v>
      </c>
      <c r="E34" s="29"/>
    </row>
    <row r="35" spans="1:5">
      <c r="A35" s="7">
        <f t="shared" si="0"/>
        <v>31</v>
      </c>
      <c r="B35" s="37" t="s">
        <v>287</v>
      </c>
      <c r="C35" s="58"/>
      <c r="D35" s="52">
        <v>1214.6500000000001</v>
      </c>
      <c r="E35" s="29"/>
    </row>
    <row r="36" spans="1:5">
      <c r="A36" s="7">
        <f t="shared" si="0"/>
        <v>32</v>
      </c>
      <c r="B36" s="29" t="s">
        <v>219</v>
      </c>
      <c r="C36" s="7"/>
      <c r="D36" s="52">
        <v>432.26</v>
      </c>
      <c r="E36" s="29"/>
    </row>
    <row r="37" spans="1:5">
      <c r="A37" s="7">
        <f t="shared" si="0"/>
        <v>33</v>
      </c>
      <c r="B37" s="29" t="s">
        <v>325</v>
      </c>
      <c r="C37" s="7"/>
      <c r="D37" s="52">
        <v>511.37</v>
      </c>
      <c r="E37" s="29"/>
    </row>
    <row r="38" spans="1:5">
      <c r="A38" s="7">
        <f t="shared" si="0"/>
        <v>34</v>
      </c>
      <c r="B38" s="37" t="s">
        <v>233</v>
      </c>
      <c r="C38" s="58"/>
      <c r="D38" s="52">
        <v>1296.78</v>
      </c>
      <c r="E38" s="29"/>
    </row>
    <row r="39" spans="1:5">
      <c r="A39" s="7">
        <f t="shared" si="0"/>
        <v>35</v>
      </c>
      <c r="B39" s="37" t="s">
        <v>301</v>
      </c>
      <c r="C39" s="58"/>
      <c r="D39" s="52">
        <v>881.81</v>
      </c>
      <c r="E39" s="29"/>
    </row>
    <row r="40" spans="1:5">
      <c r="A40" s="7">
        <f t="shared" si="0"/>
        <v>36</v>
      </c>
      <c r="B40" s="37" t="s">
        <v>214</v>
      </c>
      <c r="C40" s="58">
        <v>1</v>
      </c>
      <c r="D40" s="52">
        <v>1438.72</v>
      </c>
      <c r="E40" s="29"/>
    </row>
    <row r="41" spans="1:5">
      <c r="A41" s="7">
        <f t="shared" si="0"/>
        <v>37</v>
      </c>
      <c r="B41" s="37" t="s">
        <v>284</v>
      </c>
      <c r="C41" s="58">
        <v>2</v>
      </c>
      <c r="D41" s="52">
        <v>1776.16</v>
      </c>
      <c r="E41" s="29"/>
    </row>
    <row r="42" spans="1:5">
      <c r="A42" s="7">
        <f t="shared" si="0"/>
        <v>38</v>
      </c>
      <c r="B42" s="29" t="s">
        <v>272</v>
      </c>
      <c r="C42" s="7"/>
      <c r="D42" s="52">
        <v>1173.1600000000001</v>
      </c>
      <c r="E42" s="29"/>
    </row>
    <row r="43" spans="1:5">
      <c r="A43" s="7">
        <f t="shared" si="0"/>
        <v>39</v>
      </c>
      <c r="B43" s="29" t="s">
        <v>207</v>
      </c>
      <c r="C43" s="7"/>
      <c r="D43" s="52">
        <v>442.64</v>
      </c>
      <c r="E43" s="29"/>
    </row>
    <row r="44" spans="1:5">
      <c r="A44" s="7">
        <f t="shared" si="0"/>
        <v>40</v>
      </c>
      <c r="B44" s="37" t="s">
        <v>90</v>
      </c>
      <c r="C44" s="58"/>
      <c r="D44" s="52">
        <v>922.88</v>
      </c>
      <c r="E44" s="29"/>
    </row>
    <row r="45" spans="1:5">
      <c r="A45" s="7">
        <f t="shared" si="0"/>
        <v>41</v>
      </c>
      <c r="B45" s="37" t="s">
        <v>134</v>
      </c>
      <c r="C45" s="58"/>
      <c r="D45" s="52">
        <v>500.99</v>
      </c>
      <c r="E45" s="29"/>
    </row>
    <row r="46" spans="1:5">
      <c r="A46" s="7">
        <f t="shared" si="0"/>
        <v>42</v>
      </c>
      <c r="B46" s="37" t="s">
        <v>273</v>
      </c>
      <c r="C46" s="58"/>
      <c r="D46" s="52">
        <v>675.62</v>
      </c>
      <c r="E46" s="29"/>
    </row>
    <row r="47" spans="1:5">
      <c r="A47" s="7">
        <f t="shared" si="0"/>
        <v>43</v>
      </c>
      <c r="B47" s="29" t="s">
        <v>41</v>
      </c>
      <c r="C47" s="58"/>
      <c r="D47" s="52">
        <v>1296.78</v>
      </c>
      <c r="E47" s="29"/>
    </row>
    <row r="48" spans="1:5">
      <c r="A48" s="7">
        <f t="shared" si="0"/>
        <v>44</v>
      </c>
      <c r="B48" s="29" t="s">
        <v>288</v>
      </c>
      <c r="C48" s="58"/>
      <c r="D48" s="52">
        <v>843.77</v>
      </c>
      <c r="E48" s="29"/>
    </row>
    <row r="49" spans="1:8">
      <c r="A49" s="7">
        <f t="shared" si="0"/>
        <v>45</v>
      </c>
      <c r="B49" s="29" t="s">
        <v>238</v>
      </c>
      <c r="C49" s="58"/>
      <c r="D49" s="52">
        <v>1276.04</v>
      </c>
      <c r="E49" s="29"/>
    </row>
    <row r="50" spans="1:8">
      <c r="A50" s="7">
        <f t="shared" si="0"/>
        <v>46</v>
      </c>
      <c r="B50" s="37" t="s">
        <v>150</v>
      </c>
      <c r="C50" s="58"/>
      <c r="D50" s="52">
        <v>586.58000000000004</v>
      </c>
      <c r="E50" s="29"/>
    </row>
    <row r="51" spans="1:8">
      <c r="A51" s="7">
        <f t="shared" si="0"/>
        <v>47</v>
      </c>
      <c r="B51" s="29" t="s">
        <v>33</v>
      </c>
      <c r="C51" s="58">
        <v>1</v>
      </c>
      <c r="D51" s="52">
        <v>1010.63</v>
      </c>
      <c r="E51" s="29"/>
    </row>
    <row r="52" spans="1:8">
      <c r="A52" s="7">
        <f t="shared" si="0"/>
        <v>48</v>
      </c>
      <c r="B52" s="37" t="s">
        <v>34</v>
      </c>
      <c r="C52" s="58">
        <v>1</v>
      </c>
      <c r="D52" s="54">
        <v>1238.43</v>
      </c>
      <c r="E52" s="29"/>
    </row>
    <row r="53" spans="1:8">
      <c r="A53" s="7">
        <f t="shared" si="0"/>
        <v>49</v>
      </c>
      <c r="B53" s="29" t="s">
        <v>91</v>
      </c>
      <c r="C53" s="7"/>
      <c r="D53" s="54">
        <v>517.85</v>
      </c>
      <c r="E53" s="29"/>
    </row>
    <row r="54" spans="1:8">
      <c r="A54" s="7">
        <v>50</v>
      </c>
      <c r="B54" s="37" t="s">
        <v>333</v>
      </c>
      <c r="C54" s="7"/>
      <c r="D54" s="54">
        <v>490.62</v>
      </c>
      <c r="E54" s="131" t="s">
        <v>338</v>
      </c>
    </row>
    <row r="55" spans="1:8">
      <c r="C55" s="105" t="s">
        <v>313</v>
      </c>
      <c r="D55" s="116">
        <f>SUM(D5:D54)</f>
        <v>46324.69</v>
      </c>
    </row>
    <row r="56" spans="1:8">
      <c r="A56" s="101" t="s">
        <v>289</v>
      </c>
      <c r="B56" s="29" t="s">
        <v>254</v>
      </c>
      <c r="C56" s="7"/>
      <c r="D56" s="52">
        <v>453.01</v>
      </c>
      <c r="E56" s="29"/>
    </row>
    <row r="57" spans="1:8">
      <c r="A57" s="106" t="s">
        <v>289</v>
      </c>
      <c r="B57" s="107" t="s">
        <v>268</v>
      </c>
      <c r="C57" s="108"/>
      <c r="D57" s="127">
        <v>500.99</v>
      </c>
      <c r="E57" s="110"/>
    </row>
    <row r="58" spans="1:8">
      <c r="A58" s="113"/>
      <c r="B58" s="102"/>
      <c r="C58" s="115" t="s">
        <v>323</v>
      </c>
      <c r="D58" s="117">
        <f>SUM(D56:D57)</f>
        <v>954</v>
      </c>
      <c r="E58" s="114"/>
      <c r="G58" s="15"/>
      <c r="H58" s="15"/>
    </row>
    <row r="59" spans="1:8">
      <c r="A59" s="458" t="s">
        <v>315</v>
      </c>
      <c r="B59" s="459"/>
      <c r="C59" s="460"/>
      <c r="D59" s="111">
        <f>D55+D58</f>
        <v>47278.69</v>
      </c>
      <c r="E59" s="112"/>
    </row>
    <row r="60" spans="1:8">
      <c r="A60" s="431" t="s">
        <v>258</v>
      </c>
      <c r="B60" s="432"/>
      <c r="C60" s="7">
        <f>COUNTA(B5:B58)</f>
        <v>52</v>
      </c>
      <c r="D60" s="52"/>
      <c r="E60" s="29"/>
    </row>
    <row r="61" spans="1:8">
      <c r="A61" s="431" t="s">
        <v>242</v>
      </c>
      <c r="B61" s="432"/>
      <c r="C61" s="58">
        <f>SUM(C5:C57)</f>
        <v>18</v>
      </c>
      <c r="D61" s="52"/>
      <c r="E61" s="29"/>
    </row>
    <row r="62" spans="1:8">
      <c r="A62" s="433" t="s">
        <v>246</v>
      </c>
      <c r="B62" s="434"/>
      <c r="C62" s="86">
        <f>C60+C61</f>
        <v>70</v>
      </c>
      <c r="D62" s="52"/>
      <c r="E62" s="29"/>
    </row>
    <row r="63" spans="1:8">
      <c r="A63" s="425" t="s">
        <v>257</v>
      </c>
      <c r="B63" s="426"/>
      <c r="C63" s="427"/>
      <c r="D63" s="77"/>
      <c r="E63" s="75"/>
      <c r="G63" s="15"/>
    </row>
    <row r="64" spans="1:8">
      <c r="A64" s="86"/>
      <c r="B64" s="37" t="s">
        <v>333</v>
      </c>
      <c r="C64" s="58"/>
      <c r="D64" s="52">
        <v>981.24</v>
      </c>
      <c r="E64" s="29" t="s">
        <v>331</v>
      </c>
      <c r="F64" t="s">
        <v>334</v>
      </c>
    </row>
    <row r="65" spans="1:5" ht="28">
      <c r="A65" s="126"/>
      <c r="B65" s="129" t="s">
        <v>335</v>
      </c>
      <c r="C65" s="58"/>
      <c r="D65" s="52">
        <v>1725.04</v>
      </c>
      <c r="E65" s="29" t="s">
        <v>331</v>
      </c>
    </row>
    <row r="66" spans="1:5">
      <c r="A66" s="91"/>
      <c r="B66" s="37"/>
      <c r="C66" s="104"/>
      <c r="D66" s="52"/>
      <c r="E66" s="29"/>
    </row>
    <row r="67" spans="1:5">
      <c r="A67" s="428" t="s">
        <v>265</v>
      </c>
      <c r="B67" s="429"/>
      <c r="C67" s="430"/>
      <c r="D67" s="83">
        <f>SUM(D64:D66)</f>
        <v>2706.2799999999997</v>
      </c>
      <c r="E67" s="75"/>
    </row>
    <row r="68" spans="1:5">
      <c r="A68" s="422" t="s">
        <v>37</v>
      </c>
      <c r="B68" s="423"/>
      <c r="C68" s="424"/>
      <c r="D68" s="80">
        <f>SUM(D59+D67+D63)</f>
        <v>49984.97</v>
      </c>
      <c r="E68" s="84"/>
    </row>
    <row r="69" spans="1:5" ht="18">
      <c r="D69" s="72" t="s">
        <v>250</v>
      </c>
      <c r="E69" s="118">
        <v>44014</v>
      </c>
    </row>
    <row r="70" spans="1:5" ht="18">
      <c r="D70" s="73" t="s">
        <v>251</v>
      </c>
      <c r="E70" s="119" t="s">
        <v>337</v>
      </c>
    </row>
  </sheetData>
  <mergeCells count="7">
    <mergeCell ref="A68:C68"/>
    <mergeCell ref="A59:C59"/>
    <mergeCell ref="A60:B60"/>
    <mergeCell ref="A61:B61"/>
    <mergeCell ref="A62:B62"/>
    <mergeCell ref="A63:C63"/>
    <mergeCell ref="A67:C67"/>
  </mergeCells>
  <conditionalFormatting sqref="B13">
    <cfRule type="duplicateValues" dxfId="246" priority="12"/>
    <cfRule type="duplicateValues" dxfId="245" priority="15"/>
    <cfRule type="duplicateValues" dxfId="244" priority="16"/>
  </conditionalFormatting>
  <conditionalFormatting sqref="B27">
    <cfRule type="duplicateValues" dxfId="243" priority="32"/>
  </conditionalFormatting>
  <conditionalFormatting sqref="B56:B58 B5:B12 B14:B54">
    <cfRule type="duplicateValues" dxfId="242" priority="34"/>
  </conditionalFormatting>
  <conditionalFormatting sqref="B56:B63 B1:B12 B67:B70 B14:B54">
    <cfRule type="duplicateValues" dxfId="241" priority="33"/>
  </conditionalFormatting>
  <conditionalFormatting sqref="B64">
    <cfRule type="duplicateValues" dxfId="240" priority="1"/>
    <cfRule type="duplicateValues" dxfId="239" priority="2"/>
    <cfRule type="duplicateValues" dxfId="238" priority="3"/>
  </conditionalFormatting>
  <conditionalFormatting sqref="B65">
    <cfRule type="duplicateValues" dxfId="237" priority="8"/>
    <cfRule type="duplicateValues" dxfId="236" priority="10"/>
    <cfRule type="duplicateValues" dxfId="235" priority="11"/>
  </conditionalFormatting>
  <conditionalFormatting sqref="B66">
    <cfRule type="duplicateValues" dxfId="234" priority="5"/>
    <cfRule type="duplicateValues" dxfId="233" priority="6"/>
    <cfRule type="duplicateValues" dxfId="232" priority="7"/>
  </conditionalFormatting>
  <conditionalFormatting sqref="B67:B1048576 B14:B63 B1:B12">
    <cfRule type="duplicateValues" dxfId="231" priority="17"/>
  </conditionalFormatting>
  <conditionalFormatting sqref="B71:B1048576">
    <cfRule type="duplicateValues" dxfId="230" priority="31"/>
  </conditionalFormatting>
  <conditionalFormatting sqref="B16:C16">
    <cfRule type="duplicateValues" dxfId="229" priority="28"/>
    <cfRule type="duplicateValues" dxfId="228" priority="29"/>
    <cfRule type="duplicateValues" dxfId="227" priority="30"/>
  </conditionalFormatting>
  <conditionalFormatting sqref="B21:C21">
    <cfRule type="duplicateValues" dxfId="226" priority="25"/>
    <cfRule type="duplicateValues" dxfId="225" priority="26"/>
    <cfRule type="duplicateValues" dxfId="224" priority="27"/>
  </conditionalFormatting>
  <conditionalFormatting sqref="B22:C22">
    <cfRule type="duplicateValues" dxfId="223" priority="22"/>
    <cfRule type="duplicateValues" dxfId="222" priority="23"/>
    <cfRule type="duplicateValues" dxfId="221" priority="24"/>
  </conditionalFormatting>
  <conditionalFormatting sqref="C5:C54">
    <cfRule type="notContainsBlanks" dxfId="220" priority="14">
      <formula>LEN(TRIM(C5))&gt;0</formula>
    </cfRule>
  </conditionalFormatting>
  <conditionalFormatting sqref="C56:C57">
    <cfRule type="notContainsBlanks" dxfId="219" priority="21">
      <formula>LEN(TRIM(C56))&gt;0</formula>
    </cfRule>
  </conditionalFormatting>
  <conditionalFormatting sqref="C64:C65">
    <cfRule type="notContainsBlanks" dxfId="218" priority="9">
      <formula>LEN(TRIM(C64))&gt;0</formula>
    </cfRule>
  </conditionalFormatting>
  <conditionalFormatting sqref="E5:E54">
    <cfRule type="notContainsBlanks" dxfId="217" priority="13">
      <formula>LEN(TRIM(E5))&gt;0</formula>
    </cfRule>
  </conditionalFormatting>
  <conditionalFormatting sqref="E56:E68">
    <cfRule type="notContainsBlanks" dxfId="216" priority="4">
      <formula>LEN(TRIM(E56))&gt;0</formula>
    </cfRule>
  </conditionalFormatting>
  <pageMargins left="1" right="1" top="1" bottom="1" header="0.5" footer="0.5"/>
  <pageSetup scale="69" fitToWidth="0" orientation="portrait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4614-1021-D44E-A74A-C9D4D905C261}">
  <sheetPr>
    <tabColor theme="8"/>
    <pageSetUpPr fitToPage="1"/>
  </sheetPr>
  <dimension ref="A1:H68"/>
  <sheetViews>
    <sheetView topLeftCell="A48" zoomScale="150" zoomScaleNormal="150" zoomScalePageLayoutView="140" workbookViewId="0">
      <selection activeCell="E57" sqref="E57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123">
        <v>43952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572.75</v>
      </c>
      <c r="E5" s="29"/>
    </row>
    <row r="6" spans="1:5">
      <c r="A6" s="7">
        <f>A5+1</f>
        <v>2</v>
      </c>
      <c r="B6" s="29" t="s">
        <v>72</v>
      </c>
      <c r="C6" s="7"/>
      <c r="D6" s="52">
        <v>1173.1600000000001</v>
      </c>
      <c r="E6" s="29"/>
    </row>
    <row r="7" spans="1:5">
      <c r="A7" s="7">
        <f>A6+1</f>
        <v>3</v>
      </c>
      <c r="B7" s="29" t="s">
        <v>62</v>
      </c>
      <c r="C7" s="7"/>
      <c r="D7" s="52">
        <v>1008.47</v>
      </c>
      <c r="E7" s="29"/>
    </row>
    <row r="8" spans="1:5">
      <c r="A8" s="7">
        <f t="shared" ref="A8:A52" si="0">A7+1</f>
        <v>4</v>
      </c>
      <c r="B8" s="37" t="s">
        <v>202</v>
      </c>
      <c r="C8" s="58"/>
      <c r="D8" s="52">
        <v>528.22</v>
      </c>
      <c r="E8" s="29"/>
    </row>
    <row r="9" spans="1:5">
      <c r="A9" s="7">
        <f t="shared" si="0"/>
        <v>5</v>
      </c>
      <c r="B9" s="29" t="s">
        <v>12</v>
      </c>
      <c r="C9" s="7">
        <v>1</v>
      </c>
      <c r="D9" s="52">
        <v>1485.68</v>
      </c>
      <c r="E9" s="29"/>
    </row>
    <row r="10" spans="1:5">
      <c r="A10" s="7">
        <f t="shared" si="0"/>
        <v>6</v>
      </c>
      <c r="B10" s="37" t="s">
        <v>48</v>
      </c>
      <c r="C10" s="58">
        <v>1</v>
      </c>
      <c r="D10" s="52">
        <v>845.66</v>
      </c>
      <c r="E10" s="29"/>
    </row>
    <row r="11" spans="1:5">
      <c r="A11" s="7">
        <f t="shared" si="0"/>
        <v>7</v>
      </c>
      <c r="B11" s="37" t="s">
        <v>205</v>
      </c>
      <c r="C11" s="58"/>
      <c r="D11" s="52">
        <v>469.87</v>
      </c>
      <c r="E11" s="29"/>
    </row>
    <row r="12" spans="1:5">
      <c r="A12" s="7">
        <f t="shared" si="0"/>
        <v>8</v>
      </c>
      <c r="B12" s="37" t="s">
        <v>236</v>
      </c>
      <c r="C12" s="58">
        <v>3</v>
      </c>
      <c r="D12" s="52">
        <v>1959.43</v>
      </c>
      <c r="E12" s="29"/>
    </row>
    <row r="13" spans="1:5">
      <c r="A13" s="7">
        <f t="shared" si="0"/>
        <v>9</v>
      </c>
      <c r="B13" s="37" t="s">
        <v>316</v>
      </c>
      <c r="C13" s="58"/>
      <c r="D13" s="52">
        <v>843.77</v>
      </c>
      <c r="E13" s="29"/>
    </row>
    <row r="14" spans="1:5">
      <c r="A14" s="7">
        <f t="shared" si="0"/>
        <v>10</v>
      </c>
      <c r="B14" s="37" t="s">
        <v>297</v>
      </c>
      <c r="C14" s="58"/>
      <c r="D14" s="52">
        <v>433.99</v>
      </c>
      <c r="E14" s="29"/>
    </row>
    <row r="15" spans="1:5">
      <c r="A15" s="7">
        <f t="shared" si="0"/>
        <v>11</v>
      </c>
      <c r="B15" s="37" t="s">
        <v>291</v>
      </c>
      <c r="C15" s="58">
        <v>1</v>
      </c>
      <c r="D15" s="52">
        <v>1288.57</v>
      </c>
      <c r="E15" s="29"/>
    </row>
    <row r="16" spans="1:5">
      <c r="A16" s="7">
        <f t="shared" si="0"/>
        <v>12</v>
      </c>
      <c r="B16" s="61" t="s">
        <v>230</v>
      </c>
      <c r="C16" s="62"/>
      <c r="D16" s="52">
        <v>1296.78</v>
      </c>
      <c r="E16" s="29"/>
    </row>
    <row r="17" spans="1:5">
      <c r="A17" s="7">
        <f t="shared" si="0"/>
        <v>13</v>
      </c>
      <c r="B17" s="29" t="s">
        <v>234</v>
      </c>
      <c r="C17" s="7"/>
      <c r="D17" s="52">
        <v>1214.6500000000001</v>
      </c>
      <c r="E17" s="29"/>
    </row>
    <row r="18" spans="1:5">
      <c r="A18" s="7">
        <f t="shared" si="0"/>
        <v>14</v>
      </c>
      <c r="B18" s="29" t="s">
        <v>237</v>
      </c>
      <c r="C18" s="7">
        <v>1</v>
      </c>
      <c r="D18" s="52">
        <v>835.29</v>
      </c>
      <c r="E18" s="29"/>
    </row>
    <row r="19" spans="1:5">
      <c r="A19" s="7">
        <f t="shared" si="0"/>
        <v>15</v>
      </c>
      <c r="B19" s="29" t="s">
        <v>298</v>
      </c>
      <c r="C19" s="7"/>
      <c r="D19" s="52">
        <v>500.99</v>
      </c>
      <c r="E19" s="29"/>
    </row>
    <row r="20" spans="1:5">
      <c r="A20" s="7">
        <f t="shared" si="0"/>
        <v>16</v>
      </c>
      <c r="B20" s="61" t="s">
        <v>228</v>
      </c>
      <c r="C20" s="62"/>
      <c r="D20" s="52">
        <v>922.88</v>
      </c>
      <c r="E20" s="29"/>
    </row>
    <row r="21" spans="1:5">
      <c r="A21" s="7">
        <f t="shared" si="0"/>
        <v>17</v>
      </c>
      <c r="B21" s="61" t="s">
        <v>229</v>
      </c>
      <c r="C21" s="62"/>
      <c r="D21" s="52">
        <v>1276.04</v>
      </c>
      <c r="E21" s="29"/>
    </row>
    <row r="22" spans="1:5">
      <c r="A22" s="7">
        <f t="shared" si="0"/>
        <v>18</v>
      </c>
      <c r="B22" s="29" t="s">
        <v>235</v>
      </c>
      <c r="C22" s="7"/>
      <c r="D22" s="52">
        <v>772.02</v>
      </c>
      <c r="E22" s="29"/>
    </row>
    <row r="23" spans="1:5">
      <c r="A23" s="7">
        <f t="shared" si="0"/>
        <v>19</v>
      </c>
      <c r="B23" s="37" t="s">
        <v>63</v>
      </c>
      <c r="C23" s="58">
        <v>2</v>
      </c>
      <c r="D23" s="52">
        <v>1367.12</v>
      </c>
      <c r="E23" s="29"/>
    </row>
    <row r="24" spans="1:5">
      <c r="A24" s="7">
        <f t="shared" si="0"/>
        <v>20</v>
      </c>
      <c r="B24" s="37" t="s">
        <v>168</v>
      </c>
      <c r="C24" s="58"/>
      <c r="D24" s="52">
        <v>1214.6500000000001</v>
      </c>
      <c r="E24" s="29"/>
    </row>
    <row r="25" spans="1:5">
      <c r="A25" s="7">
        <f t="shared" si="0"/>
        <v>21</v>
      </c>
      <c r="B25" s="37" t="s">
        <v>88</v>
      </c>
      <c r="C25" s="58"/>
      <c r="D25" s="52">
        <v>1125.18</v>
      </c>
      <c r="E25" s="29"/>
    </row>
    <row r="26" spans="1:5">
      <c r="A26" s="7">
        <f t="shared" si="0"/>
        <v>22</v>
      </c>
      <c r="B26" s="55" t="s">
        <v>232</v>
      </c>
      <c r="C26" s="7"/>
      <c r="D26" s="52">
        <v>648.39</v>
      </c>
      <c r="E26" s="29"/>
    </row>
    <row r="27" spans="1:5">
      <c r="A27" s="7">
        <f t="shared" si="0"/>
        <v>23</v>
      </c>
      <c r="B27" s="37" t="s">
        <v>231</v>
      </c>
      <c r="C27" s="58">
        <v>1</v>
      </c>
      <c r="D27" s="52">
        <v>1082.1099999999999</v>
      </c>
      <c r="E27" s="29"/>
    </row>
    <row r="28" spans="1:5">
      <c r="A28" s="7">
        <f t="shared" si="0"/>
        <v>24</v>
      </c>
      <c r="B28" s="29" t="s">
        <v>270</v>
      </c>
      <c r="C28" s="7">
        <v>1</v>
      </c>
      <c r="D28" s="52">
        <v>856.04</v>
      </c>
      <c r="E28" s="29"/>
    </row>
    <row r="29" spans="1:5">
      <c r="A29" s="7">
        <f t="shared" si="0"/>
        <v>25</v>
      </c>
      <c r="B29" s="29" t="s">
        <v>239</v>
      </c>
      <c r="C29" s="7"/>
      <c r="D29" s="52">
        <v>490.62</v>
      </c>
      <c r="E29" s="29"/>
    </row>
    <row r="30" spans="1:5">
      <c r="A30" s="7">
        <f t="shared" si="0"/>
        <v>26</v>
      </c>
      <c r="B30" s="37" t="s">
        <v>133</v>
      </c>
      <c r="C30" s="58"/>
      <c r="D30" s="52">
        <v>881.81</v>
      </c>
      <c r="E30" s="29"/>
    </row>
    <row r="31" spans="1:5">
      <c r="A31" s="7">
        <f t="shared" si="0"/>
        <v>27</v>
      </c>
      <c r="B31" s="37" t="s">
        <v>290</v>
      </c>
      <c r="C31" s="58"/>
      <c r="D31" s="52">
        <v>517.85</v>
      </c>
      <c r="E31" s="29"/>
    </row>
    <row r="32" spans="1:5">
      <c r="A32" s="7">
        <f t="shared" si="0"/>
        <v>28</v>
      </c>
      <c r="B32" s="37" t="s">
        <v>271</v>
      </c>
      <c r="C32" s="58">
        <v>1</v>
      </c>
      <c r="D32" s="52">
        <v>890.18</v>
      </c>
      <c r="E32" s="29"/>
    </row>
    <row r="33" spans="1:5">
      <c r="A33" s="7">
        <f t="shared" si="0"/>
        <v>29</v>
      </c>
      <c r="B33" s="37" t="s">
        <v>294</v>
      </c>
      <c r="C33" s="58"/>
      <c r="D33" s="52">
        <v>432.26</v>
      </c>
      <c r="E33" s="29"/>
    </row>
    <row r="34" spans="1:5">
      <c r="A34" s="7">
        <f t="shared" si="0"/>
        <v>30</v>
      </c>
      <c r="B34" s="37" t="s">
        <v>287</v>
      </c>
      <c r="C34" s="58"/>
      <c r="D34" s="52">
        <v>1214.6500000000001</v>
      </c>
      <c r="E34" s="29"/>
    </row>
    <row r="35" spans="1:5">
      <c r="A35" s="7">
        <f t="shared" si="0"/>
        <v>31</v>
      </c>
      <c r="B35" s="29" t="s">
        <v>219</v>
      </c>
      <c r="C35" s="7"/>
      <c r="D35" s="52">
        <v>432.26</v>
      </c>
      <c r="E35" s="29"/>
    </row>
    <row r="36" spans="1:5">
      <c r="A36" s="7">
        <f t="shared" si="0"/>
        <v>32</v>
      </c>
      <c r="B36" s="124" t="s">
        <v>325</v>
      </c>
      <c r="C36" s="125"/>
      <c r="D36" s="128">
        <v>511.37</v>
      </c>
      <c r="E36" s="29" t="s">
        <v>326</v>
      </c>
    </row>
    <row r="37" spans="1:5">
      <c r="A37" s="7">
        <f t="shared" si="0"/>
        <v>33</v>
      </c>
      <c r="B37" s="37" t="s">
        <v>233</v>
      </c>
      <c r="C37" s="58"/>
      <c r="D37" s="52">
        <v>1296.78</v>
      </c>
      <c r="E37" s="29"/>
    </row>
    <row r="38" spans="1:5">
      <c r="A38" s="7">
        <f t="shared" si="0"/>
        <v>34</v>
      </c>
      <c r="B38" s="37" t="s">
        <v>301</v>
      </c>
      <c r="C38" s="58"/>
      <c r="D38" s="52">
        <v>881.81</v>
      </c>
      <c r="E38" s="29"/>
    </row>
    <row r="39" spans="1:5">
      <c r="A39" s="7">
        <f t="shared" si="0"/>
        <v>35</v>
      </c>
      <c r="B39" s="37" t="s">
        <v>214</v>
      </c>
      <c r="C39" s="58">
        <v>1</v>
      </c>
      <c r="D39" s="52">
        <v>1438.72</v>
      </c>
      <c r="E39" s="29"/>
    </row>
    <row r="40" spans="1:5">
      <c r="A40" s="7">
        <f t="shared" si="0"/>
        <v>36</v>
      </c>
      <c r="B40" s="37" t="s">
        <v>284</v>
      </c>
      <c r="C40" s="58">
        <v>2</v>
      </c>
      <c r="D40" s="52">
        <v>1776.16</v>
      </c>
      <c r="E40" s="29"/>
    </row>
    <row r="41" spans="1:5">
      <c r="A41" s="7">
        <f t="shared" si="0"/>
        <v>37</v>
      </c>
      <c r="B41" s="29" t="s">
        <v>272</v>
      </c>
      <c r="C41" s="7"/>
      <c r="D41" s="52">
        <v>1173.1600000000001</v>
      </c>
      <c r="E41" s="29"/>
    </row>
    <row r="42" spans="1:5">
      <c r="A42" s="7">
        <f t="shared" si="0"/>
        <v>38</v>
      </c>
      <c r="B42" s="29" t="s">
        <v>207</v>
      </c>
      <c r="C42" s="7"/>
      <c r="D42" s="52">
        <v>442.64</v>
      </c>
      <c r="E42" s="29"/>
    </row>
    <row r="43" spans="1:5">
      <c r="A43" s="7">
        <f t="shared" si="0"/>
        <v>39</v>
      </c>
      <c r="B43" s="37" t="s">
        <v>90</v>
      </c>
      <c r="C43" s="58"/>
      <c r="D43" s="52">
        <v>922.88</v>
      </c>
      <c r="E43" s="29"/>
    </row>
    <row r="44" spans="1:5">
      <c r="A44" s="7">
        <f t="shared" si="0"/>
        <v>40</v>
      </c>
      <c r="B44" s="37" t="s">
        <v>134</v>
      </c>
      <c r="C44" s="58"/>
      <c r="D44" s="52">
        <v>500.99</v>
      </c>
      <c r="E44" s="29"/>
    </row>
    <row r="45" spans="1:5">
      <c r="A45" s="7">
        <f t="shared" si="0"/>
        <v>41</v>
      </c>
      <c r="B45" s="37" t="s">
        <v>273</v>
      </c>
      <c r="C45" s="58"/>
      <c r="D45" s="52">
        <v>675.62</v>
      </c>
      <c r="E45" s="29"/>
    </row>
    <row r="46" spans="1:5">
      <c r="A46" s="7">
        <f t="shared" si="0"/>
        <v>42</v>
      </c>
      <c r="B46" s="29" t="s">
        <v>41</v>
      </c>
      <c r="C46" s="58"/>
      <c r="D46" s="52">
        <v>1296.78</v>
      </c>
      <c r="E46" s="29"/>
    </row>
    <row r="47" spans="1:5">
      <c r="A47" s="7">
        <f t="shared" si="0"/>
        <v>43</v>
      </c>
      <c r="B47" s="29" t="s">
        <v>288</v>
      </c>
      <c r="C47" s="58"/>
      <c r="D47" s="52">
        <v>843.77</v>
      </c>
      <c r="E47" s="29"/>
    </row>
    <row r="48" spans="1:5">
      <c r="A48" s="7">
        <f t="shared" si="0"/>
        <v>44</v>
      </c>
      <c r="B48" s="29" t="s">
        <v>238</v>
      </c>
      <c r="C48" s="58"/>
      <c r="D48" s="52">
        <v>1276.04</v>
      </c>
      <c r="E48" s="29"/>
    </row>
    <row r="49" spans="1:8">
      <c r="A49" s="7">
        <f t="shared" si="0"/>
        <v>45</v>
      </c>
      <c r="B49" s="37" t="s">
        <v>150</v>
      </c>
      <c r="C49" s="58"/>
      <c r="D49" s="52">
        <v>586.58000000000004</v>
      </c>
      <c r="E49" s="29"/>
    </row>
    <row r="50" spans="1:8">
      <c r="A50" s="7">
        <f t="shared" si="0"/>
        <v>46</v>
      </c>
      <c r="B50" s="29" t="s">
        <v>33</v>
      </c>
      <c r="C50" s="58">
        <v>1</v>
      </c>
      <c r="D50" s="52">
        <v>1010.63</v>
      </c>
      <c r="E50" s="29"/>
    </row>
    <row r="51" spans="1:8">
      <c r="A51" s="7">
        <f t="shared" si="0"/>
        <v>47</v>
      </c>
      <c r="B51" s="37" t="s">
        <v>34</v>
      </c>
      <c r="C51" s="58">
        <v>1</v>
      </c>
      <c r="D51" s="54">
        <v>1238.43</v>
      </c>
      <c r="E51" s="29"/>
    </row>
    <row r="52" spans="1:8">
      <c r="A52" s="7">
        <f t="shared" si="0"/>
        <v>48</v>
      </c>
      <c r="B52" s="29" t="s">
        <v>91</v>
      </c>
      <c r="C52" s="7"/>
      <c r="D52" s="54">
        <v>517.85</v>
      </c>
      <c r="E52" s="29"/>
    </row>
    <row r="53" spans="1:8">
      <c r="C53" s="105" t="s">
        <v>313</v>
      </c>
      <c r="D53" s="116">
        <f>SUM(D5:D52)</f>
        <v>44971.549999999996</v>
      </c>
    </row>
    <row r="54" spans="1:8">
      <c r="A54" s="101" t="s">
        <v>289</v>
      </c>
      <c r="B54" s="29" t="s">
        <v>254</v>
      </c>
      <c r="C54" s="7"/>
      <c r="D54" s="52">
        <v>453.01</v>
      </c>
      <c r="E54" s="29"/>
    </row>
    <row r="55" spans="1:8">
      <c r="A55" s="106" t="s">
        <v>289</v>
      </c>
      <c r="B55" s="107" t="s">
        <v>268</v>
      </c>
      <c r="C55" s="108"/>
      <c r="D55" s="127">
        <v>500.99</v>
      </c>
      <c r="E55" s="110"/>
    </row>
    <row r="56" spans="1:8">
      <c r="A56" s="113"/>
      <c r="B56" s="102"/>
      <c r="C56" s="115" t="s">
        <v>323</v>
      </c>
      <c r="D56" s="117">
        <f>SUM(D54:D55)</f>
        <v>954</v>
      </c>
      <c r="E56" s="114"/>
      <c r="G56" s="15"/>
      <c r="H56" s="15"/>
    </row>
    <row r="57" spans="1:8">
      <c r="A57" s="458" t="s">
        <v>315</v>
      </c>
      <c r="B57" s="459"/>
      <c r="C57" s="460"/>
      <c r="D57" s="111">
        <f>D53+D56</f>
        <v>45925.549999999996</v>
      </c>
      <c r="E57" s="112"/>
    </row>
    <row r="58" spans="1:8">
      <c r="A58" s="431" t="s">
        <v>258</v>
      </c>
      <c r="B58" s="432"/>
      <c r="C58" s="7">
        <f>COUNTA(B5:B56)</f>
        <v>50</v>
      </c>
      <c r="D58" s="52"/>
      <c r="E58" s="29"/>
    </row>
    <row r="59" spans="1:8">
      <c r="A59" s="431" t="s">
        <v>242</v>
      </c>
      <c r="B59" s="432"/>
      <c r="C59" s="58">
        <f>SUM(C5:C55)</f>
        <v>17</v>
      </c>
      <c r="D59" s="52"/>
      <c r="E59" s="29"/>
    </row>
    <row r="60" spans="1:8">
      <c r="A60" s="433" t="s">
        <v>246</v>
      </c>
      <c r="B60" s="434"/>
      <c r="C60" s="86">
        <f>C58+C59</f>
        <v>67</v>
      </c>
      <c r="D60" s="52"/>
      <c r="E60" s="29"/>
    </row>
    <row r="61" spans="1:8">
      <c r="A61" s="425" t="s">
        <v>257</v>
      </c>
      <c r="B61" s="426"/>
      <c r="C61" s="427"/>
      <c r="D61" s="77"/>
      <c r="E61" s="75"/>
      <c r="G61" s="15"/>
    </row>
    <row r="62" spans="1:8">
      <c r="A62" s="86"/>
      <c r="B62" s="37" t="s">
        <v>325</v>
      </c>
      <c r="C62" s="58"/>
      <c r="D62" s="52">
        <v>1022.74</v>
      </c>
      <c r="E62" s="29" t="s">
        <v>331</v>
      </c>
    </row>
    <row r="63" spans="1:8">
      <c r="A63" s="126"/>
      <c r="B63" s="37" t="s">
        <v>327</v>
      </c>
      <c r="C63" s="58"/>
      <c r="D63" s="52">
        <v>-885.28</v>
      </c>
      <c r="E63" s="29" t="s">
        <v>328</v>
      </c>
    </row>
    <row r="64" spans="1:8">
      <c r="A64" s="91"/>
      <c r="B64" s="37" t="s">
        <v>329</v>
      </c>
      <c r="C64" s="104"/>
      <c r="D64" s="52">
        <v>-2639.43</v>
      </c>
      <c r="E64" s="29" t="s">
        <v>330</v>
      </c>
    </row>
    <row r="65" spans="1:5">
      <c r="A65" s="428" t="s">
        <v>265</v>
      </c>
      <c r="B65" s="429"/>
      <c r="C65" s="430"/>
      <c r="D65" s="83">
        <f>SUM(D62:D64)</f>
        <v>-2501.9699999999998</v>
      </c>
      <c r="E65" s="75"/>
    </row>
    <row r="66" spans="1:5">
      <c r="A66" s="422" t="s">
        <v>37</v>
      </c>
      <c r="B66" s="423"/>
      <c r="C66" s="424"/>
      <c r="D66" s="80">
        <f>SUM(D57+D65+D61)</f>
        <v>43423.579999999994</v>
      </c>
      <c r="E66" s="84"/>
    </row>
    <row r="67" spans="1:5" ht="18">
      <c r="D67" s="72" t="s">
        <v>250</v>
      </c>
      <c r="E67" s="118">
        <v>43936</v>
      </c>
    </row>
    <row r="68" spans="1:5" ht="18">
      <c r="D68" s="73" t="s">
        <v>251</v>
      </c>
      <c r="E68" s="119" t="s">
        <v>332</v>
      </c>
    </row>
  </sheetData>
  <mergeCells count="7">
    <mergeCell ref="A66:C66"/>
    <mergeCell ref="A57:C57"/>
    <mergeCell ref="A58:B58"/>
    <mergeCell ref="A59:B59"/>
    <mergeCell ref="A60:B60"/>
    <mergeCell ref="A61:C61"/>
    <mergeCell ref="A65:C65"/>
  </mergeCells>
  <conditionalFormatting sqref="B13">
    <cfRule type="duplicateValues" dxfId="215" priority="12"/>
    <cfRule type="duplicateValues" dxfId="214" priority="15"/>
    <cfRule type="duplicateValues" dxfId="213" priority="16"/>
  </conditionalFormatting>
  <conditionalFormatting sqref="B14:B61 B1:B12 B65:B1048576">
    <cfRule type="duplicateValues" dxfId="212" priority="17"/>
  </conditionalFormatting>
  <conditionalFormatting sqref="B26">
    <cfRule type="duplicateValues" dxfId="211" priority="96"/>
  </conditionalFormatting>
  <conditionalFormatting sqref="B54:B56 B5:B12 B14:B52">
    <cfRule type="duplicateValues" dxfId="210" priority="107"/>
  </conditionalFormatting>
  <conditionalFormatting sqref="B54:B61 B1:B12 B65:B68 B14:B52">
    <cfRule type="duplicateValues" dxfId="209" priority="103"/>
  </conditionalFormatting>
  <conditionalFormatting sqref="B62">
    <cfRule type="duplicateValues" dxfId="208" priority="1"/>
    <cfRule type="duplicateValues" dxfId="207" priority="2"/>
    <cfRule type="duplicateValues" dxfId="206" priority="3"/>
  </conditionalFormatting>
  <conditionalFormatting sqref="B63">
    <cfRule type="duplicateValues" dxfId="205" priority="8"/>
    <cfRule type="duplicateValues" dxfId="204" priority="10"/>
    <cfRule type="duplicateValues" dxfId="203" priority="11"/>
  </conditionalFormatting>
  <conditionalFormatting sqref="B64">
    <cfRule type="duplicateValues" dxfId="202" priority="5"/>
    <cfRule type="duplicateValues" dxfId="201" priority="6"/>
    <cfRule type="duplicateValues" dxfId="200" priority="7"/>
  </conditionalFormatting>
  <conditionalFormatting sqref="B69:B1048576">
    <cfRule type="duplicateValues" dxfId="199" priority="36"/>
  </conditionalFormatting>
  <conditionalFormatting sqref="B16:C16">
    <cfRule type="duplicateValues" dxfId="198" priority="33"/>
    <cfRule type="duplicateValues" dxfId="197" priority="34"/>
    <cfRule type="duplicateValues" dxfId="196" priority="35"/>
  </conditionalFormatting>
  <conditionalFormatting sqref="B20:C20">
    <cfRule type="duplicateValues" dxfId="195" priority="30"/>
    <cfRule type="duplicateValues" dxfId="194" priority="31"/>
    <cfRule type="duplicateValues" dxfId="193" priority="32"/>
  </conditionalFormatting>
  <conditionalFormatting sqref="B21:C21">
    <cfRule type="duplicateValues" dxfId="192" priority="27"/>
    <cfRule type="duplicateValues" dxfId="191" priority="28"/>
    <cfRule type="duplicateValues" dxfId="190" priority="29"/>
  </conditionalFormatting>
  <conditionalFormatting sqref="C5:C52">
    <cfRule type="notContainsBlanks" dxfId="189" priority="14">
      <formula>LEN(TRIM(C5))&gt;0</formula>
    </cfRule>
  </conditionalFormatting>
  <conditionalFormatting sqref="C54:C55">
    <cfRule type="notContainsBlanks" dxfId="188" priority="26">
      <formula>LEN(TRIM(C54))&gt;0</formula>
    </cfRule>
  </conditionalFormatting>
  <conditionalFormatting sqref="C62:C63">
    <cfRule type="notContainsBlanks" dxfId="187" priority="9">
      <formula>LEN(TRIM(C62))&gt;0</formula>
    </cfRule>
  </conditionalFormatting>
  <conditionalFormatting sqref="E5:E52">
    <cfRule type="notContainsBlanks" dxfId="186" priority="13">
      <formula>LEN(TRIM(E5))&gt;0</formula>
    </cfRule>
  </conditionalFormatting>
  <conditionalFormatting sqref="E54:E66">
    <cfRule type="notContainsBlanks" dxfId="185" priority="4">
      <formula>LEN(TRIM(E54))&gt;0</formula>
    </cfRule>
  </conditionalFormatting>
  <pageMargins left="1" right="1" top="1" bottom="1" header="0.5" footer="0.5"/>
  <pageSetup scale="74" fitToWidth="0" orientation="portrait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A2BC-E282-4ABC-A958-5F3076069B76}">
  <sheetPr>
    <tabColor theme="8"/>
    <pageSetUpPr fitToPage="1"/>
  </sheetPr>
  <dimension ref="A1:H72"/>
  <sheetViews>
    <sheetView topLeftCell="A38" zoomScale="150" zoomScaleNormal="150" zoomScalePageLayoutView="140" workbookViewId="0">
      <selection activeCell="G65" sqref="G65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96">
        <v>43922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120">
        <v>572.75</v>
      </c>
      <c r="E5" s="29"/>
    </row>
    <row r="6" spans="1:5">
      <c r="A6" s="7">
        <f>A5+1</f>
        <v>2</v>
      </c>
      <c r="B6" s="29" t="s">
        <v>72</v>
      </c>
      <c r="C6" s="7"/>
      <c r="D6" s="121">
        <v>1173.1600000000001</v>
      </c>
      <c r="E6" s="29"/>
    </row>
    <row r="7" spans="1:5">
      <c r="A7" s="7">
        <f>A6+1</f>
        <v>3</v>
      </c>
      <c r="B7" s="29" t="s">
        <v>62</v>
      </c>
      <c r="C7" s="7"/>
      <c r="D7" s="121">
        <v>1008.47</v>
      </c>
      <c r="E7" s="29"/>
    </row>
    <row r="8" spans="1:5">
      <c r="A8" s="7">
        <f t="shared" ref="A8:A54" si="0">A7+1</f>
        <v>4</v>
      </c>
      <c r="B8" s="37" t="s">
        <v>202</v>
      </c>
      <c r="C8" s="58"/>
      <c r="D8" s="121">
        <v>528.22</v>
      </c>
      <c r="E8" s="29"/>
    </row>
    <row r="9" spans="1:5">
      <c r="A9" s="7">
        <f t="shared" si="0"/>
        <v>5</v>
      </c>
      <c r="B9" s="29" t="s">
        <v>12</v>
      </c>
      <c r="C9" s="7">
        <v>1</v>
      </c>
      <c r="D9" s="121">
        <v>1485.68</v>
      </c>
      <c r="E9" s="29"/>
    </row>
    <row r="10" spans="1:5">
      <c r="A10" s="7">
        <f t="shared" si="0"/>
        <v>6</v>
      </c>
      <c r="B10" s="37" t="s">
        <v>48</v>
      </c>
      <c r="C10" s="58">
        <v>1</v>
      </c>
      <c r="D10" s="121">
        <v>845.66</v>
      </c>
      <c r="E10" s="29"/>
    </row>
    <row r="11" spans="1:5">
      <c r="A11" s="7">
        <f t="shared" si="0"/>
        <v>7</v>
      </c>
      <c r="B11" s="37" t="s">
        <v>269</v>
      </c>
      <c r="C11" s="58"/>
      <c r="D11" s="51">
        <v>0</v>
      </c>
      <c r="E11" s="29" t="s">
        <v>320</v>
      </c>
    </row>
    <row r="12" spans="1:5">
      <c r="A12" s="7">
        <f t="shared" si="0"/>
        <v>8</v>
      </c>
      <c r="B12" s="37" t="s">
        <v>205</v>
      </c>
      <c r="C12" s="58"/>
      <c r="D12" s="121">
        <v>469.87</v>
      </c>
      <c r="E12" s="29"/>
    </row>
    <row r="13" spans="1:5">
      <c r="A13" s="7">
        <f t="shared" si="0"/>
        <v>9</v>
      </c>
      <c r="B13" s="37" t="s">
        <v>236</v>
      </c>
      <c r="C13" s="58">
        <v>3</v>
      </c>
      <c r="D13" s="121">
        <v>1959.43</v>
      </c>
      <c r="E13" s="29"/>
    </row>
    <row r="14" spans="1:5">
      <c r="A14" s="7">
        <f t="shared" si="0"/>
        <v>10</v>
      </c>
      <c r="B14" s="37" t="s">
        <v>316</v>
      </c>
      <c r="C14" s="58"/>
      <c r="D14" s="121">
        <v>843.77</v>
      </c>
      <c r="E14" s="29" t="s">
        <v>317</v>
      </c>
    </row>
    <row r="15" spans="1:5">
      <c r="A15" s="7">
        <f t="shared" si="0"/>
        <v>11</v>
      </c>
      <c r="B15" s="37" t="s">
        <v>297</v>
      </c>
      <c r="C15" s="58"/>
      <c r="D15" s="121">
        <v>433.99</v>
      </c>
      <c r="E15" s="29"/>
    </row>
    <row r="16" spans="1:5">
      <c r="A16" s="7">
        <f t="shared" si="0"/>
        <v>12</v>
      </c>
      <c r="B16" s="37" t="s">
        <v>291</v>
      </c>
      <c r="C16" s="58">
        <v>1</v>
      </c>
      <c r="D16" s="121">
        <v>1288.57</v>
      </c>
      <c r="E16" s="29"/>
    </row>
    <row r="17" spans="1:5">
      <c r="A17" s="7">
        <f t="shared" si="0"/>
        <v>13</v>
      </c>
      <c r="B17" s="61" t="s">
        <v>230</v>
      </c>
      <c r="C17" s="62"/>
      <c r="D17" s="121">
        <v>1296.78</v>
      </c>
      <c r="E17" s="29"/>
    </row>
    <row r="18" spans="1:5">
      <c r="A18" s="7">
        <f t="shared" si="0"/>
        <v>14</v>
      </c>
      <c r="B18" s="29" t="s">
        <v>234</v>
      </c>
      <c r="C18" s="7"/>
      <c r="D18" s="121">
        <v>1214.6500000000001</v>
      </c>
      <c r="E18" s="29"/>
    </row>
    <row r="19" spans="1:5">
      <c r="A19" s="7">
        <f t="shared" si="0"/>
        <v>15</v>
      </c>
      <c r="B19" s="29" t="s">
        <v>237</v>
      </c>
      <c r="C19" s="7">
        <v>1</v>
      </c>
      <c r="D19" s="121">
        <v>835.29</v>
      </c>
      <c r="E19" s="29"/>
    </row>
    <row r="20" spans="1:5">
      <c r="A20" s="7">
        <f t="shared" si="0"/>
        <v>16</v>
      </c>
      <c r="B20" s="29" t="s">
        <v>298</v>
      </c>
      <c r="C20" s="7"/>
      <c r="D20" s="121">
        <v>500.99</v>
      </c>
      <c r="E20" s="29"/>
    </row>
    <row r="21" spans="1:5">
      <c r="A21" s="7">
        <f t="shared" si="0"/>
        <v>17</v>
      </c>
      <c r="B21" s="61" t="s">
        <v>228</v>
      </c>
      <c r="C21" s="62"/>
      <c r="D21" s="121">
        <v>922.88</v>
      </c>
      <c r="E21" s="29"/>
    </row>
    <row r="22" spans="1:5">
      <c r="A22" s="7">
        <f t="shared" si="0"/>
        <v>18</v>
      </c>
      <c r="B22" s="61" t="s">
        <v>229</v>
      </c>
      <c r="C22" s="62"/>
      <c r="D22" s="121">
        <v>1276.04</v>
      </c>
      <c r="E22" s="29"/>
    </row>
    <row r="23" spans="1:5">
      <c r="A23" s="7">
        <f t="shared" si="0"/>
        <v>19</v>
      </c>
      <c r="B23" s="29" t="s">
        <v>235</v>
      </c>
      <c r="C23" s="7"/>
      <c r="D23" s="121">
        <v>772.02</v>
      </c>
      <c r="E23" s="29"/>
    </row>
    <row r="24" spans="1:5">
      <c r="A24" s="7">
        <f t="shared" si="0"/>
        <v>20</v>
      </c>
      <c r="B24" s="37" t="s">
        <v>63</v>
      </c>
      <c r="C24" s="58">
        <v>2</v>
      </c>
      <c r="D24" s="121">
        <v>1367.12</v>
      </c>
      <c r="E24" s="29"/>
    </row>
    <row r="25" spans="1:5">
      <c r="A25" s="7">
        <f t="shared" si="0"/>
        <v>21</v>
      </c>
      <c r="B25" s="37" t="s">
        <v>168</v>
      </c>
      <c r="C25" s="58"/>
      <c r="D25" s="121">
        <v>1214.6500000000001</v>
      </c>
      <c r="E25" s="29"/>
    </row>
    <row r="26" spans="1:5">
      <c r="A26" s="7">
        <f t="shared" si="0"/>
        <v>22</v>
      </c>
      <c r="B26" s="37" t="s">
        <v>88</v>
      </c>
      <c r="C26" s="58"/>
      <c r="D26" s="121">
        <v>1125.18</v>
      </c>
      <c r="E26" s="29"/>
    </row>
    <row r="27" spans="1:5">
      <c r="A27" s="7">
        <f t="shared" si="0"/>
        <v>23</v>
      </c>
      <c r="B27" s="55" t="s">
        <v>232</v>
      </c>
      <c r="C27" s="7"/>
      <c r="D27" s="121">
        <v>648.39</v>
      </c>
      <c r="E27" s="29"/>
    </row>
    <row r="28" spans="1:5">
      <c r="A28" s="7">
        <f>A27+1</f>
        <v>24</v>
      </c>
      <c r="B28" s="55" t="s">
        <v>321</v>
      </c>
      <c r="C28" s="7"/>
      <c r="D28" s="121">
        <v>442.64</v>
      </c>
      <c r="E28" s="29" t="s">
        <v>322</v>
      </c>
    </row>
    <row r="29" spans="1:5">
      <c r="A29" s="7">
        <f t="shared" si="0"/>
        <v>25</v>
      </c>
      <c r="B29" s="37" t="s">
        <v>231</v>
      </c>
      <c r="C29" s="58">
        <v>1</v>
      </c>
      <c r="D29" s="121">
        <v>1082.1099999999999</v>
      </c>
      <c r="E29" s="29"/>
    </row>
    <row r="30" spans="1:5">
      <c r="A30" s="7">
        <f t="shared" si="0"/>
        <v>26</v>
      </c>
      <c r="B30" s="37" t="s">
        <v>148</v>
      </c>
      <c r="C30" s="58">
        <v>1</v>
      </c>
      <c r="D30" s="121">
        <v>879.81</v>
      </c>
      <c r="E30" s="29"/>
    </row>
    <row r="31" spans="1:5">
      <c r="A31" s="7">
        <f t="shared" si="0"/>
        <v>27</v>
      </c>
      <c r="B31" s="29" t="s">
        <v>270</v>
      </c>
      <c r="C31" s="7">
        <v>1</v>
      </c>
      <c r="D31" s="121">
        <v>856.04</v>
      </c>
      <c r="E31" s="29"/>
    </row>
    <row r="32" spans="1:5">
      <c r="A32" s="7">
        <f t="shared" si="0"/>
        <v>28</v>
      </c>
      <c r="B32" s="29" t="s">
        <v>239</v>
      </c>
      <c r="C32" s="7"/>
      <c r="D32" s="121">
        <v>490.62</v>
      </c>
      <c r="E32" s="29"/>
    </row>
    <row r="33" spans="1:5">
      <c r="A33" s="7">
        <f t="shared" si="0"/>
        <v>29</v>
      </c>
      <c r="B33" s="37" t="s">
        <v>133</v>
      </c>
      <c r="C33" s="58"/>
      <c r="D33" s="121">
        <v>881.81</v>
      </c>
      <c r="E33" s="29"/>
    </row>
    <row r="34" spans="1:5">
      <c r="A34" s="7">
        <f t="shared" si="0"/>
        <v>30</v>
      </c>
      <c r="B34" s="37" t="s">
        <v>290</v>
      </c>
      <c r="C34" s="58"/>
      <c r="D34" s="121">
        <v>517.85</v>
      </c>
      <c r="E34" s="29"/>
    </row>
    <row r="35" spans="1:5">
      <c r="A35" s="7">
        <f t="shared" si="0"/>
        <v>31</v>
      </c>
      <c r="B35" s="37" t="s">
        <v>271</v>
      </c>
      <c r="C35" s="58">
        <v>1</v>
      </c>
      <c r="D35" s="121">
        <v>890.18</v>
      </c>
      <c r="E35" s="29"/>
    </row>
    <row r="36" spans="1:5">
      <c r="A36" s="7">
        <f t="shared" si="0"/>
        <v>32</v>
      </c>
      <c r="B36" s="37" t="s">
        <v>294</v>
      </c>
      <c r="C36" s="58"/>
      <c r="D36" s="121">
        <v>432.26</v>
      </c>
      <c r="E36" s="29"/>
    </row>
    <row r="37" spans="1:5">
      <c r="A37" s="7">
        <f t="shared" si="0"/>
        <v>33</v>
      </c>
      <c r="B37" s="37" t="s">
        <v>287</v>
      </c>
      <c r="C37" s="58"/>
      <c r="D37" s="121">
        <v>1214.6500000000001</v>
      </c>
      <c r="E37" s="29"/>
    </row>
    <row r="38" spans="1:5">
      <c r="A38" s="7">
        <f t="shared" si="0"/>
        <v>34</v>
      </c>
      <c r="B38" s="29" t="s">
        <v>219</v>
      </c>
      <c r="C38" s="7"/>
      <c r="D38" s="121">
        <v>432.26</v>
      </c>
      <c r="E38" s="29"/>
    </row>
    <row r="39" spans="1:5">
      <c r="A39" s="7">
        <f t="shared" si="0"/>
        <v>35</v>
      </c>
      <c r="B39" s="37" t="s">
        <v>233</v>
      </c>
      <c r="C39" s="58"/>
      <c r="D39" s="121">
        <v>1296.78</v>
      </c>
      <c r="E39" s="29"/>
    </row>
    <row r="40" spans="1:5">
      <c r="A40" s="7">
        <f t="shared" si="0"/>
        <v>36</v>
      </c>
      <c r="B40" s="37" t="s">
        <v>301</v>
      </c>
      <c r="C40" s="58"/>
      <c r="D40" s="121">
        <v>881.81</v>
      </c>
      <c r="E40" s="29"/>
    </row>
    <row r="41" spans="1:5">
      <c r="A41" s="7">
        <f t="shared" si="0"/>
        <v>37</v>
      </c>
      <c r="B41" s="37" t="s">
        <v>214</v>
      </c>
      <c r="C41" s="58">
        <v>1</v>
      </c>
      <c r="D41" s="121">
        <v>1438.72</v>
      </c>
      <c r="E41" s="29"/>
    </row>
    <row r="42" spans="1:5">
      <c r="A42" s="7">
        <f t="shared" si="0"/>
        <v>38</v>
      </c>
      <c r="B42" s="37" t="s">
        <v>284</v>
      </c>
      <c r="C42" s="58">
        <v>2</v>
      </c>
      <c r="D42" s="121">
        <v>1776.16</v>
      </c>
      <c r="E42" s="29"/>
    </row>
    <row r="43" spans="1:5">
      <c r="A43" s="7">
        <f t="shared" si="0"/>
        <v>39</v>
      </c>
      <c r="B43" s="29" t="s">
        <v>272</v>
      </c>
      <c r="C43" s="7"/>
      <c r="D43" s="121">
        <v>1173.1600000000001</v>
      </c>
      <c r="E43" s="29"/>
    </row>
    <row r="44" spans="1:5">
      <c r="A44" s="7">
        <f t="shared" si="0"/>
        <v>40</v>
      </c>
      <c r="B44" s="29" t="s">
        <v>207</v>
      </c>
      <c r="C44" s="7"/>
      <c r="D44" s="121">
        <v>442.64</v>
      </c>
      <c r="E44" s="29"/>
    </row>
    <row r="45" spans="1:5">
      <c r="A45" s="7">
        <f t="shared" si="0"/>
        <v>41</v>
      </c>
      <c r="B45" s="37" t="s">
        <v>90</v>
      </c>
      <c r="C45" s="58"/>
      <c r="D45" s="121">
        <v>922.88</v>
      </c>
      <c r="E45" s="29"/>
    </row>
    <row r="46" spans="1:5">
      <c r="A46" s="7">
        <f t="shared" si="0"/>
        <v>42</v>
      </c>
      <c r="B46" s="37" t="s">
        <v>134</v>
      </c>
      <c r="C46" s="58"/>
      <c r="D46" s="121">
        <v>500.99</v>
      </c>
      <c r="E46" s="29"/>
    </row>
    <row r="47" spans="1:5">
      <c r="A47" s="7">
        <f t="shared" si="0"/>
        <v>43</v>
      </c>
      <c r="B47" s="37" t="s">
        <v>273</v>
      </c>
      <c r="C47" s="58"/>
      <c r="D47" s="121">
        <v>675.62</v>
      </c>
      <c r="E47" s="29"/>
    </row>
    <row r="48" spans="1:5">
      <c r="A48" s="7">
        <f t="shared" si="0"/>
        <v>44</v>
      </c>
      <c r="B48" s="29" t="s">
        <v>41</v>
      </c>
      <c r="C48" s="58"/>
      <c r="D48" s="121">
        <v>1296.78</v>
      </c>
      <c r="E48" s="29"/>
    </row>
    <row r="49" spans="1:8">
      <c r="A49" s="7">
        <f t="shared" si="0"/>
        <v>45</v>
      </c>
      <c r="B49" s="29" t="s">
        <v>288</v>
      </c>
      <c r="C49" s="58"/>
      <c r="D49" s="121">
        <v>843.77</v>
      </c>
      <c r="E49" s="29"/>
    </row>
    <row r="50" spans="1:8">
      <c r="A50" s="7">
        <f t="shared" si="0"/>
        <v>46</v>
      </c>
      <c r="B50" s="29" t="s">
        <v>238</v>
      </c>
      <c r="C50" s="58"/>
      <c r="D50" s="121">
        <v>1276.04</v>
      </c>
      <c r="E50" s="29"/>
    </row>
    <row r="51" spans="1:8">
      <c r="A51" s="7">
        <f t="shared" si="0"/>
        <v>47</v>
      </c>
      <c r="B51" s="37" t="s">
        <v>150</v>
      </c>
      <c r="C51" s="58"/>
      <c r="D51" s="121">
        <v>586.58000000000004</v>
      </c>
      <c r="E51" s="29"/>
    </row>
    <row r="52" spans="1:8">
      <c r="A52" s="7">
        <f t="shared" si="0"/>
        <v>48</v>
      </c>
      <c r="B52" s="29" t="s">
        <v>33</v>
      </c>
      <c r="C52" s="58">
        <v>1</v>
      </c>
      <c r="D52" s="121">
        <v>1010.63</v>
      </c>
      <c r="E52" s="29"/>
    </row>
    <row r="53" spans="1:8">
      <c r="A53" s="7">
        <f t="shared" si="0"/>
        <v>49</v>
      </c>
      <c r="B53" s="37" t="s">
        <v>34</v>
      </c>
      <c r="C53" s="58">
        <v>1</v>
      </c>
      <c r="D53" s="120">
        <v>1238.43</v>
      </c>
      <c r="E53" s="29"/>
    </row>
    <row r="54" spans="1:8">
      <c r="A54" s="7">
        <f t="shared" si="0"/>
        <v>50</v>
      </c>
      <c r="B54" s="29" t="s">
        <v>91</v>
      </c>
      <c r="C54" s="7"/>
      <c r="D54" s="120">
        <v>517.85</v>
      </c>
      <c r="E54" s="29"/>
    </row>
    <row r="55" spans="1:8">
      <c r="C55" s="105" t="s">
        <v>313</v>
      </c>
      <c r="D55" s="116">
        <f>SUM(D5:D54)</f>
        <v>45782.63</v>
      </c>
    </row>
    <row r="56" spans="1:8">
      <c r="A56" s="101"/>
      <c r="B56" s="29" t="s">
        <v>254</v>
      </c>
      <c r="C56" s="7"/>
      <c r="D56" s="121">
        <v>453.01</v>
      </c>
      <c r="E56" s="29"/>
    </row>
    <row r="57" spans="1:8">
      <c r="A57" s="106"/>
      <c r="B57" s="107" t="s">
        <v>268</v>
      </c>
      <c r="C57" s="108"/>
      <c r="D57" s="122">
        <v>500.99</v>
      </c>
      <c r="E57" s="110"/>
    </row>
    <row r="58" spans="1:8">
      <c r="A58" s="113"/>
      <c r="B58" s="102"/>
      <c r="C58" s="115" t="s">
        <v>323</v>
      </c>
      <c r="D58" s="117">
        <f>SUM(D56:D57)</f>
        <v>954</v>
      </c>
      <c r="E58" s="114"/>
      <c r="G58" s="15"/>
      <c r="H58" s="15"/>
    </row>
    <row r="59" spans="1:8">
      <c r="A59" s="458" t="s">
        <v>315</v>
      </c>
      <c r="B59" s="459"/>
      <c r="C59" s="460"/>
      <c r="D59" s="111">
        <f>D55+D58</f>
        <v>46736.63</v>
      </c>
      <c r="E59" s="112"/>
    </row>
    <row r="60" spans="1:8">
      <c r="A60" s="431" t="s">
        <v>258</v>
      </c>
      <c r="B60" s="432"/>
      <c r="C60" s="7">
        <f>COUNTA(B5:B58)</f>
        <v>52</v>
      </c>
      <c r="D60" s="52"/>
      <c r="E60" s="29"/>
    </row>
    <row r="61" spans="1:8">
      <c r="A61" s="431" t="s">
        <v>242</v>
      </c>
      <c r="B61" s="432"/>
      <c r="C61" s="58">
        <f>SUM(C5:C58)</f>
        <v>18</v>
      </c>
      <c r="D61" s="52"/>
      <c r="E61" s="29"/>
    </row>
    <row r="62" spans="1:8">
      <c r="A62" s="433" t="s">
        <v>246</v>
      </c>
      <c r="B62" s="434"/>
      <c r="C62" s="86">
        <f>C60+C61</f>
        <v>70</v>
      </c>
      <c r="D62" s="52"/>
      <c r="E62" s="29"/>
    </row>
    <row r="63" spans="1:8">
      <c r="A63" s="425" t="s">
        <v>257</v>
      </c>
      <c r="B63" s="426"/>
      <c r="C63" s="427"/>
      <c r="D63" s="77">
        <v>236.89</v>
      </c>
      <c r="E63" s="75"/>
      <c r="G63" s="15"/>
    </row>
    <row r="64" spans="1:8">
      <c r="A64" s="86"/>
      <c r="B64" s="98" t="s">
        <v>156</v>
      </c>
      <c r="C64" s="58"/>
      <c r="D64" s="52"/>
      <c r="E64" s="29" t="s">
        <v>319</v>
      </c>
    </row>
    <row r="65" spans="1:5">
      <c r="A65" s="91"/>
      <c r="B65" s="37" t="s">
        <v>316</v>
      </c>
      <c r="C65" s="104"/>
      <c r="D65" s="52"/>
      <c r="E65" s="29" t="s">
        <v>293</v>
      </c>
    </row>
    <row r="66" spans="1:5">
      <c r="A66" s="428" t="s">
        <v>265</v>
      </c>
      <c r="B66" s="429"/>
      <c r="C66" s="430"/>
      <c r="D66" s="83">
        <f>SUM(D64:D65)</f>
        <v>0</v>
      </c>
      <c r="E66" s="75"/>
    </row>
    <row r="67" spans="1:5">
      <c r="A67" s="422" t="s">
        <v>37</v>
      </c>
      <c r="B67" s="423"/>
      <c r="C67" s="424"/>
      <c r="D67" s="80">
        <f>SUM(D59+D66+D63)</f>
        <v>46973.52</v>
      </c>
      <c r="E67" s="84"/>
    </row>
    <row r="68" spans="1:5" ht="18">
      <c r="D68" s="72" t="s">
        <v>250</v>
      </c>
      <c r="E68" s="118">
        <v>43903</v>
      </c>
    </row>
    <row r="69" spans="1:5" ht="18">
      <c r="D69" s="73" t="s">
        <v>251</v>
      </c>
      <c r="E69" s="119" t="s">
        <v>324</v>
      </c>
    </row>
    <row r="72" spans="1:5">
      <c r="A72" s="7">
        <f>A20+1</f>
        <v>17</v>
      </c>
      <c r="B72" s="29" t="s">
        <v>156</v>
      </c>
      <c r="C72" s="7"/>
      <c r="D72" s="51">
        <v>469.87</v>
      </c>
      <c r="E72" t="s">
        <v>318</v>
      </c>
    </row>
  </sheetData>
  <mergeCells count="7">
    <mergeCell ref="A67:C67"/>
    <mergeCell ref="A59:C59"/>
    <mergeCell ref="A60:B60"/>
    <mergeCell ref="A61:B61"/>
    <mergeCell ref="A62:B62"/>
    <mergeCell ref="A63:C63"/>
    <mergeCell ref="A66:C66"/>
  </mergeCells>
  <conditionalFormatting sqref="B1:B13 B15:B1048576">
    <cfRule type="duplicateValues" dxfId="184" priority="6"/>
  </conditionalFormatting>
  <conditionalFormatting sqref="B14">
    <cfRule type="duplicateValues" dxfId="183" priority="1"/>
    <cfRule type="duplicateValues" dxfId="182" priority="4"/>
    <cfRule type="duplicateValues" dxfId="181" priority="5"/>
  </conditionalFormatting>
  <conditionalFormatting sqref="B27:B28">
    <cfRule type="duplicateValues" dxfId="180" priority="12"/>
    <cfRule type="duplicateValues" dxfId="179" priority="13"/>
    <cfRule type="duplicateValues" dxfId="178" priority="14"/>
  </conditionalFormatting>
  <conditionalFormatting sqref="B64">
    <cfRule type="duplicateValues" dxfId="177" priority="9"/>
    <cfRule type="duplicateValues" dxfId="176" priority="10"/>
  </conditionalFormatting>
  <conditionalFormatting sqref="B65">
    <cfRule type="duplicateValues" dxfId="175" priority="26"/>
  </conditionalFormatting>
  <conditionalFormatting sqref="B72 B56:B58 B5:B13 B15:B54">
    <cfRule type="duplicateValues" dxfId="174" priority="28"/>
  </conditionalFormatting>
  <conditionalFormatting sqref="B72 B56:B63 B1:B13 B65:B69 B15:B54">
    <cfRule type="duplicateValues" dxfId="173" priority="27"/>
  </conditionalFormatting>
  <conditionalFormatting sqref="B73:B1048576 B70:B71">
    <cfRule type="duplicateValues" dxfId="172" priority="25"/>
  </conditionalFormatting>
  <conditionalFormatting sqref="B17:C17">
    <cfRule type="duplicateValues" dxfId="171" priority="22"/>
    <cfRule type="duplicateValues" dxfId="170" priority="23"/>
    <cfRule type="duplicateValues" dxfId="169" priority="24"/>
  </conditionalFormatting>
  <conditionalFormatting sqref="B21:C21">
    <cfRule type="duplicateValues" dxfId="168" priority="19"/>
    <cfRule type="duplicateValues" dxfId="167" priority="20"/>
    <cfRule type="duplicateValues" dxfId="166" priority="21"/>
  </conditionalFormatting>
  <conditionalFormatting sqref="B22:C22">
    <cfRule type="duplicateValues" dxfId="165" priority="16"/>
    <cfRule type="duplicateValues" dxfId="164" priority="17"/>
    <cfRule type="duplicateValues" dxfId="163" priority="18"/>
  </conditionalFormatting>
  <conditionalFormatting sqref="C5:C54">
    <cfRule type="notContainsBlanks" dxfId="162" priority="3">
      <formula>LEN(TRIM(C5))&gt;0</formula>
    </cfRule>
  </conditionalFormatting>
  <conditionalFormatting sqref="C56:C57 C72">
    <cfRule type="notContainsBlanks" dxfId="161" priority="15">
      <formula>LEN(TRIM(C56))&gt;0</formula>
    </cfRule>
  </conditionalFormatting>
  <conditionalFormatting sqref="C64">
    <cfRule type="notContainsBlanks" dxfId="160" priority="8">
      <formula>LEN(TRIM(C64))&gt;0</formula>
    </cfRule>
  </conditionalFormatting>
  <conditionalFormatting sqref="E5:E54">
    <cfRule type="notContainsBlanks" dxfId="159" priority="2">
      <formula>LEN(TRIM(E5))&gt;0</formula>
    </cfRule>
  </conditionalFormatting>
  <conditionalFormatting sqref="E56:E67">
    <cfRule type="notContainsBlanks" dxfId="158" priority="7">
      <formula>LEN(TRIM(E56))&gt;0</formula>
    </cfRule>
  </conditionalFormatting>
  <conditionalFormatting sqref="E72">
    <cfRule type="notContainsBlanks" dxfId="157" priority="11">
      <formula>LEN(TRIM(E72))&gt;0</formula>
    </cfRule>
  </conditionalFormatting>
  <pageMargins left="1" right="1" top="1" bottom="1" header="0.5" footer="0.5"/>
  <pageSetup scale="74" fitToWidth="0" orientation="portrait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4B1E-3F9A-1D42-930E-DAFCA2BA0D24}">
  <sheetPr>
    <tabColor theme="8"/>
    <pageSetUpPr fitToPage="1"/>
  </sheetPr>
  <dimension ref="A1:E71"/>
  <sheetViews>
    <sheetView topLeftCell="A34" zoomScale="150" zoomScaleNormal="150" zoomScalePageLayoutView="140" workbookViewId="0">
      <selection activeCell="E67" sqref="E67"/>
    </sheetView>
  </sheetViews>
  <sheetFormatPr baseColWidth="10" defaultColWidth="8.83203125" defaultRowHeight="13"/>
  <cols>
    <col min="1" max="1" width="5.6640625" customWidth="1"/>
    <col min="2" max="2" width="25.6640625" customWidth="1"/>
    <col min="3" max="3" width="10.5" style="3" bestFit="1" customWidth="1"/>
    <col min="4" max="4" width="14.83203125" customWidth="1"/>
    <col min="5" max="5" width="26.1640625" customWidth="1"/>
    <col min="6" max="6" width="13.6640625" customWidth="1"/>
    <col min="7" max="7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96">
        <v>43891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572.75</v>
      </c>
      <c r="E5" s="29"/>
    </row>
    <row r="6" spans="1:5">
      <c r="A6" s="7">
        <f>A5+1</f>
        <v>2</v>
      </c>
      <c r="B6" s="29" t="s">
        <v>72</v>
      </c>
      <c r="C6" s="7"/>
      <c r="D6" s="51">
        <v>1173.1600000000001</v>
      </c>
      <c r="E6" s="29"/>
    </row>
    <row r="7" spans="1:5">
      <c r="A7" s="7">
        <f>A6+1</f>
        <v>3</v>
      </c>
      <c r="B7" s="29" t="s">
        <v>62</v>
      </c>
      <c r="C7" s="7"/>
      <c r="D7" s="51">
        <v>1008.47</v>
      </c>
      <c r="E7" s="29"/>
    </row>
    <row r="8" spans="1:5">
      <c r="A8" s="7">
        <f t="shared" ref="A8:A53" si="0">A7+1</f>
        <v>4</v>
      </c>
      <c r="B8" s="37" t="s">
        <v>202</v>
      </c>
      <c r="C8" s="58"/>
      <c r="D8" s="51">
        <v>528.22</v>
      </c>
      <c r="E8" s="29"/>
    </row>
    <row r="9" spans="1:5">
      <c r="A9" s="7">
        <f t="shared" si="0"/>
        <v>5</v>
      </c>
      <c r="B9" s="29" t="s">
        <v>12</v>
      </c>
      <c r="C9" s="7">
        <v>1</v>
      </c>
      <c r="D9" s="51">
        <v>1485.68</v>
      </c>
      <c r="E9" s="29"/>
    </row>
    <row r="10" spans="1:5">
      <c r="A10" s="7">
        <f t="shared" si="0"/>
        <v>6</v>
      </c>
      <c r="B10" s="37" t="s">
        <v>48</v>
      </c>
      <c r="C10" s="58">
        <v>1</v>
      </c>
      <c r="D10" s="51">
        <v>845.66</v>
      </c>
      <c r="E10" s="29"/>
    </row>
    <row r="11" spans="1:5">
      <c r="A11" s="7">
        <f t="shared" si="0"/>
        <v>7</v>
      </c>
      <c r="B11" s="37" t="s">
        <v>269</v>
      </c>
      <c r="C11" s="58"/>
      <c r="D11" s="51">
        <v>648.39</v>
      </c>
      <c r="E11" s="29"/>
    </row>
    <row r="12" spans="1:5">
      <c r="A12" s="7">
        <f t="shared" si="0"/>
        <v>8</v>
      </c>
      <c r="B12" s="37" t="s">
        <v>205</v>
      </c>
      <c r="C12" s="58"/>
      <c r="D12" s="51">
        <v>469.87</v>
      </c>
      <c r="E12" s="29"/>
    </row>
    <row r="13" spans="1:5">
      <c r="A13" s="7">
        <f t="shared" si="0"/>
        <v>9</v>
      </c>
      <c r="B13" s="37" t="s">
        <v>236</v>
      </c>
      <c r="C13" s="58">
        <v>3</v>
      </c>
      <c r="D13" s="52">
        <v>1959.43</v>
      </c>
      <c r="E13" s="29"/>
    </row>
    <row r="14" spans="1:5">
      <c r="A14" s="7">
        <f t="shared" si="0"/>
        <v>10</v>
      </c>
      <c r="B14" s="37" t="s">
        <v>316</v>
      </c>
      <c r="C14" s="58"/>
      <c r="D14" s="52">
        <v>843.77</v>
      </c>
      <c r="E14" s="29" t="s">
        <v>317</v>
      </c>
    </row>
    <row r="15" spans="1:5">
      <c r="A15" s="7">
        <f t="shared" si="0"/>
        <v>11</v>
      </c>
      <c r="B15" s="37" t="s">
        <v>297</v>
      </c>
      <c r="C15" s="58"/>
      <c r="D15" s="52">
        <v>433.99</v>
      </c>
      <c r="E15" s="29"/>
    </row>
    <row r="16" spans="1:5">
      <c r="A16" s="7">
        <f t="shared" si="0"/>
        <v>12</v>
      </c>
      <c r="B16" s="37" t="s">
        <v>291</v>
      </c>
      <c r="C16" s="58">
        <v>1</v>
      </c>
      <c r="D16" s="52">
        <v>1288.57</v>
      </c>
      <c r="E16" s="29"/>
    </row>
    <row r="17" spans="1:5">
      <c r="A17" s="7">
        <f t="shared" si="0"/>
        <v>13</v>
      </c>
      <c r="B17" s="61" t="s">
        <v>230</v>
      </c>
      <c r="C17" s="62"/>
      <c r="D17" s="51">
        <v>1296.78</v>
      </c>
      <c r="E17" s="29"/>
    </row>
    <row r="18" spans="1:5">
      <c r="A18" s="7">
        <f t="shared" si="0"/>
        <v>14</v>
      </c>
      <c r="B18" s="29" t="s">
        <v>234</v>
      </c>
      <c r="C18" s="7"/>
      <c r="D18" s="51">
        <v>1214.6500000000001</v>
      </c>
      <c r="E18" s="29"/>
    </row>
    <row r="19" spans="1:5">
      <c r="A19" s="7">
        <f t="shared" si="0"/>
        <v>15</v>
      </c>
      <c r="B19" s="29" t="s">
        <v>237</v>
      </c>
      <c r="C19" s="7">
        <v>1</v>
      </c>
      <c r="D19" s="51">
        <v>835.29</v>
      </c>
      <c r="E19" s="29"/>
    </row>
    <row r="20" spans="1:5">
      <c r="A20" s="7">
        <f t="shared" si="0"/>
        <v>16</v>
      </c>
      <c r="B20" s="29" t="s">
        <v>298</v>
      </c>
      <c r="C20" s="7"/>
      <c r="D20" s="51">
        <v>500.99</v>
      </c>
      <c r="E20" s="29"/>
    </row>
    <row r="21" spans="1:5">
      <c r="A21" s="7">
        <f t="shared" si="0"/>
        <v>17</v>
      </c>
      <c r="B21" s="61" t="s">
        <v>228</v>
      </c>
      <c r="C21" s="62"/>
      <c r="D21" s="51">
        <v>922.88</v>
      </c>
      <c r="E21" s="29"/>
    </row>
    <row r="22" spans="1:5">
      <c r="A22" s="7">
        <f t="shared" si="0"/>
        <v>18</v>
      </c>
      <c r="B22" s="61" t="s">
        <v>229</v>
      </c>
      <c r="C22" s="62"/>
      <c r="D22" s="51">
        <v>1276.04</v>
      </c>
      <c r="E22" s="29"/>
    </row>
    <row r="23" spans="1:5">
      <c r="A23" s="7">
        <f t="shared" si="0"/>
        <v>19</v>
      </c>
      <c r="B23" s="29" t="s">
        <v>235</v>
      </c>
      <c r="C23" s="7"/>
      <c r="D23" s="51">
        <v>772.02</v>
      </c>
      <c r="E23" s="29"/>
    </row>
    <row r="24" spans="1:5">
      <c r="A24" s="7">
        <f t="shared" si="0"/>
        <v>20</v>
      </c>
      <c r="B24" s="37" t="s">
        <v>63</v>
      </c>
      <c r="C24" s="58">
        <v>2</v>
      </c>
      <c r="D24" s="52">
        <v>1367.12</v>
      </c>
      <c r="E24" s="29"/>
    </row>
    <row r="25" spans="1:5">
      <c r="A25" s="7">
        <f t="shared" si="0"/>
        <v>21</v>
      </c>
      <c r="B25" s="37" t="s">
        <v>168</v>
      </c>
      <c r="C25" s="58"/>
      <c r="D25" s="51">
        <v>1214.6500000000001</v>
      </c>
      <c r="E25" s="29"/>
    </row>
    <row r="26" spans="1:5">
      <c r="A26" s="7">
        <f t="shared" si="0"/>
        <v>22</v>
      </c>
      <c r="B26" s="37" t="s">
        <v>88</v>
      </c>
      <c r="C26" s="58"/>
      <c r="D26" s="51">
        <v>1125.18</v>
      </c>
      <c r="E26" s="29"/>
    </row>
    <row r="27" spans="1:5">
      <c r="A27" s="7">
        <f t="shared" si="0"/>
        <v>23</v>
      </c>
      <c r="B27" s="55" t="s">
        <v>232</v>
      </c>
      <c r="C27" s="7"/>
      <c r="D27" s="51">
        <v>648.39</v>
      </c>
      <c r="E27" s="29"/>
    </row>
    <row r="28" spans="1:5">
      <c r="A28" s="7">
        <f t="shared" si="0"/>
        <v>24</v>
      </c>
      <c r="B28" s="37" t="s">
        <v>231</v>
      </c>
      <c r="C28" s="58">
        <v>1</v>
      </c>
      <c r="D28" s="51">
        <v>1082.1099999999999</v>
      </c>
      <c r="E28" s="29"/>
    </row>
    <row r="29" spans="1:5">
      <c r="A29" s="7">
        <f t="shared" si="0"/>
        <v>25</v>
      </c>
      <c r="B29" s="37" t="s">
        <v>148</v>
      </c>
      <c r="C29" s="58">
        <v>1</v>
      </c>
      <c r="D29" s="51">
        <v>879.81</v>
      </c>
      <c r="E29" s="29"/>
    </row>
    <row r="30" spans="1:5">
      <c r="A30" s="7">
        <f t="shared" si="0"/>
        <v>26</v>
      </c>
      <c r="B30" s="29" t="s">
        <v>270</v>
      </c>
      <c r="C30" s="7">
        <v>1</v>
      </c>
      <c r="D30" s="52">
        <v>856.04</v>
      </c>
      <c r="E30" s="29"/>
    </row>
    <row r="31" spans="1:5">
      <c r="A31" s="7">
        <f t="shared" si="0"/>
        <v>27</v>
      </c>
      <c r="B31" s="29" t="s">
        <v>239</v>
      </c>
      <c r="C31" s="7"/>
      <c r="D31" s="52">
        <v>490.62</v>
      </c>
      <c r="E31" s="29"/>
    </row>
    <row r="32" spans="1:5">
      <c r="A32" s="7">
        <f t="shared" si="0"/>
        <v>28</v>
      </c>
      <c r="B32" s="37" t="s">
        <v>133</v>
      </c>
      <c r="C32" s="58"/>
      <c r="D32" s="52">
        <v>881.81</v>
      </c>
      <c r="E32" s="29"/>
    </row>
    <row r="33" spans="1:5">
      <c r="A33" s="7">
        <f t="shared" si="0"/>
        <v>29</v>
      </c>
      <c r="B33" s="37" t="s">
        <v>290</v>
      </c>
      <c r="C33" s="58"/>
      <c r="D33" s="52">
        <v>517.85</v>
      </c>
      <c r="E33" s="29"/>
    </row>
    <row r="34" spans="1:5">
      <c r="A34" s="7">
        <f t="shared" si="0"/>
        <v>30</v>
      </c>
      <c r="B34" s="37" t="s">
        <v>271</v>
      </c>
      <c r="C34" s="58">
        <v>1</v>
      </c>
      <c r="D34" s="52">
        <v>890.18</v>
      </c>
      <c r="E34" s="29"/>
    </row>
    <row r="35" spans="1:5">
      <c r="A35" s="7">
        <f t="shared" si="0"/>
        <v>31</v>
      </c>
      <c r="B35" s="37" t="s">
        <v>294</v>
      </c>
      <c r="C35" s="58"/>
      <c r="D35" s="52">
        <v>432.26</v>
      </c>
      <c r="E35" s="29"/>
    </row>
    <row r="36" spans="1:5">
      <c r="A36" s="7">
        <f t="shared" si="0"/>
        <v>32</v>
      </c>
      <c r="B36" s="37" t="s">
        <v>287</v>
      </c>
      <c r="C36" s="58"/>
      <c r="D36" s="52">
        <v>1214.6500000000001</v>
      </c>
      <c r="E36" s="29"/>
    </row>
    <row r="37" spans="1:5">
      <c r="A37" s="7">
        <f t="shared" si="0"/>
        <v>33</v>
      </c>
      <c r="B37" s="29" t="s">
        <v>219</v>
      </c>
      <c r="C37" s="7"/>
      <c r="D37" s="51">
        <v>432.26</v>
      </c>
      <c r="E37" s="29"/>
    </row>
    <row r="38" spans="1:5">
      <c r="A38" s="7">
        <f t="shared" si="0"/>
        <v>34</v>
      </c>
      <c r="B38" s="37" t="s">
        <v>233</v>
      </c>
      <c r="C38" s="58"/>
      <c r="D38" s="51">
        <v>1296.78</v>
      </c>
      <c r="E38" s="29"/>
    </row>
    <row r="39" spans="1:5">
      <c r="A39" s="7">
        <f t="shared" si="0"/>
        <v>35</v>
      </c>
      <c r="B39" s="37" t="s">
        <v>301</v>
      </c>
      <c r="C39" s="58"/>
      <c r="D39" s="51">
        <v>881.81</v>
      </c>
      <c r="E39" s="29"/>
    </row>
    <row r="40" spans="1:5">
      <c r="A40" s="7">
        <f t="shared" si="0"/>
        <v>36</v>
      </c>
      <c r="B40" s="37" t="s">
        <v>214</v>
      </c>
      <c r="C40" s="58">
        <v>1</v>
      </c>
      <c r="D40" s="52">
        <v>1438.72</v>
      </c>
      <c r="E40" s="29"/>
    </row>
    <row r="41" spans="1:5">
      <c r="A41" s="7">
        <f t="shared" si="0"/>
        <v>37</v>
      </c>
      <c r="B41" s="37" t="s">
        <v>284</v>
      </c>
      <c r="C41" s="58">
        <v>2</v>
      </c>
      <c r="D41" s="52">
        <v>1776.16</v>
      </c>
      <c r="E41" s="29"/>
    </row>
    <row r="42" spans="1:5">
      <c r="A42" s="7">
        <f t="shared" si="0"/>
        <v>38</v>
      </c>
      <c r="B42" s="29" t="s">
        <v>272</v>
      </c>
      <c r="C42" s="7"/>
      <c r="D42" s="52">
        <v>1173.1600000000001</v>
      </c>
      <c r="E42" s="29"/>
    </row>
    <row r="43" spans="1:5">
      <c r="A43" s="7">
        <f t="shared" si="0"/>
        <v>39</v>
      </c>
      <c r="B43" s="29" t="s">
        <v>207</v>
      </c>
      <c r="C43" s="7"/>
      <c r="D43" s="52">
        <v>442.64</v>
      </c>
      <c r="E43" s="29"/>
    </row>
    <row r="44" spans="1:5">
      <c r="A44" s="7">
        <f t="shared" si="0"/>
        <v>40</v>
      </c>
      <c r="B44" s="37" t="s">
        <v>90</v>
      </c>
      <c r="C44" s="58"/>
      <c r="D44" s="51">
        <v>922.88</v>
      </c>
      <c r="E44" s="29"/>
    </row>
    <row r="45" spans="1:5">
      <c r="A45" s="7">
        <f t="shared" si="0"/>
        <v>41</v>
      </c>
      <c r="B45" s="37" t="s">
        <v>134</v>
      </c>
      <c r="C45" s="58"/>
      <c r="D45" s="52">
        <v>500.99</v>
      </c>
      <c r="E45" s="29"/>
    </row>
    <row r="46" spans="1:5">
      <c r="A46" s="7">
        <f t="shared" si="0"/>
        <v>42</v>
      </c>
      <c r="B46" s="37" t="s">
        <v>273</v>
      </c>
      <c r="C46" s="58"/>
      <c r="D46" s="52">
        <v>675.62</v>
      </c>
      <c r="E46" s="29"/>
    </row>
    <row r="47" spans="1:5">
      <c r="A47" s="7">
        <f t="shared" si="0"/>
        <v>43</v>
      </c>
      <c r="B47" s="29" t="s">
        <v>41</v>
      </c>
      <c r="C47" s="58"/>
      <c r="D47" s="51">
        <v>1296.78</v>
      </c>
      <c r="E47" s="29"/>
    </row>
    <row r="48" spans="1:5">
      <c r="A48" s="7">
        <f t="shared" si="0"/>
        <v>44</v>
      </c>
      <c r="B48" s="29" t="s">
        <v>288</v>
      </c>
      <c r="C48" s="58"/>
      <c r="D48" s="51">
        <v>843.77</v>
      </c>
      <c r="E48" s="29"/>
    </row>
    <row r="49" spans="1:5">
      <c r="A49" s="7">
        <f t="shared" si="0"/>
        <v>45</v>
      </c>
      <c r="B49" s="29" t="s">
        <v>238</v>
      </c>
      <c r="C49" s="58"/>
      <c r="D49" s="51">
        <v>1276.04</v>
      </c>
      <c r="E49" s="29"/>
    </row>
    <row r="50" spans="1:5">
      <c r="A50" s="7">
        <f t="shared" si="0"/>
        <v>46</v>
      </c>
      <c r="B50" s="37" t="s">
        <v>150</v>
      </c>
      <c r="C50" s="58"/>
      <c r="D50" s="51">
        <v>586.58000000000004</v>
      </c>
      <c r="E50" s="29"/>
    </row>
    <row r="51" spans="1:5">
      <c r="A51" s="7">
        <f t="shared" si="0"/>
        <v>47</v>
      </c>
      <c r="B51" s="29" t="s">
        <v>33</v>
      </c>
      <c r="C51" s="58">
        <v>1</v>
      </c>
      <c r="D51" s="51">
        <v>1010.63</v>
      </c>
      <c r="E51" s="29"/>
    </row>
    <row r="52" spans="1:5">
      <c r="A52" s="7">
        <f t="shared" si="0"/>
        <v>48</v>
      </c>
      <c r="B52" s="37" t="s">
        <v>34</v>
      </c>
      <c r="C52" s="58">
        <v>1</v>
      </c>
      <c r="D52" s="53">
        <v>1238.43</v>
      </c>
      <c r="E52" s="29"/>
    </row>
    <row r="53" spans="1:5">
      <c r="A53" s="7">
        <f t="shared" si="0"/>
        <v>49</v>
      </c>
      <c r="B53" s="29" t="s">
        <v>91</v>
      </c>
      <c r="C53" s="7"/>
      <c r="D53" s="53">
        <v>517.85</v>
      </c>
      <c r="E53" s="29"/>
    </row>
    <row r="54" spans="1:5">
      <c r="C54" s="105" t="s">
        <v>313</v>
      </c>
      <c r="D54" s="116">
        <f>SUM(D5:D53)</f>
        <v>45988.38</v>
      </c>
    </row>
    <row r="55" spans="1:5">
      <c r="A55" s="101" t="s">
        <v>289</v>
      </c>
      <c r="B55" s="29" t="s">
        <v>254</v>
      </c>
      <c r="C55" s="7"/>
      <c r="D55" s="51">
        <v>453.01</v>
      </c>
      <c r="E55" s="29"/>
    </row>
    <row r="56" spans="1:5">
      <c r="A56" s="106" t="s">
        <v>289</v>
      </c>
      <c r="B56" s="107" t="s">
        <v>268</v>
      </c>
      <c r="C56" s="108"/>
      <c r="D56" s="109">
        <v>500.99</v>
      </c>
      <c r="E56" s="110"/>
    </row>
    <row r="57" spans="1:5">
      <c r="A57" s="113"/>
      <c r="B57" s="102"/>
      <c r="C57" s="115" t="s">
        <v>314</v>
      </c>
      <c r="D57" s="117">
        <f>SUM(D55:D56)</f>
        <v>954</v>
      </c>
      <c r="E57" s="114"/>
    </row>
    <row r="58" spans="1:5">
      <c r="A58" s="458" t="s">
        <v>315</v>
      </c>
      <c r="B58" s="459"/>
      <c r="C58" s="460"/>
      <c r="D58" s="111">
        <f>D54+D57</f>
        <v>46942.38</v>
      </c>
      <c r="E58" s="112"/>
    </row>
    <row r="59" spans="1:5">
      <c r="A59" s="431" t="s">
        <v>258</v>
      </c>
      <c r="B59" s="432"/>
      <c r="C59" s="7">
        <f>COUNTA(B5:B57)</f>
        <v>51</v>
      </c>
      <c r="D59" s="52"/>
      <c r="E59" s="29"/>
    </row>
    <row r="60" spans="1:5">
      <c r="A60" s="431" t="s">
        <v>242</v>
      </c>
      <c r="B60" s="432"/>
      <c r="C60" s="58">
        <f>SUM(C5:C57)</f>
        <v>18</v>
      </c>
      <c r="D60" s="52"/>
      <c r="E60" s="29"/>
    </row>
    <row r="61" spans="1:5">
      <c r="A61" s="433" t="s">
        <v>246</v>
      </c>
      <c r="B61" s="434"/>
      <c r="C61" s="86">
        <f>C59+C60</f>
        <v>69</v>
      </c>
      <c r="D61" s="52"/>
      <c r="E61" s="29"/>
    </row>
    <row r="62" spans="1:5">
      <c r="A62" s="425" t="s">
        <v>257</v>
      </c>
      <c r="B62" s="426"/>
      <c r="C62" s="427"/>
      <c r="D62" s="77"/>
      <c r="E62" s="75"/>
    </row>
    <row r="63" spans="1:5">
      <c r="A63" s="86"/>
      <c r="B63" s="98" t="s">
        <v>156</v>
      </c>
      <c r="C63" s="58"/>
      <c r="D63" s="52">
        <v>-469.87</v>
      </c>
      <c r="E63" s="29" t="s">
        <v>319</v>
      </c>
    </row>
    <row r="64" spans="1:5">
      <c r="A64" s="91"/>
      <c r="B64" s="37" t="s">
        <v>316</v>
      </c>
      <c r="C64" s="104"/>
      <c r="D64" s="52">
        <v>843.77</v>
      </c>
      <c r="E64" s="29" t="s">
        <v>293</v>
      </c>
    </row>
    <row r="65" spans="1:5">
      <c r="A65" s="428" t="s">
        <v>265</v>
      </c>
      <c r="B65" s="429"/>
      <c r="C65" s="430"/>
      <c r="D65" s="83">
        <f>SUM(D63:D64)</f>
        <v>373.9</v>
      </c>
      <c r="E65" s="75"/>
    </row>
    <row r="66" spans="1:5">
      <c r="A66" s="422" t="s">
        <v>37</v>
      </c>
      <c r="B66" s="423"/>
      <c r="C66" s="424"/>
      <c r="D66" s="80">
        <f>SUM(D58+D65)</f>
        <v>47316.28</v>
      </c>
      <c r="E66" s="84"/>
    </row>
    <row r="67" spans="1:5" ht="18">
      <c r="D67" s="72" t="s">
        <v>250</v>
      </c>
      <c r="E67" s="118">
        <v>43832</v>
      </c>
    </row>
    <row r="68" spans="1:5" ht="18">
      <c r="D68" s="73" t="s">
        <v>251</v>
      </c>
      <c r="E68" s="119" t="s">
        <v>252</v>
      </c>
    </row>
    <row r="71" spans="1:5">
      <c r="A71" s="7">
        <f>A20+1</f>
        <v>17</v>
      </c>
      <c r="B71" s="29" t="s">
        <v>156</v>
      </c>
      <c r="C71" s="7"/>
      <c r="D71" s="51">
        <v>469.87</v>
      </c>
      <c r="E71" t="s">
        <v>318</v>
      </c>
    </row>
  </sheetData>
  <mergeCells count="7">
    <mergeCell ref="A66:C66"/>
    <mergeCell ref="A58:C58"/>
    <mergeCell ref="A59:B59"/>
    <mergeCell ref="A60:B60"/>
    <mergeCell ref="A61:B61"/>
    <mergeCell ref="A62:C62"/>
    <mergeCell ref="A65:C65"/>
  </mergeCells>
  <conditionalFormatting sqref="B1:B13 B15:B1048576">
    <cfRule type="duplicateValues" dxfId="156" priority="9"/>
  </conditionalFormatting>
  <conditionalFormatting sqref="B14">
    <cfRule type="duplicateValues" dxfId="155" priority="2"/>
    <cfRule type="duplicateValues" dxfId="154" priority="5"/>
    <cfRule type="duplicateValues" dxfId="153" priority="6"/>
  </conditionalFormatting>
  <conditionalFormatting sqref="B27">
    <cfRule type="duplicateValues" dxfId="152" priority="15"/>
    <cfRule type="duplicateValues" dxfId="151" priority="16"/>
    <cfRule type="duplicateValues" dxfId="150" priority="17"/>
  </conditionalFormatting>
  <conditionalFormatting sqref="B63">
    <cfRule type="duplicateValues" dxfId="149" priority="12"/>
    <cfRule type="duplicateValues" dxfId="148" priority="13"/>
  </conditionalFormatting>
  <conditionalFormatting sqref="B64">
    <cfRule type="duplicateValues" dxfId="147" priority="72"/>
  </conditionalFormatting>
  <conditionalFormatting sqref="B71 B55:B57 B5:B13 B15:B53">
    <cfRule type="duplicateValues" dxfId="146" priority="81"/>
  </conditionalFormatting>
  <conditionalFormatting sqref="B71 B55:B62 B1:B13 B64:B68 B15:B53">
    <cfRule type="duplicateValues" dxfId="145" priority="76"/>
  </conditionalFormatting>
  <conditionalFormatting sqref="B72:B1048576 B69:B70">
    <cfRule type="duplicateValues" dxfId="144" priority="28"/>
  </conditionalFormatting>
  <conditionalFormatting sqref="B17:C17">
    <cfRule type="duplicateValues" dxfId="143" priority="25"/>
    <cfRule type="duplicateValues" dxfId="142" priority="26"/>
    <cfRule type="duplicateValues" dxfId="141" priority="27"/>
  </conditionalFormatting>
  <conditionalFormatting sqref="B21:C21">
    <cfRule type="duplicateValues" dxfId="140" priority="22"/>
    <cfRule type="duplicateValues" dxfId="139" priority="23"/>
    <cfRule type="duplicateValues" dxfId="138" priority="24"/>
  </conditionalFormatting>
  <conditionalFormatting sqref="B22:C22">
    <cfRule type="duplicateValues" dxfId="137" priority="19"/>
    <cfRule type="duplicateValues" dxfId="136" priority="20"/>
    <cfRule type="duplicateValues" dxfId="135" priority="21"/>
  </conditionalFormatting>
  <conditionalFormatting sqref="C5:C53">
    <cfRule type="notContainsBlanks" dxfId="134" priority="4">
      <formula>LEN(TRIM(C5))&gt;0</formula>
    </cfRule>
  </conditionalFormatting>
  <conditionalFormatting sqref="C55:C56 C71">
    <cfRule type="notContainsBlanks" dxfId="133" priority="18">
      <formula>LEN(TRIM(C55))&gt;0</formula>
    </cfRule>
  </conditionalFormatting>
  <conditionalFormatting sqref="C63">
    <cfRule type="notContainsBlanks" dxfId="132" priority="11">
      <formula>LEN(TRIM(C63))&gt;0</formula>
    </cfRule>
  </conditionalFormatting>
  <conditionalFormatting sqref="E5:E53">
    <cfRule type="notContainsBlanks" dxfId="131" priority="3">
      <formula>LEN(TRIM(E5))&gt;0</formula>
    </cfRule>
  </conditionalFormatting>
  <conditionalFormatting sqref="E55:E66">
    <cfRule type="notContainsBlanks" dxfId="130" priority="10">
      <formula>LEN(TRIM(E55))&gt;0</formula>
    </cfRule>
  </conditionalFormatting>
  <conditionalFormatting sqref="E71">
    <cfRule type="notContainsBlanks" dxfId="129" priority="14">
      <formula>LEN(TRIM(E71))&gt;0</formula>
    </cfRule>
  </conditionalFormatting>
  <pageMargins left="1" right="1" top="1" bottom="1" header="0.5" footer="0.5"/>
  <pageSetup scale="72" fitToWidth="0" orientation="portrait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8F7F-CE50-0C41-87EE-8517F380AB8E}">
  <sheetPr>
    <tabColor theme="8"/>
    <pageSetUpPr fitToPage="1"/>
  </sheetPr>
  <dimension ref="A1:G83"/>
  <sheetViews>
    <sheetView topLeftCell="A57" zoomScale="170" zoomScaleNormal="170" zoomScalePageLayoutView="140" workbookViewId="0">
      <selection activeCell="D69" sqref="D69"/>
    </sheetView>
  </sheetViews>
  <sheetFormatPr baseColWidth="10" defaultColWidth="8.83203125" defaultRowHeight="13"/>
  <cols>
    <col min="1" max="1" width="4.83203125" customWidth="1"/>
    <col min="2" max="2" width="5.6640625" customWidth="1"/>
    <col min="3" max="3" width="23.5" customWidth="1"/>
    <col min="4" max="4" width="10.5" style="3" bestFit="1" customWidth="1"/>
    <col min="5" max="5" width="13.1640625" customWidth="1"/>
    <col min="6" max="6" width="19.1640625" customWidth="1"/>
    <col min="7" max="7" width="13.6640625" customWidth="1"/>
    <col min="8" max="8" width="18.1640625" bestFit="1" customWidth="1"/>
  </cols>
  <sheetData>
    <row r="1" spans="1:6">
      <c r="B1" s="1" t="s">
        <v>0</v>
      </c>
      <c r="D1" s="88"/>
      <c r="E1" s="3"/>
      <c r="F1" s="68" t="s">
        <v>223</v>
      </c>
    </row>
    <row r="2" spans="1:6" ht="13.5" customHeight="1">
      <c r="B2" s="1" t="s">
        <v>249</v>
      </c>
      <c r="F2" s="96">
        <v>43862</v>
      </c>
    </row>
    <row r="3" spans="1:6" ht="8" customHeight="1"/>
    <row r="4" spans="1:6">
      <c r="B4" s="50" t="s">
        <v>226</v>
      </c>
      <c r="C4" s="50" t="s">
        <v>225</v>
      </c>
      <c r="D4" s="50" t="s">
        <v>241</v>
      </c>
      <c r="E4" s="50" t="s">
        <v>224</v>
      </c>
      <c r="F4" s="50" t="s">
        <v>227</v>
      </c>
    </row>
    <row r="5" spans="1:6">
      <c r="A5" t="s">
        <v>296</v>
      </c>
      <c r="B5" s="7">
        <v>1</v>
      </c>
      <c r="C5" s="37" t="s">
        <v>201</v>
      </c>
      <c r="D5" s="58"/>
      <c r="E5" s="54">
        <v>572.75</v>
      </c>
      <c r="F5" s="29"/>
    </row>
    <row r="6" spans="1:6">
      <c r="A6" t="s">
        <v>296</v>
      </c>
      <c r="B6" s="7">
        <f>B5+1</f>
        <v>2</v>
      </c>
      <c r="C6" s="29" t="s">
        <v>72</v>
      </c>
      <c r="D6" s="7"/>
      <c r="E6" s="51">
        <v>1173.1600000000001</v>
      </c>
      <c r="F6" s="29"/>
    </row>
    <row r="7" spans="1:6">
      <c r="A7" t="s">
        <v>296</v>
      </c>
      <c r="B7" s="7">
        <f>B6+1</f>
        <v>3</v>
      </c>
      <c r="C7" s="29" t="s">
        <v>62</v>
      </c>
      <c r="D7" s="7"/>
      <c r="E7" s="51">
        <v>1008.47</v>
      </c>
      <c r="F7" s="29"/>
    </row>
    <row r="8" spans="1:6">
      <c r="A8" t="s">
        <v>296</v>
      </c>
      <c r="B8" s="7">
        <f t="shared" ref="B8:B53" si="0">B7+1</f>
        <v>4</v>
      </c>
      <c r="C8" s="37" t="s">
        <v>202</v>
      </c>
      <c r="D8" s="58"/>
      <c r="E8" s="51">
        <v>528.22</v>
      </c>
      <c r="F8" s="29"/>
    </row>
    <row r="9" spans="1:6">
      <c r="A9" t="s">
        <v>296</v>
      </c>
      <c r="B9" s="7">
        <f t="shared" si="0"/>
        <v>5</v>
      </c>
      <c r="C9" s="29" t="s">
        <v>12</v>
      </c>
      <c r="D9" s="7">
        <v>1</v>
      </c>
      <c r="E9" s="51">
        <v>1485.68</v>
      </c>
      <c r="F9" s="29"/>
    </row>
    <row r="10" spans="1:6">
      <c r="A10" t="s">
        <v>296</v>
      </c>
      <c r="B10" s="7">
        <f t="shared" si="0"/>
        <v>6</v>
      </c>
      <c r="C10" s="37" t="s">
        <v>48</v>
      </c>
      <c r="D10" s="58">
        <v>1</v>
      </c>
      <c r="E10" s="51">
        <v>845.66</v>
      </c>
      <c r="F10" s="29"/>
    </row>
    <row r="11" spans="1:6">
      <c r="A11" t="s">
        <v>296</v>
      </c>
      <c r="B11" s="7">
        <f t="shared" si="0"/>
        <v>7</v>
      </c>
      <c r="C11" s="37" t="s">
        <v>269</v>
      </c>
      <c r="D11" s="58"/>
      <c r="E11" s="51">
        <v>648.39</v>
      </c>
      <c r="F11" s="29"/>
    </row>
    <row r="12" spans="1:6">
      <c r="A12" t="s">
        <v>296</v>
      </c>
      <c r="B12" s="7">
        <f t="shared" si="0"/>
        <v>8</v>
      </c>
      <c r="C12" s="37" t="s">
        <v>205</v>
      </c>
      <c r="D12" s="58"/>
      <c r="E12" s="51">
        <v>469.87</v>
      </c>
      <c r="F12" s="29"/>
    </row>
    <row r="13" spans="1:6">
      <c r="A13" t="s">
        <v>296</v>
      </c>
      <c r="B13" s="7">
        <f t="shared" si="0"/>
        <v>9</v>
      </c>
      <c r="C13" s="37" t="s">
        <v>236</v>
      </c>
      <c r="D13" s="58">
        <v>3</v>
      </c>
      <c r="E13" s="52">
        <v>1959.43</v>
      </c>
      <c r="F13" s="29"/>
    </row>
    <row r="14" spans="1:6">
      <c r="B14" s="7">
        <f t="shared" si="0"/>
        <v>10</v>
      </c>
      <c r="C14" s="37" t="s">
        <v>297</v>
      </c>
      <c r="D14" s="58"/>
      <c r="E14" s="52">
        <v>433.99</v>
      </c>
      <c r="F14" s="29" t="s">
        <v>303</v>
      </c>
    </row>
    <row r="15" spans="1:6">
      <c r="A15" t="s">
        <v>296</v>
      </c>
      <c r="B15" s="7">
        <f t="shared" si="0"/>
        <v>11</v>
      </c>
      <c r="C15" s="37" t="s">
        <v>291</v>
      </c>
      <c r="D15" s="58">
        <v>1</v>
      </c>
      <c r="E15" s="52">
        <v>1288.57</v>
      </c>
      <c r="F15" s="29"/>
    </row>
    <row r="16" spans="1:6">
      <c r="A16" t="s">
        <v>296</v>
      </c>
      <c r="B16" s="7">
        <f t="shared" si="0"/>
        <v>12</v>
      </c>
      <c r="C16" s="61" t="s">
        <v>230</v>
      </c>
      <c r="D16" s="62"/>
      <c r="E16" s="51">
        <v>1296.78</v>
      </c>
      <c r="F16" s="29"/>
    </row>
    <row r="17" spans="1:6">
      <c r="A17" t="s">
        <v>296</v>
      </c>
      <c r="B17" s="7">
        <f t="shared" si="0"/>
        <v>13</v>
      </c>
      <c r="C17" s="29" t="s">
        <v>234</v>
      </c>
      <c r="D17" s="7"/>
      <c r="E17" s="51">
        <v>1214.6500000000001</v>
      </c>
      <c r="F17" s="29"/>
    </row>
    <row r="18" spans="1:6">
      <c r="A18" t="s">
        <v>296</v>
      </c>
      <c r="B18" s="7">
        <f t="shared" si="0"/>
        <v>14</v>
      </c>
      <c r="C18" s="29" t="s">
        <v>237</v>
      </c>
      <c r="D18" s="7">
        <v>1</v>
      </c>
      <c r="E18" s="51">
        <v>835.29</v>
      </c>
      <c r="F18" s="29"/>
    </row>
    <row r="19" spans="1:6">
      <c r="B19" s="7">
        <f t="shared" si="0"/>
        <v>15</v>
      </c>
      <c r="C19" s="29" t="s">
        <v>298</v>
      </c>
      <c r="D19" s="7"/>
      <c r="E19" s="51">
        <v>500.99</v>
      </c>
      <c r="F19" s="29" t="s">
        <v>303</v>
      </c>
    </row>
    <row r="20" spans="1:6">
      <c r="A20" t="s">
        <v>296</v>
      </c>
      <c r="B20" s="7">
        <f t="shared" si="0"/>
        <v>16</v>
      </c>
      <c r="C20" s="29" t="s">
        <v>156</v>
      </c>
      <c r="D20" s="7"/>
      <c r="E20" s="51">
        <v>469.87</v>
      </c>
      <c r="F20" s="29"/>
    </row>
    <row r="21" spans="1:6">
      <c r="A21" t="s">
        <v>296</v>
      </c>
      <c r="B21" s="7">
        <f t="shared" si="0"/>
        <v>17</v>
      </c>
      <c r="C21" s="61" t="s">
        <v>228</v>
      </c>
      <c r="D21" s="62"/>
      <c r="E21" s="51">
        <v>922.88</v>
      </c>
      <c r="F21" s="29"/>
    </row>
    <row r="22" spans="1:6">
      <c r="A22" t="s">
        <v>296</v>
      </c>
      <c r="B22" s="7">
        <f t="shared" si="0"/>
        <v>18</v>
      </c>
      <c r="C22" s="61" t="s">
        <v>229</v>
      </c>
      <c r="D22" s="62"/>
      <c r="E22" s="51">
        <v>1276.04</v>
      </c>
      <c r="F22" s="29"/>
    </row>
    <row r="23" spans="1:6">
      <c r="A23" t="s">
        <v>296</v>
      </c>
      <c r="B23" s="7">
        <f t="shared" si="0"/>
        <v>19</v>
      </c>
      <c r="C23" s="29" t="s">
        <v>235</v>
      </c>
      <c r="D23" s="7"/>
      <c r="E23" s="51">
        <v>772.02</v>
      </c>
      <c r="F23" s="29"/>
    </row>
    <row r="24" spans="1:6">
      <c r="A24" t="s">
        <v>296</v>
      </c>
      <c r="B24" s="7">
        <f t="shared" si="0"/>
        <v>20</v>
      </c>
      <c r="C24" s="37" t="s">
        <v>63</v>
      </c>
      <c r="D24" s="58">
        <v>2</v>
      </c>
      <c r="E24" s="52">
        <v>1367.12</v>
      </c>
      <c r="F24" s="29"/>
    </row>
    <row r="25" spans="1:6">
      <c r="A25" t="s">
        <v>296</v>
      </c>
      <c r="B25" s="7">
        <f t="shared" si="0"/>
        <v>21</v>
      </c>
      <c r="C25" s="37" t="s">
        <v>168</v>
      </c>
      <c r="D25" s="58"/>
      <c r="E25" s="51">
        <v>1214.6500000000001</v>
      </c>
      <c r="F25" s="29"/>
    </row>
    <row r="26" spans="1:6">
      <c r="A26" t="s">
        <v>296</v>
      </c>
      <c r="B26" s="7">
        <f t="shared" si="0"/>
        <v>22</v>
      </c>
      <c r="C26" s="37" t="s">
        <v>88</v>
      </c>
      <c r="D26" s="58"/>
      <c r="E26" s="51">
        <v>1125.18</v>
      </c>
      <c r="F26" s="29"/>
    </row>
    <row r="27" spans="1:6">
      <c r="A27" t="s">
        <v>296</v>
      </c>
      <c r="B27" s="7">
        <f t="shared" si="0"/>
        <v>23</v>
      </c>
      <c r="C27" s="55" t="s">
        <v>232</v>
      </c>
      <c r="D27" s="7"/>
      <c r="E27" s="51">
        <v>648.39</v>
      </c>
      <c r="F27" s="29"/>
    </row>
    <row r="28" spans="1:6">
      <c r="A28" t="s">
        <v>296</v>
      </c>
      <c r="B28" s="7">
        <f t="shared" si="0"/>
        <v>24</v>
      </c>
      <c r="C28" s="37" t="s">
        <v>231</v>
      </c>
      <c r="D28" s="58">
        <v>1</v>
      </c>
      <c r="E28" s="51">
        <v>1082.1099999999999</v>
      </c>
      <c r="F28" s="29"/>
    </row>
    <row r="29" spans="1:6">
      <c r="B29" s="7">
        <f t="shared" si="0"/>
        <v>25</v>
      </c>
      <c r="C29" s="37" t="s">
        <v>148</v>
      </c>
      <c r="D29" s="58">
        <v>1</v>
      </c>
      <c r="E29" s="51">
        <v>879.81</v>
      </c>
      <c r="F29" s="29" t="s">
        <v>299</v>
      </c>
    </row>
    <row r="30" spans="1:6">
      <c r="A30" t="s">
        <v>296</v>
      </c>
      <c r="B30" s="7">
        <f t="shared" si="0"/>
        <v>26</v>
      </c>
      <c r="C30" s="29" t="s">
        <v>270</v>
      </c>
      <c r="D30" s="7">
        <v>1</v>
      </c>
      <c r="E30" s="52">
        <v>856.04</v>
      </c>
      <c r="F30" s="29"/>
    </row>
    <row r="31" spans="1:6">
      <c r="A31" t="s">
        <v>296</v>
      </c>
      <c r="B31" s="7">
        <f t="shared" si="0"/>
        <v>27</v>
      </c>
      <c r="C31" s="29" t="s">
        <v>239</v>
      </c>
      <c r="D31" s="7"/>
      <c r="E31" s="52">
        <v>490.62</v>
      </c>
      <c r="F31" s="29"/>
    </row>
    <row r="32" spans="1:6">
      <c r="A32" t="s">
        <v>296</v>
      </c>
      <c r="B32" s="7">
        <f t="shared" si="0"/>
        <v>28</v>
      </c>
      <c r="C32" s="37" t="s">
        <v>133</v>
      </c>
      <c r="D32" s="58"/>
      <c r="E32" s="52">
        <v>881.81</v>
      </c>
      <c r="F32" s="29" t="s">
        <v>312</v>
      </c>
    </row>
    <row r="33" spans="1:6">
      <c r="A33" t="s">
        <v>296</v>
      </c>
      <c r="B33" s="7">
        <f t="shared" si="0"/>
        <v>29</v>
      </c>
      <c r="C33" s="37" t="s">
        <v>290</v>
      </c>
      <c r="D33" s="58"/>
      <c r="E33" s="52">
        <v>517.85</v>
      </c>
      <c r="F33" s="29"/>
    </row>
    <row r="34" spans="1:6">
      <c r="A34" t="s">
        <v>296</v>
      </c>
      <c r="B34" s="7">
        <f t="shared" si="0"/>
        <v>30</v>
      </c>
      <c r="C34" s="37" t="s">
        <v>271</v>
      </c>
      <c r="D34" s="58">
        <v>1</v>
      </c>
      <c r="E34" s="52">
        <v>890.18</v>
      </c>
      <c r="F34" s="29"/>
    </row>
    <row r="35" spans="1:6">
      <c r="A35" t="s">
        <v>296</v>
      </c>
      <c r="B35" s="7">
        <f t="shared" si="0"/>
        <v>31</v>
      </c>
      <c r="C35" s="37" t="s">
        <v>294</v>
      </c>
      <c r="D35" s="58"/>
      <c r="E35" s="52">
        <v>432.26</v>
      </c>
      <c r="F35" s="29"/>
    </row>
    <row r="36" spans="1:6">
      <c r="A36" t="s">
        <v>296</v>
      </c>
      <c r="B36" s="7">
        <f t="shared" si="0"/>
        <v>32</v>
      </c>
      <c r="C36" s="37" t="s">
        <v>287</v>
      </c>
      <c r="D36" s="58"/>
      <c r="E36" s="52">
        <v>1214.6500000000001</v>
      </c>
      <c r="F36" s="29"/>
    </row>
    <row r="37" spans="1:6">
      <c r="A37" t="s">
        <v>296</v>
      </c>
      <c r="B37" s="7">
        <f t="shared" si="0"/>
        <v>33</v>
      </c>
      <c r="C37" s="29" t="s">
        <v>219</v>
      </c>
      <c r="D37" s="7"/>
      <c r="E37" s="51">
        <v>432.26</v>
      </c>
      <c r="F37" s="29"/>
    </row>
    <row r="38" spans="1:6">
      <c r="A38" t="s">
        <v>296</v>
      </c>
      <c r="B38" s="7">
        <f t="shared" si="0"/>
        <v>34</v>
      </c>
      <c r="C38" s="37" t="s">
        <v>233</v>
      </c>
      <c r="D38" s="58"/>
      <c r="E38" s="51">
        <v>1296.78</v>
      </c>
      <c r="F38" s="29"/>
    </row>
    <row r="39" spans="1:6">
      <c r="B39" s="7">
        <f t="shared" si="0"/>
        <v>35</v>
      </c>
      <c r="C39" s="37" t="s">
        <v>301</v>
      </c>
      <c r="D39" s="58"/>
      <c r="E39" s="51">
        <v>881.81</v>
      </c>
      <c r="F39" s="29" t="s">
        <v>302</v>
      </c>
    </row>
    <row r="40" spans="1:6">
      <c r="A40" t="s">
        <v>296</v>
      </c>
      <c r="B40" s="7">
        <f t="shared" si="0"/>
        <v>36</v>
      </c>
      <c r="C40" s="37" t="s">
        <v>214</v>
      </c>
      <c r="D40" s="58">
        <v>1</v>
      </c>
      <c r="E40" s="52">
        <v>1438.72</v>
      </c>
      <c r="F40" s="29"/>
    </row>
    <row r="41" spans="1:6">
      <c r="A41" t="s">
        <v>296</v>
      </c>
      <c r="B41" s="7">
        <f t="shared" si="0"/>
        <v>37</v>
      </c>
      <c r="C41" s="37" t="s">
        <v>284</v>
      </c>
      <c r="D41" s="58">
        <v>2</v>
      </c>
      <c r="E41" s="52">
        <v>1776.16</v>
      </c>
      <c r="F41" s="29"/>
    </row>
    <row r="42" spans="1:6">
      <c r="A42" t="s">
        <v>296</v>
      </c>
      <c r="B42" s="7">
        <f t="shared" si="0"/>
        <v>38</v>
      </c>
      <c r="C42" s="29" t="s">
        <v>272</v>
      </c>
      <c r="D42" s="7"/>
      <c r="E42" s="52">
        <v>1173.1600000000001</v>
      </c>
      <c r="F42" s="29"/>
    </row>
    <row r="43" spans="1:6">
      <c r="A43" t="s">
        <v>296</v>
      </c>
      <c r="B43" s="7">
        <f t="shared" si="0"/>
        <v>39</v>
      </c>
      <c r="C43" s="29" t="s">
        <v>207</v>
      </c>
      <c r="D43" s="7"/>
      <c r="E43" s="52">
        <v>442.64</v>
      </c>
      <c r="F43" s="29"/>
    </row>
    <row r="44" spans="1:6">
      <c r="A44" t="s">
        <v>296</v>
      </c>
      <c r="B44" s="7">
        <f t="shared" si="0"/>
        <v>40</v>
      </c>
      <c r="C44" s="37" t="s">
        <v>90</v>
      </c>
      <c r="D44" s="58"/>
      <c r="E44" s="51">
        <v>922.88</v>
      </c>
      <c r="F44" s="29"/>
    </row>
    <row r="45" spans="1:6">
      <c r="A45" t="s">
        <v>296</v>
      </c>
      <c r="B45" s="7">
        <f t="shared" si="0"/>
        <v>41</v>
      </c>
      <c r="C45" s="37" t="s">
        <v>134</v>
      </c>
      <c r="D45" s="58"/>
      <c r="E45" s="52">
        <v>500.99</v>
      </c>
      <c r="F45" s="29"/>
    </row>
    <row r="46" spans="1:6">
      <c r="A46" t="s">
        <v>296</v>
      </c>
      <c r="B46" s="7">
        <f t="shared" si="0"/>
        <v>42</v>
      </c>
      <c r="C46" s="37" t="s">
        <v>273</v>
      </c>
      <c r="D46" s="58"/>
      <c r="E46" s="52">
        <v>675.62</v>
      </c>
      <c r="F46" s="29"/>
    </row>
    <row r="47" spans="1:6">
      <c r="A47" t="s">
        <v>296</v>
      </c>
      <c r="B47" s="7">
        <f t="shared" si="0"/>
        <v>43</v>
      </c>
      <c r="C47" s="29" t="s">
        <v>41</v>
      </c>
      <c r="D47" s="58"/>
      <c r="E47" s="51">
        <v>1296.78</v>
      </c>
      <c r="F47" s="29"/>
    </row>
    <row r="48" spans="1:6">
      <c r="A48" t="s">
        <v>296</v>
      </c>
      <c r="B48" s="7">
        <f t="shared" si="0"/>
        <v>44</v>
      </c>
      <c r="C48" s="29" t="s">
        <v>288</v>
      </c>
      <c r="D48" s="58"/>
      <c r="E48" s="51">
        <v>843.77</v>
      </c>
      <c r="F48" s="29"/>
    </row>
    <row r="49" spans="1:6">
      <c r="A49" t="s">
        <v>296</v>
      </c>
      <c r="B49" s="7">
        <f t="shared" si="0"/>
        <v>45</v>
      </c>
      <c r="C49" s="29" t="s">
        <v>238</v>
      </c>
      <c r="D49" s="58"/>
      <c r="E49" s="51">
        <v>1276.04</v>
      </c>
      <c r="F49" s="29"/>
    </row>
    <row r="50" spans="1:6">
      <c r="A50" t="s">
        <v>296</v>
      </c>
      <c r="B50" s="7">
        <f t="shared" si="0"/>
        <v>46</v>
      </c>
      <c r="C50" s="37" t="s">
        <v>150</v>
      </c>
      <c r="D50" s="58"/>
      <c r="E50" s="51">
        <v>586.58000000000004</v>
      </c>
      <c r="F50" s="29"/>
    </row>
    <row r="51" spans="1:6">
      <c r="A51" t="s">
        <v>296</v>
      </c>
      <c r="B51" s="7">
        <f t="shared" si="0"/>
        <v>47</v>
      </c>
      <c r="C51" s="29" t="s">
        <v>33</v>
      </c>
      <c r="D51" s="58">
        <v>1</v>
      </c>
      <c r="E51" s="51">
        <v>1010.63</v>
      </c>
      <c r="F51" s="29"/>
    </row>
    <row r="52" spans="1:6">
      <c r="A52" t="s">
        <v>296</v>
      </c>
      <c r="B52" s="7">
        <f t="shared" si="0"/>
        <v>48</v>
      </c>
      <c r="C52" s="37" t="s">
        <v>34</v>
      </c>
      <c r="D52" s="58">
        <v>1</v>
      </c>
      <c r="E52" s="53">
        <v>1238.43</v>
      </c>
      <c r="F52" s="29" t="s">
        <v>307</v>
      </c>
    </row>
    <row r="53" spans="1:6">
      <c r="A53" t="s">
        <v>296</v>
      </c>
      <c r="B53" s="7">
        <f t="shared" si="0"/>
        <v>49</v>
      </c>
      <c r="C53" s="29" t="s">
        <v>91</v>
      </c>
      <c r="D53" s="7"/>
      <c r="E53" s="53">
        <v>517.85</v>
      </c>
      <c r="F53" s="29"/>
    </row>
    <row r="54" spans="1:6">
      <c r="D54" s="105" t="s">
        <v>313</v>
      </c>
      <c r="E54" s="116">
        <f>SUM(E5:E53)</f>
        <v>45614.479999999996</v>
      </c>
    </row>
    <row r="55" spans="1:6">
      <c r="B55" s="101" t="s">
        <v>289</v>
      </c>
      <c r="C55" s="29" t="s">
        <v>254</v>
      </c>
      <c r="D55" s="7"/>
      <c r="E55" s="51">
        <v>453.01</v>
      </c>
      <c r="F55" s="29"/>
    </row>
    <row r="56" spans="1:6">
      <c r="B56" s="106" t="s">
        <v>289</v>
      </c>
      <c r="C56" s="107" t="s">
        <v>268</v>
      </c>
      <c r="D56" s="108"/>
      <c r="E56" s="109">
        <v>500.99</v>
      </c>
      <c r="F56" s="110"/>
    </row>
    <row r="57" spans="1:6">
      <c r="B57" s="113"/>
      <c r="C57" s="102"/>
      <c r="D57" s="115" t="s">
        <v>314</v>
      </c>
      <c r="E57" s="117">
        <f>SUM(E55:E56)</f>
        <v>954</v>
      </c>
      <c r="F57" s="114"/>
    </row>
    <row r="58" spans="1:6">
      <c r="B58" s="458" t="s">
        <v>315</v>
      </c>
      <c r="C58" s="459"/>
      <c r="D58" s="460"/>
      <c r="E58" s="111">
        <f>E54+E57</f>
        <v>46568.479999999996</v>
      </c>
      <c r="F58" s="112"/>
    </row>
    <row r="59" spans="1:6">
      <c r="B59" s="431" t="s">
        <v>258</v>
      </c>
      <c r="C59" s="432"/>
      <c r="D59" s="7">
        <f>COUNTA(C5:C57)</f>
        <v>51</v>
      </c>
      <c r="E59" s="52"/>
      <c r="F59" s="29"/>
    </row>
    <row r="60" spans="1:6">
      <c r="B60" s="431" t="s">
        <v>242</v>
      </c>
      <c r="C60" s="432"/>
      <c r="D60" s="58">
        <f>SUM(D5:D57)</f>
        <v>18</v>
      </c>
      <c r="E60" s="52"/>
      <c r="F60" s="29"/>
    </row>
    <row r="61" spans="1:6">
      <c r="B61" s="433" t="s">
        <v>246</v>
      </c>
      <c r="C61" s="434"/>
      <c r="D61" s="86">
        <f>D59+D60</f>
        <v>69</v>
      </c>
      <c r="E61" s="52"/>
      <c r="F61" s="29"/>
    </row>
    <row r="62" spans="1:6">
      <c r="B62" s="425" t="s">
        <v>257</v>
      </c>
      <c r="C62" s="426"/>
      <c r="D62" s="427"/>
      <c r="E62" s="77"/>
      <c r="F62" s="75"/>
    </row>
    <row r="63" spans="1:6">
      <c r="B63" s="86"/>
      <c r="C63" s="98" t="s">
        <v>297</v>
      </c>
      <c r="D63" s="58"/>
      <c r="E63" s="52">
        <v>433.99</v>
      </c>
      <c r="F63" s="29" t="s">
        <v>293</v>
      </c>
    </row>
    <row r="64" spans="1:6">
      <c r="B64" s="91"/>
      <c r="C64" s="37" t="s">
        <v>298</v>
      </c>
      <c r="D64" s="104"/>
      <c r="E64" s="52">
        <v>500.99</v>
      </c>
      <c r="F64" s="29" t="s">
        <v>293</v>
      </c>
    </row>
    <row r="65" spans="1:7">
      <c r="B65" s="91"/>
      <c r="C65" s="102" t="s">
        <v>148</v>
      </c>
      <c r="D65" s="104"/>
      <c r="E65" s="52">
        <v>1759.62</v>
      </c>
      <c r="F65" s="29" t="s">
        <v>293</v>
      </c>
    </row>
    <row r="66" spans="1:7">
      <c r="B66" s="91"/>
      <c r="C66" s="102" t="s">
        <v>133</v>
      </c>
      <c r="D66" s="104" t="s">
        <v>309</v>
      </c>
      <c r="E66" s="52">
        <v>-864.52</v>
      </c>
      <c r="F66" s="29" t="s">
        <v>311</v>
      </c>
    </row>
    <row r="67" spans="1:7">
      <c r="B67" s="91"/>
      <c r="C67" s="102" t="s">
        <v>301</v>
      </c>
      <c r="D67" s="104"/>
      <c r="E67" s="52">
        <v>1763.62</v>
      </c>
      <c r="F67" s="29" t="s">
        <v>293</v>
      </c>
    </row>
    <row r="68" spans="1:7">
      <c r="B68" s="91"/>
      <c r="C68" s="102" t="s">
        <v>157</v>
      </c>
      <c r="D68" s="104"/>
      <c r="E68" s="52">
        <v>-2152.69</v>
      </c>
      <c r="F68" s="29" t="s">
        <v>119</v>
      </c>
    </row>
    <row r="69" spans="1:7">
      <c r="B69" s="91"/>
      <c r="C69" s="103" t="s">
        <v>34</v>
      </c>
      <c r="D69" s="104" t="s">
        <v>308</v>
      </c>
      <c r="E69" s="52">
        <v>864.52</v>
      </c>
      <c r="F69" s="29" t="s">
        <v>310</v>
      </c>
    </row>
    <row r="70" spans="1:7">
      <c r="B70" s="428" t="s">
        <v>265</v>
      </c>
      <c r="C70" s="429"/>
      <c r="D70" s="430"/>
      <c r="E70" s="83">
        <f>SUM(E63:E69)</f>
        <v>2305.5299999999997</v>
      </c>
      <c r="F70" s="75"/>
    </row>
    <row r="71" spans="1:7">
      <c r="B71" s="422" t="s">
        <v>37</v>
      </c>
      <c r="C71" s="423"/>
      <c r="D71" s="424"/>
      <c r="E71" s="80">
        <f>SUM(E58+E70)</f>
        <v>48874.009999999995</v>
      </c>
      <c r="F71" s="84"/>
    </row>
    <row r="72" spans="1:7">
      <c r="E72" s="72" t="s">
        <v>250</v>
      </c>
      <c r="F72" s="95">
        <v>43832</v>
      </c>
    </row>
    <row r="73" spans="1:7">
      <c r="E73" s="73" t="s">
        <v>251</v>
      </c>
      <c r="F73" s="74" t="s">
        <v>252</v>
      </c>
    </row>
    <row r="76" spans="1:7">
      <c r="B76" s="7">
        <f>B53+1</f>
        <v>50</v>
      </c>
      <c r="C76" s="37" t="s">
        <v>215</v>
      </c>
      <c r="D76" s="58"/>
      <c r="E76" s="54">
        <v>562.55999999999995</v>
      </c>
      <c r="F76" s="29" t="s">
        <v>292</v>
      </c>
    </row>
    <row r="77" spans="1:7">
      <c r="B77" s="7">
        <f>B8+1</f>
        <v>5</v>
      </c>
      <c r="C77" s="37" t="s">
        <v>282</v>
      </c>
      <c r="D77" s="58"/>
      <c r="E77" s="51">
        <v>432.26</v>
      </c>
      <c r="F77" s="29"/>
      <c r="G77" t="s">
        <v>275</v>
      </c>
    </row>
    <row r="78" spans="1:7">
      <c r="A78" t="s">
        <v>296</v>
      </c>
      <c r="B78" s="7">
        <f>B49+1</f>
        <v>46</v>
      </c>
      <c r="C78" s="29" t="s">
        <v>157</v>
      </c>
      <c r="D78" s="58"/>
      <c r="E78" s="51">
        <v>737.44</v>
      </c>
      <c r="F78" s="29"/>
      <c r="G78" s="67" t="s">
        <v>305</v>
      </c>
    </row>
    <row r="80" spans="1:7">
      <c r="C80" t="s">
        <v>297</v>
      </c>
      <c r="F80" t="s">
        <v>295</v>
      </c>
    </row>
    <row r="81" spans="3:6">
      <c r="C81" t="s">
        <v>298</v>
      </c>
      <c r="F81" t="s">
        <v>295</v>
      </c>
    </row>
    <row r="82" spans="3:6">
      <c r="C82" t="s">
        <v>148</v>
      </c>
      <c r="D82" s="3">
        <v>1</v>
      </c>
      <c r="F82" t="s">
        <v>299</v>
      </c>
    </row>
    <row r="83" spans="3:6">
      <c r="C83" t="s">
        <v>301</v>
      </c>
      <c r="F83" t="s">
        <v>302</v>
      </c>
    </row>
  </sheetData>
  <mergeCells count="7">
    <mergeCell ref="B71:D71"/>
    <mergeCell ref="B58:D58"/>
    <mergeCell ref="B59:C59"/>
    <mergeCell ref="B60:C60"/>
    <mergeCell ref="B61:C61"/>
    <mergeCell ref="B62:D62"/>
    <mergeCell ref="B70:D70"/>
  </mergeCells>
  <conditionalFormatting sqref="A1:A1048576">
    <cfRule type="containsText" dxfId="128" priority="1" operator="containsText" text="x">
      <formula>NOT(ISERROR(SEARCH("x",A1)))</formula>
    </cfRule>
  </conditionalFormatting>
  <conditionalFormatting sqref="C1:C53 C76:C78 C55:C62 C64:C73">
    <cfRule type="duplicateValues" dxfId="127" priority="23"/>
  </conditionalFormatting>
  <conditionalFormatting sqref="C1:C1048576">
    <cfRule type="duplicateValues" dxfId="126" priority="3"/>
  </conditionalFormatting>
  <conditionalFormatting sqref="C5:C53 C76:C78 C55:C57">
    <cfRule type="duplicateValues" dxfId="125" priority="24"/>
  </conditionalFormatting>
  <conditionalFormatting sqref="C27">
    <cfRule type="duplicateValues" dxfId="124" priority="9"/>
    <cfRule type="duplicateValues" dxfId="123" priority="10"/>
    <cfRule type="duplicateValues" dxfId="122" priority="11"/>
  </conditionalFormatting>
  <conditionalFormatting sqref="C63">
    <cfRule type="duplicateValues" dxfId="121" priority="6"/>
    <cfRule type="duplicateValues" dxfId="120" priority="7"/>
  </conditionalFormatting>
  <conditionalFormatting sqref="C64:C68">
    <cfRule type="duplicateValues" dxfId="119" priority="2"/>
  </conditionalFormatting>
  <conditionalFormatting sqref="C79:C1048576 C74:C75">
    <cfRule type="duplicateValues" dxfId="118" priority="22"/>
  </conditionalFormatting>
  <conditionalFormatting sqref="C16:D16">
    <cfRule type="duplicateValues" dxfId="117" priority="19"/>
    <cfRule type="duplicateValues" dxfId="116" priority="20"/>
    <cfRule type="duplicateValues" dxfId="115" priority="21"/>
  </conditionalFormatting>
  <conditionalFormatting sqref="C21:D21">
    <cfRule type="duplicateValues" dxfId="114" priority="16"/>
    <cfRule type="duplicateValues" dxfId="113" priority="17"/>
    <cfRule type="duplicateValues" dxfId="112" priority="18"/>
  </conditionalFormatting>
  <conditionalFormatting sqref="C22:D22">
    <cfRule type="duplicateValues" dxfId="111" priority="13"/>
    <cfRule type="duplicateValues" dxfId="110" priority="14"/>
    <cfRule type="duplicateValues" dxfId="109" priority="15"/>
  </conditionalFormatting>
  <conditionalFormatting sqref="D5:D53 D55:D56 D76:D78">
    <cfRule type="notContainsBlanks" dxfId="108" priority="12">
      <formula>LEN(TRIM(D5))&gt;0</formula>
    </cfRule>
  </conditionalFormatting>
  <conditionalFormatting sqref="D63">
    <cfRule type="notContainsBlanks" dxfId="107" priority="5">
      <formula>LEN(TRIM(D63))&gt;0</formula>
    </cfRule>
  </conditionalFormatting>
  <conditionalFormatting sqref="F5:F53 F76:F78">
    <cfRule type="notContainsBlanks" dxfId="106" priority="8">
      <formula>LEN(TRIM(F5))&gt;0</formula>
    </cfRule>
  </conditionalFormatting>
  <conditionalFormatting sqref="F55:F71">
    <cfRule type="notContainsBlanks" dxfId="105" priority="4">
      <formula>LEN(TRIM(F55))&gt;0</formula>
    </cfRule>
  </conditionalFormatting>
  <pageMargins left="1" right="1" top="1" bottom="1" header="0.5" footer="0.5"/>
  <pageSetup scale="68" fitToWidth="0" orientation="portrait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979B-F26C-C544-B5C8-3F20D54A061D}">
  <sheetPr>
    <tabColor theme="8"/>
    <pageSetUpPr fitToPage="1"/>
  </sheetPr>
  <dimension ref="A1:G75"/>
  <sheetViews>
    <sheetView topLeftCell="A24" zoomScale="170" zoomScaleNormal="170" zoomScalePageLayoutView="140" workbookViewId="0">
      <selection activeCell="G50" sqref="G50"/>
    </sheetView>
  </sheetViews>
  <sheetFormatPr baseColWidth="10" defaultColWidth="8.83203125" defaultRowHeight="13"/>
  <cols>
    <col min="1" max="1" width="4.83203125" customWidth="1"/>
    <col min="2" max="2" width="5.6640625" customWidth="1"/>
    <col min="3" max="3" width="23.5" customWidth="1"/>
    <col min="4" max="4" width="10.5" style="3" bestFit="1" customWidth="1"/>
    <col min="5" max="5" width="13.1640625" customWidth="1"/>
    <col min="6" max="6" width="15.83203125" customWidth="1"/>
    <col min="7" max="7" width="13.6640625" customWidth="1"/>
    <col min="8" max="8" width="18.1640625" bestFit="1" customWidth="1"/>
  </cols>
  <sheetData>
    <row r="1" spans="1:6">
      <c r="B1" s="1" t="s">
        <v>0</v>
      </c>
      <c r="D1" s="88"/>
      <c r="E1" s="3"/>
      <c r="F1" s="68" t="s">
        <v>223</v>
      </c>
    </row>
    <row r="2" spans="1:6" ht="13.5" customHeight="1">
      <c r="B2" s="1" t="s">
        <v>249</v>
      </c>
      <c r="F2" s="96">
        <v>43831</v>
      </c>
    </row>
    <row r="3" spans="1:6" ht="8" customHeight="1"/>
    <row r="4" spans="1:6">
      <c r="B4" s="50" t="s">
        <v>226</v>
      </c>
      <c r="C4" s="50" t="s">
        <v>225</v>
      </c>
      <c r="D4" s="50" t="s">
        <v>241</v>
      </c>
      <c r="E4" s="50" t="s">
        <v>224</v>
      </c>
      <c r="F4" s="50" t="s">
        <v>227</v>
      </c>
    </row>
    <row r="5" spans="1:6">
      <c r="A5" t="s">
        <v>296</v>
      </c>
      <c r="B5" s="7">
        <v>1</v>
      </c>
      <c r="C5" s="37" t="s">
        <v>201</v>
      </c>
      <c r="D5" s="58"/>
      <c r="E5" s="54">
        <v>572.75</v>
      </c>
      <c r="F5" s="29"/>
    </row>
    <row r="6" spans="1:6">
      <c r="A6" t="s">
        <v>296</v>
      </c>
      <c r="B6" s="7">
        <f>B5+1</f>
        <v>2</v>
      </c>
      <c r="C6" s="29" t="s">
        <v>72</v>
      </c>
      <c r="D6" s="7"/>
      <c r="E6" s="51">
        <v>1173.1600000000001</v>
      </c>
      <c r="F6" s="29"/>
    </row>
    <row r="7" spans="1:6">
      <c r="A7" t="s">
        <v>296</v>
      </c>
      <c r="B7" s="7">
        <f>B6+1</f>
        <v>3</v>
      </c>
      <c r="C7" s="29" t="s">
        <v>62</v>
      </c>
      <c r="D7" s="7"/>
      <c r="E7" s="51">
        <v>1008.47</v>
      </c>
      <c r="F7" s="29"/>
    </row>
    <row r="8" spans="1:6">
      <c r="A8" t="s">
        <v>296</v>
      </c>
      <c r="B8" s="7">
        <f t="shared" ref="B8:B50" si="0">B7+1</f>
        <v>4</v>
      </c>
      <c r="C8" s="37" t="s">
        <v>202</v>
      </c>
      <c r="D8" s="58"/>
      <c r="E8" s="51">
        <v>528.22</v>
      </c>
      <c r="F8" s="29"/>
    </row>
    <row r="9" spans="1:6">
      <c r="A9" t="s">
        <v>296</v>
      </c>
      <c r="B9" s="7">
        <f t="shared" si="0"/>
        <v>5</v>
      </c>
      <c r="C9" s="29" t="s">
        <v>12</v>
      </c>
      <c r="D9" s="7">
        <v>1</v>
      </c>
      <c r="E9" s="51">
        <v>1485.68</v>
      </c>
      <c r="F9" s="29"/>
    </row>
    <row r="10" spans="1:6">
      <c r="A10" t="s">
        <v>296</v>
      </c>
      <c r="B10" s="7">
        <f t="shared" si="0"/>
        <v>6</v>
      </c>
      <c r="C10" s="37" t="s">
        <v>48</v>
      </c>
      <c r="D10" s="58">
        <v>1</v>
      </c>
      <c r="E10" s="51">
        <v>845.66</v>
      </c>
      <c r="F10" s="29"/>
    </row>
    <row r="11" spans="1:6">
      <c r="A11" t="s">
        <v>296</v>
      </c>
      <c r="B11" s="7">
        <f t="shared" si="0"/>
        <v>7</v>
      </c>
      <c r="C11" s="37" t="s">
        <v>269</v>
      </c>
      <c r="D11" s="58"/>
      <c r="E11" s="51">
        <v>648.39</v>
      </c>
      <c r="F11" s="29"/>
    </row>
    <row r="12" spans="1:6">
      <c r="A12" t="s">
        <v>296</v>
      </c>
      <c r="B12" s="7">
        <f t="shared" si="0"/>
        <v>8</v>
      </c>
      <c r="C12" s="37" t="s">
        <v>205</v>
      </c>
      <c r="D12" s="58"/>
      <c r="E12" s="51">
        <v>469.87</v>
      </c>
      <c r="F12" s="29"/>
    </row>
    <row r="13" spans="1:6">
      <c r="A13" t="s">
        <v>296</v>
      </c>
      <c r="B13" s="7">
        <f t="shared" si="0"/>
        <v>9</v>
      </c>
      <c r="C13" s="37" t="s">
        <v>236</v>
      </c>
      <c r="D13" s="58">
        <v>3</v>
      </c>
      <c r="E13" s="52">
        <v>1959.43</v>
      </c>
      <c r="F13" s="29"/>
    </row>
    <row r="14" spans="1:6">
      <c r="A14" t="s">
        <v>296</v>
      </c>
      <c r="B14" s="7">
        <f t="shared" si="0"/>
        <v>10</v>
      </c>
      <c r="C14" s="37" t="s">
        <v>291</v>
      </c>
      <c r="D14" s="58">
        <v>1</v>
      </c>
      <c r="E14" s="52">
        <v>1288.57</v>
      </c>
      <c r="F14" s="29"/>
    </row>
    <row r="15" spans="1:6">
      <c r="A15" t="s">
        <v>296</v>
      </c>
      <c r="B15" s="7">
        <f t="shared" si="0"/>
        <v>11</v>
      </c>
      <c r="C15" s="61" t="s">
        <v>230</v>
      </c>
      <c r="D15" s="62"/>
      <c r="E15" s="51">
        <v>1296.78</v>
      </c>
      <c r="F15" s="29"/>
    </row>
    <row r="16" spans="1:6">
      <c r="A16" t="s">
        <v>296</v>
      </c>
      <c r="B16" s="7">
        <f t="shared" si="0"/>
        <v>12</v>
      </c>
      <c r="C16" s="29" t="s">
        <v>234</v>
      </c>
      <c r="D16" s="7"/>
      <c r="E16" s="51">
        <v>1214.6500000000001</v>
      </c>
      <c r="F16" s="29"/>
    </row>
    <row r="17" spans="1:7">
      <c r="A17" t="s">
        <v>296</v>
      </c>
      <c r="B17" s="7">
        <f t="shared" si="0"/>
        <v>13</v>
      </c>
      <c r="C17" s="29" t="s">
        <v>237</v>
      </c>
      <c r="D17" s="7">
        <v>1</v>
      </c>
      <c r="E17" s="51">
        <v>835.29</v>
      </c>
      <c r="F17" s="29"/>
    </row>
    <row r="18" spans="1:7">
      <c r="A18" t="s">
        <v>296</v>
      </c>
      <c r="B18" s="7">
        <f t="shared" si="0"/>
        <v>14</v>
      </c>
      <c r="C18" s="29" t="s">
        <v>156</v>
      </c>
      <c r="D18" s="7"/>
      <c r="E18" s="51">
        <v>469.87</v>
      </c>
      <c r="F18" s="29"/>
    </row>
    <row r="19" spans="1:7">
      <c r="A19" t="s">
        <v>296</v>
      </c>
      <c r="B19" s="7">
        <f t="shared" si="0"/>
        <v>15</v>
      </c>
      <c r="C19" s="61" t="s">
        <v>228</v>
      </c>
      <c r="D19" s="62"/>
      <c r="E19" s="51">
        <v>922.88</v>
      </c>
      <c r="F19" s="29"/>
    </row>
    <row r="20" spans="1:7">
      <c r="A20" t="s">
        <v>296</v>
      </c>
      <c r="B20" s="7">
        <f t="shared" si="0"/>
        <v>16</v>
      </c>
      <c r="C20" s="61" t="s">
        <v>229</v>
      </c>
      <c r="D20" s="62"/>
      <c r="E20" s="51">
        <v>1276.04</v>
      </c>
      <c r="F20" s="29"/>
    </row>
    <row r="21" spans="1:7">
      <c r="A21" t="s">
        <v>296</v>
      </c>
      <c r="B21" s="7">
        <f t="shared" si="0"/>
        <v>17</v>
      </c>
      <c r="C21" s="29" t="s">
        <v>235</v>
      </c>
      <c r="D21" s="7"/>
      <c r="E21" s="51">
        <v>772.02</v>
      </c>
      <c r="F21" s="29"/>
    </row>
    <row r="22" spans="1:7">
      <c r="A22" t="s">
        <v>296</v>
      </c>
      <c r="B22" s="7">
        <f t="shared" si="0"/>
        <v>18</v>
      </c>
      <c r="C22" s="37" t="s">
        <v>63</v>
      </c>
      <c r="D22" s="58">
        <v>2</v>
      </c>
      <c r="E22" s="52">
        <v>1367.12</v>
      </c>
      <c r="F22" s="29"/>
    </row>
    <row r="23" spans="1:7">
      <c r="A23" t="s">
        <v>296</v>
      </c>
      <c r="B23" s="7">
        <f t="shared" si="0"/>
        <v>19</v>
      </c>
      <c r="C23" s="37" t="s">
        <v>168</v>
      </c>
      <c r="D23" s="58"/>
      <c r="E23" s="51">
        <v>1214.6500000000001</v>
      </c>
      <c r="F23" s="29"/>
    </row>
    <row r="24" spans="1:7">
      <c r="A24" t="s">
        <v>296</v>
      </c>
      <c r="B24" s="7">
        <f t="shared" si="0"/>
        <v>20</v>
      </c>
      <c r="C24" s="37" t="s">
        <v>88</v>
      </c>
      <c r="D24" s="58"/>
      <c r="E24" s="51">
        <v>1125.18</v>
      </c>
      <c r="F24" s="29"/>
    </row>
    <row r="25" spans="1:7">
      <c r="A25" t="s">
        <v>296</v>
      </c>
      <c r="B25" s="7">
        <f t="shared" si="0"/>
        <v>21</v>
      </c>
      <c r="C25" s="55" t="s">
        <v>232</v>
      </c>
      <c r="D25" s="7"/>
      <c r="E25" s="51">
        <v>648.39</v>
      </c>
      <c r="F25" s="29"/>
    </row>
    <row r="26" spans="1:7">
      <c r="A26" t="s">
        <v>296</v>
      </c>
      <c r="B26" s="7">
        <f t="shared" si="0"/>
        <v>22</v>
      </c>
      <c r="C26" s="37" t="s">
        <v>231</v>
      </c>
      <c r="D26" s="58">
        <v>1</v>
      </c>
      <c r="E26" s="51">
        <v>1082.1099999999999</v>
      </c>
      <c r="F26" s="29"/>
    </row>
    <row r="27" spans="1:7">
      <c r="A27" t="s">
        <v>296</v>
      </c>
      <c r="B27" s="7">
        <f t="shared" si="0"/>
        <v>23</v>
      </c>
      <c r="C27" s="29" t="s">
        <v>270</v>
      </c>
      <c r="D27" s="7">
        <v>1</v>
      </c>
      <c r="E27" s="52">
        <v>856.04</v>
      </c>
      <c r="F27" s="29"/>
    </row>
    <row r="28" spans="1:7">
      <c r="A28" t="s">
        <v>296</v>
      </c>
      <c r="B28" s="7">
        <f t="shared" si="0"/>
        <v>24</v>
      </c>
      <c r="C28" s="29" t="s">
        <v>239</v>
      </c>
      <c r="D28" s="7"/>
      <c r="E28" s="52">
        <v>490.62</v>
      </c>
      <c r="F28" s="29"/>
    </row>
    <row r="29" spans="1:7">
      <c r="A29" t="s">
        <v>296</v>
      </c>
      <c r="B29" s="7">
        <f t="shared" si="0"/>
        <v>25</v>
      </c>
      <c r="C29" s="37" t="s">
        <v>133</v>
      </c>
      <c r="D29" s="58">
        <v>1</v>
      </c>
      <c r="E29" s="52">
        <v>1314.07</v>
      </c>
      <c r="F29" s="29"/>
      <c r="G29" t="s">
        <v>300</v>
      </c>
    </row>
    <row r="30" spans="1:7">
      <c r="A30" t="s">
        <v>296</v>
      </c>
      <c r="B30" s="7">
        <f t="shared" si="0"/>
        <v>26</v>
      </c>
      <c r="C30" s="37" t="s">
        <v>290</v>
      </c>
      <c r="D30" s="58"/>
      <c r="E30" s="52">
        <v>517.85</v>
      </c>
      <c r="F30" s="29"/>
    </row>
    <row r="31" spans="1:7">
      <c r="A31" t="s">
        <v>296</v>
      </c>
      <c r="B31" s="7">
        <f t="shared" si="0"/>
        <v>27</v>
      </c>
      <c r="C31" s="37" t="s">
        <v>271</v>
      </c>
      <c r="D31" s="58">
        <v>1</v>
      </c>
      <c r="E31" s="52">
        <v>890.18</v>
      </c>
      <c r="F31" s="29"/>
    </row>
    <row r="32" spans="1:7">
      <c r="A32" t="s">
        <v>296</v>
      </c>
      <c r="B32" s="97">
        <f t="shared" si="0"/>
        <v>28</v>
      </c>
      <c r="C32" s="98" t="s">
        <v>294</v>
      </c>
      <c r="D32" s="99"/>
      <c r="E32" s="100">
        <v>432.26</v>
      </c>
      <c r="F32" s="29" t="s">
        <v>304</v>
      </c>
    </row>
    <row r="33" spans="1:7">
      <c r="A33" t="s">
        <v>296</v>
      </c>
      <c r="B33" s="7">
        <f t="shared" si="0"/>
        <v>29</v>
      </c>
      <c r="C33" s="37" t="s">
        <v>287</v>
      </c>
      <c r="D33" s="58"/>
      <c r="E33" s="52">
        <v>1214.6500000000001</v>
      </c>
      <c r="F33" s="29"/>
    </row>
    <row r="34" spans="1:7">
      <c r="A34" t="s">
        <v>296</v>
      </c>
      <c r="B34" s="7">
        <f t="shared" si="0"/>
        <v>30</v>
      </c>
      <c r="C34" s="29" t="s">
        <v>219</v>
      </c>
      <c r="D34" s="7"/>
      <c r="E34" s="51">
        <v>432.26</v>
      </c>
      <c r="F34" s="29"/>
    </row>
    <row r="35" spans="1:7">
      <c r="A35" t="s">
        <v>296</v>
      </c>
      <c r="B35" s="7">
        <f t="shared" si="0"/>
        <v>31</v>
      </c>
      <c r="C35" s="37" t="s">
        <v>233</v>
      </c>
      <c r="D35" s="58"/>
      <c r="E35" s="51">
        <v>1296.78</v>
      </c>
      <c r="F35" s="29"/>
    </row>
    <row r="36" spans="1:7">
      <c r="A36" t="s">
        <v>296</v>
      </c>
      <c r="B36" s="7">
        <f t="shared" si="0"/>
        <v>32</v>
      </c>
      <c r="C36" s="37" t="s">
        <v>214</v>
      </c>
      <c r="D36" s="58">
        <v>1</v>
      </c>
      <c r="E36" s="52">
        <v>1438.72</v>
      </c>
      <c r="F36" s="29"/>
    </row>
    <row r="37" spans="1:7">
      <c r="A37" t="s">
        <v>296</v>
      </c>
      <c r="B37" s="7">
        <f t="shared" si="0"/>
        <v>33</v>
      </c>
      <c r="C37" s="37" t="s">
        <v>284</v>
      </c>
      <c r="D37" s="58">
        <v>2</v>
      </c>
      <c r="E37" s="52">
        <v>1776.16</v>
      </c>
      <c r="F37" s="29"/>
    </row>
    <row r="38" spans="1:7">
      <c r="A38" t="s">
        <v>296</v>
      </c>
      <c r="B38" s="7">
        <f t="shared" si="0"/>
        <v>34</v>
      </c>
      <c r="C38" s="29" t="s">
        <v>272</v>
      </c>
      <c r="D38" s="7"/>
      <c r="E38" s="52">
        <v>1173.1600000000001</v>
      </c>
      <c r="F38" s="29"/>
    </row>
    <row r="39" spans="1:7">
      <c r="A39" t="s">
        <v>296</v>
      </c>
      <c r="B39" s="7">
        <f t="shared" si="0"/>
        <v>35</v>
      </c>
      <c r="C39" s="29" t="s">
        <v>207</v>
      </c>
      <c r="D39" s="7"/>
      <c r="E39" s="52">
        <v>442.64</v>
      </c>
      <c r="F39" s="29"/>
    </row>
    <row r="40" spans="1:7">
      <c r="A40" t="s">
        <v>296</v>
      </c>
      <c r="B40" s="7">
        <f t="shared" si="0"/>
        <v>36</v>
      </c>
      <c r="C40" s="37" t="s">
        <v>90</v>
      </c>
      <c r="D40" s="58"/>
      <c r="E40" s="51">
        <v>922.88</v>
      </c>
      <c r="F40" s="29"/>
    </row>
    <row r="41" spans="1:7">
      <c r="A41" t="s">
        <v>296</v>
      </c>
      <c r="B41" s="7">
        <f t="shared" si="0"/>
        <v>37</v>
      </c>
      <c r="C41" s="37" t="s">
        <v>134</v>
      </c>
      <c r="D41" s="58"/>
      <c r="E41" s="52">
        <v>500.99</v>
      </c>
      <c r="F41" s="29"/>
    </row>
    <row r="42" spans="1:7">
      <c r="A42" t="s">
        <v>296</v>
      </c>
      <c r="B42" s="7">
        <f t="shared" si="0"/>
        <v>38</v>
      </c>
      <c r="C42" s="37" t="s">
        <v>273</v>
      </c>
      <c r="D42" s="58"/>
      <c r="E42" s="52">
        <v>675.62</v>
      </c>
      <c r="F42" s="29"/>
    </row>
    <row r="43" spans="1:7">
      <c r="A43" t="s">
        <v>296</v>
      </c>
      <c r="B43" s="7">
        <f t="shared" si="0"/>
        <v>39</v>
      </c>
      <c r="C43" s="29" t="s">
        <v>41</v>
      </c>
      <c r="D43" s="58"/>
      <c r="E43" s="51">
        <v>1296.78</v>
      </c>
      <c r="F43" s="29"/>
    </row>
    <row r="44" spans="1:7">
      <c r="A44" t="s">
        <v>296</v>
      </c>
      <c r="B44" s="7">
        <f t="shared" si="0"/>
        <v>40</v>
      </c>
      <c r="C44" s="29" t="s">
        <v>288</v>
      </c>
      <c r="D44" s="58"/>
      <c r="E44" s="51">
        <v>843.77</v>
      </c>
      <c r="F44" s="29"/>
    </row>
    <row r="45" spans="1:7">
      <c r="A45" t="s">
        <v>296</v>
      </c>
      <c r="B45" s="7">
        <f t="shared" si="0"/>
        <v>41</v>
      </c>
      <c r="C45" s="29" t="s">
        <v>238</v>
      </c>
      <c r="D45" s="58"/>
      <c r="E45" s="51">
        <v>1276.04</v>
      </c>
      <c r="F45" s="29"/>
    </row>
    <row r="46" spans="1:7">
      <c r="A46" t="s">
        <v>296</v>
      </c>
      <c r="B46" s="7">
        <f t="shared" si="0"/>
        <v>42</v>
      </c>
      <c r="C46" s="29" t="s">
        <v>157</v>
      </c>
      <c r="D46" s="58"/>
      <c r="E46" s="51">
        <v>737.44</v>
      </c>
      <c r="F46" s="29"/>
      <c r="G46" s="67" t="s">
        <v>275</v>
      </c>
    </row>
    <row r="47" spans="1:7">
      <c r="A47" t="s">
        <v>296</v>
      </c>
      <c r="B47" s="7">
        <f t="shared" si="0"/>
        <v>43</v>
      </c>
      <c r="C47" s="37" t="s">
        <v>150</v>
      </c>
      <c r="D47" s="58"/>
      <c r="E47" s="51">
        <v>586.58000000000004</v>
      </c>
      <c r="F47" s="29"/>
    </row>
    <row r="48" spans="1:7">
      <c r="A48" t="s">
        <v>296</v>
      </c>
      <c r="B48" s="7">
        <f t="shared" si="0"/>
        <v>44</v>
      </c>
      <c r="C48" s="29" t="s">
        <v>33</v>
      </c>
      <c r="D48" s="58">
        <v>1</v>
      </c>
      <c r="E48" s="51">
        <v>1010.63</v>
      </c>
      <c r="F48" s="29"/>
    </row>
    <row r="49" spans="1:7">
      <c r="A49" t="s">
        <v>296</v>
      </c>
      <c r="B49" s="7">
        <f t="shared" si="0"/>
        <v>45</v>
      </c>
      <c r="C49" s="37" t="s">
        <v>34</v>
      </c>
      <c r="D49" s="58"/>
      <c r="E49" s="53">
        <v>806.17</v>
      </c>
      <c r="F49" s="29"/>
      <c r="G49" t="s">
        <v>306</v>
      </c>
    </row>
    <row r="50" spans="1:7">
      <c r="A50" t="s">
        <v>296</v>
      </c>
      <c r="B50" s="7">
        <f t="shared" si="0"/>
        <v>46</v>
      </c>
      <c r="C50" s="29" t="s">
        <v>91</v>
      </c>
      <c r="D50" s="7"/>
      <c r="E50" s="53">
        <v>517.85</v>
      </c>
      <c r="F50" s="29"/>
    </row>
    <row r="52" spans="1:7">
      <c r="B52" s="101" t="s">
        <v>289</v>
      </c>
      <c r="C52" s="29" t="s">
        <v>254</v>
      </c>
      <c r="D52" s="7"/>
      <c r="E52" s="51">
        <v>453.01</v>
      </c>
      <c r="F52" s="29"/>
    </row>
    <row r="53" spans="1:7">
      <c r="B53" s="101" t="s">
        <v>289</v>
      </c>
      <c r="C53" s="37" t="s">
        <v>268</v>
      </c>
      <c r="D53" s="58"/>
      <c r="E53" s="51">
        <v>500.99</v>
      </c>
      <c r="F53" s="29"/>
    </row>
    <row r="54" spans="1:7">
      <c r="B54" s="81"/>
      <c r="C54" s="82"/>
      <c r="D54" s="58"/>
      <c r="E54" s="54"/>
      <c r="F54" s="29"/>
    </row>
    <row r="55" spans="1:7">
      <c r="B55" s="428" t="s">
        <v>253</v>
      </c>
      <c r="C55" s="429"/>
      <c r="D55" s="430"/>
      <c r="E55" s="83">
        <f>SUM(E5:E54)</f>
        <v>44609.32</v>
      </c>
      <c r="F55" s="84"/>
    </row>
    <row r="56" spans="1:7">
      <c r="B56" s="431" t="s">
        <v>258</v>
      </c>
      <c r="C56" s="432"/>
      <c r="D56" s="7">
        <f>COUNTA(C5:C54)</f>
        <v>48</v>
      </c>
      <c r="E56" s="52"/>
      <c r="F56" s="29"/>
    </row>
    <row r="57" spans="1:7">
      <c r="B57" s="431" t="s">
        <v>242</v>
      </c>
      <c r="C57" s="432"/>
      <c r="D57" s="58">
        <f>SUM(D5:D54)</f>
        <v>17</v>
      </c>
      <c r="E57" s="52"/>
      <c r="F57" s="29"/>
    </row>
    <row r="58" spans="1:7">
      <c r="B58" s="433" t="s">
        <v>246</v>
      </c>
      <c r="C58" s="434"/>
      <c r="D58" s="86">
        <f>D56+D57</f>
        <v>65</v>
      </c>
      <c r="E58" s="52"/>
      <c r="F58" s="29"/>
    </row>
    <row r="59" spans="1:7">
      <c r="B59" s="425" t="s">
        <v>257</v>
      </c>
      <c r="C59" s="426"/>
      <c r="D59" s="427"/>
      <c r="E59" s="77"/>
      <c r="F59" s="75"/>
    </row>
    <row r="60" spans="1:7">
      <c r="B60" s="86"/>
      <c r="C60" s="98" t="s">
        <v>282</v>
      </c>
      <c r="D60" s="58"/>
      <c r="E60" s="52">
        <v>-846.82</v>
      </c>
      <c r="F60" s="29" t="s">
        <v>119</v>
      </c>
    </row>
    <row r="61" spans="1:7">
      <c r="B61" s="91"/>
      <c r="C61" s="37" t="s">
        <v>294</v>
      </c>
      <c r="D61" s="92"/>
      <c r="E61" s="52">
        <v>846.82</v>
      </c>
      <c r="F61" s="29" t="s">
        <v>293</v>
      </c>
    </row>
    <row r="62" spans="1:7">
      <c r="B62" s="91"/>
      <c r="C62" s="93"/>
      <c r="D62" s="92"/>
      <c r="E62" s="94"/>
      <c r="F62" s="29"/>
    </row>
    <row r="63" spans="1:7">
      <c r="B63" s="428" t="s">
        <v>265</v>
      </c>
      <c r="C63" s="429"/>
      <c r="D63" s="430"/>
      <c r="E63" s="83">
        <f>SUM(E60:E62)</f>
        <v>0</v>
      </c>
      <c r="F63" s="75"/>
    </row>
    <row r="64" spans="1:7">
      <c r="B64" s="422" t="s">
        <v>37</v>
      </c>
      <c r="C64" s="423"/>
      <c r="D64" s="424"/>
      <c r="E64" s="80">
        <f>SUM(E55+E63)</f>
        <v>44609.32</v>
      </c>
      <c r="F64" s="84"/>
    </row>
    <row r="65" spans="2:7">
      <c r="E65" s="72" t="s">
        <v>250</v>
      </c>
      <c r="F65" s="95">
        <v>43808</v>
      </c>
    </row>
    <row r="66" spans="2:7">
      <c r="E66" s="73" t="s">
        <v>251</v>
      </c>
      <c r="F66" s="74" t="s">
        <v>252</v>
      </c>
    </row>
    <row r="69" spans="2:7">
      <c r="B69" s="7">
        <f>B50+1</f>
        <v>47</v>
      </c>
      <c r="C69" s="37" t="s">
        <v>215</v>
      </c>
      <c r="D69" s="58"/>
      <c r="E69" s="54">
        <v>562.55999999999995</v>
      </c>
      <c r="F69" s="29" t="s">
        <v>292</v>
      </c>
    </row>
    <row r="70" spans="2:7">
      <c r="B70" s="7">
        <f>B8+1</f>
        <v>5</v>
      </c>
      <c r="C70" s="37" t="s">
        <v>282</v>
      </c>
      <c r="D70" s="58"/>
      <c r="E70" s="51">
        <v>432.26</v>
      </c>
      <c r="F70" s="29"/>
      <c r="G70" t="s">
        <v>275</v>
      </c>
    </row>
    <row r="72" spans="2:7">
      <c r="C72" t="s">
        <v>297</v>
      </c>
      <c r="F72" t="s">
        <v>295</v>
      </c>
    </row>
    <row r="73" spans="2:7">
      <c r="C73" t="s">
        <v>298</v>
      </c>
      <c r="F73" t="s">
        <v>295</v>
      </c>
    </row>
    <row r="74" spans="2:7">
      <c r="C74" t="s">
        <v>148</v>
      </c>
      <c r="D74" s="3">
        <v>1</v>
      </c>
      <c r="F74" t="s">
        <v>299</v>
      </c>
    </row>
    <row r="75" spans="2:7">
      <c r="C75" t="s">
        <v>301</v>
      </c>
      <c r="F75" t="s">
        <v>302</v>
      </c>
    </row>
  </sheetData>
  <mergeCells count="7">
    <mergeCell ref="B64:D64"/>
    <mergeCell ref="B55:D55"/>
    <mergeCell ref="B56:C56"/>
    <mergeCell ref="B57:C57"/>
    <mergeCell ref="B58:C58"/>
    <mergeCell ref="B59:D59"/>
    <mergeCell ref="B63:D63"/>
  </mergeCells>
  <conditionalFormatting sqref="A1:A1048576">
    <cfRule type="containsText" dxfId="104" priority="1" operator="containsText" text="x">
      <formula>NOT(ISERROR(SEARCH("x",A1)))</formula>
    </cfRule>
  </conditionalFormatting>
  <conditionalFormatting sqref="C1:C50 C69:C70 C52:C59 C61:C66">
    <cfRule type="duplicateValues" dxfId="103" priority="23"/>
  </conditionalFormatting>
  <conditionalFormatting sqref="C1:C1048576">
    <cfRule type="duplicateValues" dxfId="102" priority="3"/>
  </conditionalFormatting>
  <conditionalFormatting sqref="C5:C50 C69:C70 C52:C54">
    <cfRule type="duplicateValues" dxfId="101" priority="24"/>
  </conditionalFormatting>
  <conditionalFormatting sqref="C25">
    <cfRule type="duplicateValues" dxfId="100" priority="9"/>
    <cfRule type="duplicateValues" dxfId="99" priority="10"/>
    <cfRule type="duplicateValues" dxfId="98" priority="11"/>
  </conditionalFormatting>
  <conditionalFormatting sqref="C60">
    <cfRule type="duplicateValues" dxfId="97" priority="6"/>
    <cfRule type="duplicateValues" dxfId="96" priority="7"/>
  </conditionalFormatting>
  <conditionalFormatting sqref="C61">
    <cfRule type="duplicateValues" dxfId="95" priority="2"/>
  </conditionalFormatting>
  <conditionalFormatting sqref="C67:C68 C71:C1048576">
    <cfRule type="duplicateValues" dxfId="94" priority="22"/>
  </conditionalFormatting>
  <conditionalFormatting sqref="C15:D15">
    <cfRule type="duplicateValues" dxfId="93" priority="19"/>
    <cfRule type="duplicateValues" dxfId="92" priority="20"/>
    <cfRule type="duplicateValues" dxfId="91" priority="21"/>
  </conditionalFormatting>
  <conditionalFormatting sqref="C19:D19">
    <cfRule type="duplicateValues" dxfId="90" priority="16"/>
    <cfRule type="duplicateValues" dxfId="89" priority="17"/>
    <cfRule type="duplicateValues" dxfId="88" priority="18"/>
  </conditionalFormatting>
  <conditionalFormatting sqref="C20:D20">
    <cfRule type="duplicateValues" dxfId="87" priority="13"/>
    <cfRule type="duplicateValues" dxfId="86" priority="14"/>
    <cfRule type="duplicateValues" dxfId="85" priority="15"/>
  </conditionalFormatting>
  <conditionalFormatting sqref="D5:D50 D52:D54 D69:D70">
    <cfRule type="notContainsBlanks" dxfId="84" priority="12">
      <formula>LEN(TRIM(D5))&gt;0</formula>
    </cfRule>
  </conditionalFormatting>
  <conditionalFormatting sqref="D60">
    <cfRule type="notContainsBlanks" dxfId="83" priority="5">
      <formula>LEN(TRIM(D60))&gt;0</formula>
    </cfRule>
  </conditionalFormatting>
  <conditionalFormatting sqref="F5:F50 F69:F70">
    <cfRule type="notContainsBlanks" dxfId="82" priority="8">
      <formula>LEN(TRIM(F5))&gt;0</formula>
    </cfRule>
  </conditionalFormatting>
  <conditionalFormatting sqref="F52:F64">
    <cfRule type="notContainsBlanks" dxfId="81" priority="4">
      <formula>LEN(TRIM(F52))&gt;0</formula>
    </cfRule>
  </conditionalFormatting>
  <pageMargins left="1" right="1" top="1" bottom="1" header="0.5" footer="0.5"/>
  <pageSetup scale="75" fitToWidth="0" orientation="portrait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A0BF-1FB3-964C-8E6F-CBE1A7261E5D}">
  <sheetPr>
    <tabColor theme="9" tint="0.59999389629810485"/>
    <pageSetUpPr fitToPage="1"/>
  </sheetPr>
  <dimension ref="A1:F69"/>
  <sheetViews>
    <sheetView topLeftCell="A42" zoomScale="130" zoomScaleNormal="130" zoomScalePageLayoutView="140" workbookViewId="0">
      <selection activeCell="F9" sqref="F9"/>
    </sheetView>
  </sheetViews>
  <sheetFormatPr baseColWidth="10" defaultColWidth="8.83203125" defaultRowHeight="13"/>
  <cols>
    <col min="1" max="1" width="5.6640625" customWidth="1"/>
    <col min="2" max="2" width="23.5" customWidth="1"/>
    <col min="3" max="3" width="10.5" style="3" bestFit="1" customWidth="1"/>
    <col min="4" max="4" width="13.1640625" customWidth="1"/>
    <col min="5" max="5" width="15.83203125" customWidth="1"/>
    <col min="6" max="6" width="13.6640625" customWidth="1"/>
    <col min="8" max="8" width="18.1640625" bestFit="1" customWidth="1"/>
  </cols>
  <sheetData>
    <row r="1" spans="1:6">
      <c r="A1" s="1" t="s">
        <v>0</v>
      </c>
      <c r="C1" s="88"/>
      <c r="D1" s="3"/>
      <c r="E1" s="68" t="s">
        <v>223</v>
      </c>
    </row>
    <row r="2" spans="1:6" ht="13.5" customHeight="1">
      <c r="A2" s="1" t="s">
        <v>249</v>
      </c>
      <c r="E2" s="96">
        <v>43800</v>
      </c>
    </row>
    <row r="3" spans="1:6" ht="8" customHeight="1"/>
    <row r="4" spans="1:6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6">
      <c r="A5" s="7">
        <v>1</v>
      </c>
      <c r="B5" s="37" t="s">
        <v>201</v>
      </c>
      <c r="C5" s="58"/>
      <c r="D5" s="54">
        <v>572.75</v>
      </c>
      <c r="E5" s="29"/>
    </row>
    <row r="6" spans="1:6">
      <c r="A6" s="7">
        <f>A5+1</f>
        <v>2</v>
      </c>
      <c r="B6" s="29" t="s">
        <v>72</v>
      </c>
      <c r="C6" s="7"/>
      <c r="D6" s="51">
        <v>1173.1600000000001</v>
      </c>
      <c r="E6" s="29"/>
    </row>
    <row r="7" spans="1:6">
      <c r="A7" s="7">
        <f>A6+1</f>
        <v>3</v>
      </c>
      <c r="B7" s="29" t="s">
        <v>62</v>
      </c>
      <c r="C7" s="7"/>
      <c r="D7" s="51">
        <v>1008.47</v>
      </c>
      <c r="E7" s="29"/>
    </row>
    <row r="8" spans="1:6">
      <c r="A8" s="7">
        <f t="shared" ref="A8:A50" si="0">A7+1</f>
        <v>4</v>
      </c>
      <c r="B8" s="37" t="s">
        <v>202</v>
      </c>
      <c r="C8" s="58"/>
      <c r="D8" s="51">
        <v>528.22</v>
      </c>
      <c r="E8" s="29"/>
    </row>
    <row r="9" spans="1:6">
      <c r="A9" s="7">
        <f>A8+1</f>
        <v>5</v>
      </c>
      <c r="B9" s="37" t="s">
        <v>282</v>
      </c>
      <c r="C9" s="58"/>
      <c r="D9" s="51">
        <v>432.26</v>
      </c>
      <c r="E9" s="29"/>
      <c r="F9" t="s">
        <v>275</v>
      </c>
    </row>
    <row r="10" spans="1:6">
      <c r="A10" s="7">
        <f>A9+1</f>
        <v>6</v>
      </c>
      <c r="B10" s="29" t="s">
        <v>12</v>
      </c>
      <c r="C10" s="7">
        <v>1</v>
      </c>
      <c r="D10" s="51">
        <v>1485.68</v>
      </c>
      <c r="E10" s="29"/>
    </row>
    <row r="11" spans="1:6">
      <c r="A11" s="7">
        <f t="shared" si="0"/>
        <v>7</v>
      </c>
      <c r="B11" s="37" t="s">
        <v>48</v>
      </c>
      <c r="C11" s="58">
        <v>1</v>
      </c>
      <c r="D11" s="51">
        <v>845.66</v>
      </c>
      <c r="E11" s="29"/>
    </row>
    <row r="12" spans="1:6">
      <c r="A12" s="7">
        <f t="shared" si="0"/>
        <v>8</v>
      </c>
      <c r="B12" s="37" t="s">
        <v>269</v>
      </c>
      <c r="C12" s="58"/>
      <c r="D12" s="51">
        <v>648.39</v>
      </c>
      <c r="E12" s="29"/>
    </row>
    <row r="13" spans="1:6">
      <c r="A13" s="7">
        <f t="shared" si="0"/>
        <v>9</v>
      </c>
      <c r="B13" s="37" t="s">
        <v>205</v>
      </c>
      <c r="C13" s="58"/>
      <c r="D13" s="51">
        <v>469.87</v>
      </c>
      <c r="E13" s="29"/>
    </row>
    <row r="14" spans="1:6">
      <c r="A14" s="7">
        <f t="shared" si="0"/>
        <v>10</v>
      </c>
      <c r="B14" s="37" t="s">
        <v>236</v>
      </c>
      <c r="C14" s="58">
        <v>3</v>
      </c>
      <c r="D14" s="52">
        <v>1959.43</v>
      </c>
      <c r="E14" s="29"/>
    </row>
    <row r="15" spans="1:6">
      <c r="A15" s="7">
        <f t="shared" si="0"/>
        <v>11</v>
      </c>
      <c r="B15" s="37" t="s">
        <v>291</v>
      </c>
      <c r="C15" s="58">
        <v>1</v>
      </c>
      <c r="D15" s="52">
        <v>1288.57</v>
      </c>
      <c r="E15" s="29"/>
    </row>
    <row r="16" spans="1:6">
      <c r="A16" s="7">
        <f t="shared" si="0"/>
        <v>12</v>
      </c>
      <c r="B16" s="61" t="s">
        <v>230</v>
      </c>
      <c r="C16" s="62"/>
      <c r="D16" s="51">
        <v>1296.78</v>
      </c>
      <c r="E16" s="29"/>
    </row>
    <row r="17" spans="1:5">
      <c r="A17" s="7">
        <f t="shared" si="0"/>
        <v>13</v>
      </c>
      <c r="B17" s="29" t="s">
        <v>234</v>
      </c>
      <c r="C17" s="7"/>
      <c r="D17" s="51">
        <v>1214.6500000000001</v>
      </c>
      <c r="E17" s="29"/>
    </row>
    <row r="18" spans="1:5">
      <c r="A18" s="7">
        <f t="shared" si="0"/>
        <v>14</v>
      </c>
      <c r="B18" s="29" t="s">
        <v>237</v>
      </c>
      <c r="C18" s="7">
        <v>1</v>
      </c>
      <c r="D18" s="51">
        <v>835.29</v>
      </c>
      <c r="E18" s="29"/>
    </row>
    <row r="19" spans="1:5">
      <c r="A19" s="7">
        <f t="shared" si="0"/>
        <v>15</v>
      </c>
      <c r="B19" s="29" t="s">
        <v>156</v>
      </c>
      <c r="C19" s="7"/>
      <c r="D19" s="51">
        <v>469.87</v>
      </c>
      <c r="E19" s="29"/>
    </row>
    <row r="20" spans="1:5">
      <c r="A20" s="7">
        <f t="shared" si="0"/>
        <v>16</v>
      </c>
      <c r="B20" s="61" t="s">
        <v>228</v>
      </c>
      <c r="C20" s="62"/>
      <c r="D20" s="51">
        <v>922.88</v>
      </c>
      <c r="E20" s="29"/>
    </row>
    <row r="21" spans="1:5">
      <c r="A21" s="7">
        <f t="shared" si="0"/>
        <v>17</v>
      </c>
      <c r="B21" s="61" t="s">
        <v>229</v>
      </c>
      <c r="C21" s="62"/>
      <c r="D21" s="51">
        <v>1276.04</v>
      </c>
      <c r="E21" s="29"/>
    </row>
    <row r="22" spans="1:5">
      <c r="A22" s="7">
        <f t="shared" si="0"/>
        <v>18</v>
      </c>
      <c r="B22" s="29" t="s">
        <v>235</v>
      </c>
      <c r="C22" s="7"/>
      <c r="D22" s="51">
        <v>772.02</v>
      </c>
      <c r="E22" s="29"/>
    </row>
    <row r="23" spans="1:5">
      <c r="A23" s="7">
        <f t="shared" si="0"/>
        <v>19</v>
      </c>
      <c r="B23" s="37" t="s">
        <v>63</v>
      </c>
      <c r="C23" s="58">
        <v>2</v>
      </c>
      <c r="D23" s="52">
        <v>1367.12</v>
      </c>
      <c r="E23" s="29"/>
    </row>
    <row r="24" spans="1:5">
      <c r="A24" s="7">
        <f t="shared" si="0"/>
        <v>20</v>
      </c>
      <c r="B24" s="37" t="s">
        <v>168</v>
      </c>
      <c r="C24" s="58"/>
      <c r="D24" s="51">
        <v>1214.6500000000001</v>
      </c>
      <c r="E24" s="29"/>
    </row>
    <row r="25" spans="1:5">
      <c r="A25" s="7">
        <f t="shared" si="0"/>
        <v>21</v>
      </c>
      <c r="B25" s="37" t="s">
        <v>88</v>
      </c>
      <c r="C25" s="58"/>
      <c r="D25" s="51">
        <v>1125.18</v>
      </c>
      <c r="E25" s="29"/>
    </row>
    <row r="26" spans="1:5">
      <c r="A26" s="7">
        <f t="shared" si="0"/>
        <v>22</v>
      </c>
      <c r="B26" s="55" t="s">
        <v>232</v>
      </c>
      <c r="C26" s="7"/>
      <c r="D26" s="51">
        <v>648.39</v>
      </c>
      <c r="E26" s="29"/>
    </row>
    <row r="27" spans="1:5">
      <c r="A27" s="7">
        <f t="shared" si="0"/>
        <v>23</v>
      </c>
      <c r="B27" s="37" t="s">
        <v>231</v>
      </c>
      <c r="C27" s="58">
        <v>1</v>
      </c>
      <c r="D27" s="51">
        <v>1082.1099999999999</v>
      </c>
      <c r="E27" s="29"/>
    </row>
    <row r="28" spans="1:5">
      <c r="A28" s="7">
        <f t="shared" si="0"/>
        <v>24</v>
      </c>
      <c r="B28" s="29" t="s">
        <v>270</v>
      </c>
      <c r="C28" s="7">
        <v>1</v>
      </c>
      <c r="D28" s="52">
        <v>856.04</v>
      </c>
      <c r="E28" s="29"/>
    </row>
    <row r="29" spans="1:5">
      <c r="A29" s="7">
        <f t="shared" si="0"/>
        <v>25</v>
      </c>
      <c r="B29" s="29" t="s">
        <v>239</v>
      </c>
      <c r="C29" s="7"/>
      <c r="D29" s="52">
        <v>490.62</v>
      </c>
      <c r="E29" s="29"/>
    </row>
    <row r="30" spans="1:5">
      <c r="A30" s="7">
        <f t="shared" si="0"/>
        <v>26</v>
      </c>
      <c r="B30" s="37" t="s">
        <v>133</v>
      </c>
      <c r="C30" s="58">
        <v>1</v>
      </c>
      <c r="D30" s="52">
        <v>1314.07</v>
      </c>
      <c r="E30" s="29"/>
    </row>
    <row r="31" spans="1:5">
      <c r="A31" s="7">
        <f t="shared" si="0"/>
        <v>27</v>
      </c>
      <c r="B31" s="37" t="s">
        <v>290</v>
      </c>
      <c r="C31" s="58"/>
      <c r="D31" s="52">
        <v>517.85</v>
      </c>
      <c r="E31" s="29"/>
    </row>
    <row r="32" spans="1:5">
      <c r="A32" s="7">
        <f t="shared" si="0"/>
        <v>28</v>
      </c>
      <c r="B32" s="37" t="s">
        <v>271</v>
      </c>
      <c r="C32" s="58">
        <v>1</v>
      </c>
      <c r="D32" s="52">
        <v>890.18</v>
      </c>
      <c r="E32" s="29"/>
    </row>
    <row r="33" spans="1:6">
      <c r="A33" s="7">
        <f t="shared" si="0"/>
        <v>29</v>
      </c>
      <c r="B33" s="37" t="s">
        <v>287</v>
      </c>
      <c r="C33" s="58"/>
      <c r="D33" s="52">
        <v>1214.6500000000001</v>
      </c>
      <c r="E33" s="29"/>
    </row>
    <row r="34" spans="1:6">
      <c r="A34" s="7">
        <f t="shared" si="0"/>
        <v>30</v>
      </c>
      <c r="B34" s="29" t="s">
        <v>219</v>
      </c>
      <c r="C34" s="7"/>
      <c r="D34" s="51">
        <v>432.26</v>
      </c>
      <c r="E34" s="29"/>
    </row>
    <row r="35" spans="1:6">
      <c r="A35" s="7">
        <f t="shared" si="0"/>
        <v>31</v>
      </c>
      <c r="B35" s="37" t="s">
        <v>233</v>
      </c>
      <c r="C35" s="58"/>
      <c r="D35" s="51">
        <v>1296.78</v>
      </c>
      <c r="E35" s="29"/>
    </row>
    <row r="36" spans="1:6">
      <c r="A36" s="7">
        <f t="shared" si="0"/>
        <v>32</v>
      </c>
      <c r="B36" s="37" t="s">
        <v>214</v>
      </c>
      <c r="C36" s="58">
        <v>1</v>
      </c>
      <c r="D36" s="52">
        <v>1438.72</v>
      </c>
      <c r="E36" s="29"/>
    </row>
    <row r="37" spans="1:6">
      <c r="A37" s="7">
        <f t="shared" si="0"/>
        <v>33</v>
      </c>
      <c r="B37" s="37" t="s">
        <v>284</v>
      </c>
      <c r="C37" s="58">
        <v>2</v>
      </c>
      <c r="D37" s="52">
        <v>1776.16</v>
      </c>
      <c r="E37" s="29"/>
    </row>
    <row r="38" spans="1:6">
      <c r="A38" s="7">
        <f t="shared" si="0"/>
        <v>34</v>
      </c>
      <c r="B38" s="29" t="s">
        <v>272</v>
      </c>
      <c r="C38" s="7"/>
      <c r="D38" s="52">
        <v>1173.1600000000001</v>
      </c>
      <c r="E38" s="29"/>
    </row>
    <row r="39" spans="1:6">
      <c r="A39" s="7">
        <f t="shared" si="0"/>
        <v>35</v>
      </c>
      <c r="B39" s="29" t="s">
        <v>207</v>
      </c>
      <c r="C39" s="7"/>
      <c r="D39" s="52">
        <v>442.64</v>
      </c>
      <c r="E39" s="29"/>
    </row>
    <row r="40" spans="1:6">
      <c r="A40" s="7">
        <f t="shared" si="0"/>
        <v>36</v>
      </c>
      <c r="B40" s="37" t="s">
        <v>90</v>
      </c>
      <c r="C40" s="58"/>
      <c r="D40" s="51">
        <v>922.88</v>
      </c>
      <c r="E40" s="29"/>
    </row>
    <row r="41" spans="1:6">
      <c r="A41" s="7">
        <f t="shared" si="0"/>
        <v>37</v>
      </c>
      <c r="B41" s="37" t="s">
        <v>134</v>
      </c>
      <c r="C41" s="58"/>
      <c r="D41" s="52">
        <v>500.99</v>
      </c>
      <c r="E41" s="29"/>
    </row>
    <row r="42" spans="1:6">
      <c r="A42" s="7">
        <f t="shared" si="0"/>
        <v>38</v>
      </c>
      <c r="B42" s="37" t="s">
        <v>273</v>
      </c>
      <c r="C42" s="58"/>
      <c r="D42" s="52">
        <v>675.62</v>
      </c>
      <c r="E42" s="29"/>
    </row>
    <row r="43" spans="1:6">
      <c r="A43" s="7">
        <f t="shared" si="0"/>
        <v>39</v>
      </c>
      <c r="B43" s="29" t="s">
        <v>41</v>
      </c>
      <c r="C43" s="58"/>
      <c r="D43" s="51">
        <v>1296.78</v>
      </c>
      <c r="E43" s="29"/>
    </row>
    <row r="44" spans="1:6">
      <c r="A44" s="7">
        <f t="shared" si="0"/>
        <v>40</v>
      </c>
      <c r="B44" s="29" t="s">
        <v>288</v>
      </c>
      <c r="C44" s="58"/>
      <c r="D44" s="51">
        <v>843.77</v>
      </c>
      <c r="E44" s="29"/>
    </row>
    <row r="45" spans="1:6">
      <c r="A45" s="7">
        <f t="shared" si="0"/>
        <v>41</v>
      </c>
      <c r="B45" s="29" t="s">
        <v>238</v>
      </c>
      <c r="C45" s="58"/>
      <c r="D45" s="51">
        <v>1276.04</v>
      </c>
      <c r="E45" s="29"/>
    </row>
    <row r="46" spans="1:6">
      <c r="A46" s="7">
        <f t="shared" si="0"/>
        <v>42</v>
      </c>
      <c r="B46" s="29" t="s">
        <v>157</v>
      </c>
      <c r="C46" s="58"/>
      <c r="D46" s="51">
        <v>737.44</v>
      </c>
      <c r="E46" s="29"/>
      <c r="F46" s="67" t="s">
        <v>275</v>
      </c>
    </row>
    <row r="47" spans="1:6">
      <c r="A47" s="7">
        <f t="shared" si="0"/>
        <v>43</v>
      </c>
      <c r="B47" s="37" t="s">
        <v>150</v>
      </c>
      <c r="C47" s="58"/>
      <c r="D47" s="51">
        <v>586.58000000000004</v>
      </c>
      <c r="E47" s="29"/>
    </row>
    <row r="48" spans="1:6">
      <c r="A48" s="7">
        <f t="shared" si="0"/>
        <v>44</v>
      </c>
      <c r="B48" s="29" t="s">
        <v>33</v>
      </c>
      <c r="C48" s="58">
        <v>1</v>
      </c>
      <c r="D48" s="51">
        <v>1010.63</v>
      </c>
      <c r="E48" s="29"/>
    </row>
    <row r="49" spans="1:5">
      <c r="A49" s="7">
        <f t="shared" si="0"/>
        <v>45</v>
      </c>
      <c r="B49" s="37" t="s">
        <v>34</v>
      </c>
      <c r="C49" s="58"/>
      <c r="D49" s="53">
        <v>806.17</v>
      </c>
      <c r="E49" s="29"/>
    </row>
    <row r="50" spans="1:5">
      <c r="A50" s="7">
        <f t="shared" si="0"/>
        <v>46</v>
      </c>
      <c r="B50" s="29" t="s">
        <v>91</v>
      </c>
      <c r="C50" s="7"/>
      <c r="D50" s="53">
        <v>517.85</v>
      </c>
      <c r="E50" s="29"/>
    </row>
    <row r="52" spans="1:5">
      <c r="A52" s="101" t="s">
        <v>289</v>
      </c>
      <c r="B52" s="29" t="s">
        <v>254</v>
      </c>
      <c r="C52" s="7"/>
      <c r="D52" s="51">
        <v>453.01</v>
      </c>
      <c r="E52" s="29"/>
    </row>
    <row r="53" spans="1:5">
      <c r="A53" s="101" t="s">
        <v>289</v>
      </c>
      <c r="B53" s="37" t="s">
        <v>268</v>
      </c>
      <c r="C53" s="58"/>
      <c r="D53" s="51">
        <v>500.99</v>
      </c>
      <c r="E53" s="29"/>
    </row>
    <row r="54" spans="1:5">
      <c r="A54" s="81"/>
      <c r="B54" s="82"/>
      <c r="C54" s="58"/>
      <c r="D54" s="54"/>
      <c r="E54" s="29"/>
    </row>
    <row r="55" spans="1:5">
      <c r="A55" s="428" t="s">
        <v>253</v>
      </c>
      <c r="B55" s="429"/>
      <c r="C55" s="430"/>
      <c r="D55" s="83">
        <f>SUM(D5:D54)</f>
        <v>44609.32</v>
      </c>
      <c r="E55" s="84"/>
    </row>
    <row r="56" spans="1:5">
      <c r="A56" s="431" t="s">
        <v>258</v>
      </c>
      <c r="B56" s="432"/>
      <c r="C56" s="7">
        <f>COUNTA(B5:B54)</f>
        <v>48</v>
      </c>
      <c r="D56" s="52"/>
      <c r="E56" s="29"/>
    </row>
    <row r="57" spans="1:5">
      <c r="A57" s="431" t="s">
        <v>242</v>
      </c>
      <c r="B57" s="432"/>
      <c r="C57" s="58">
        <f ca="1">SUM(C5:C69)</f>
        <v>17</v>
      </c>
      <c r="D57" s="52"/>
      <c r="E57" s="29"/>
    </row>
    <row r="58" spans="1:5">
      <c r="A58" s="433" t="s">
        <v>246</v>
      </c>
      <c r="B58" s="434"/>
      <c r="C58" s="86">
        <f ca="1">SUM(C56:C57)</f>
        <v>0</v>
      </c>
      <c r="D58" s="52"/>
      <c r="E58" s="29"/>
    </row>
    <row r="59" spans="1:5">
      <c r="A59" s="425" t="s">
        <v>257</v>
      </c>
      <c r="B59" s="426"/>
      <c r="C59" s="427"/>
      <c r="D59" s="77"/>
      <c r="E59" s="75"/>
    </row>
    <row r="60" spans="1:5">
      <c r="A60" s="86"/>
      <c r="B60" s="98" t="s">
        <v>290</v>
      </c>
      <c r="C60" s="58"/>
      <c r="D60" s="52">
        <v>-490.43</v>
      </c>
      <c r="E60" s="29" t="s">
        <v>119</v>
      </c>
    </row>
    <row r="61" spans="1:5">
      <c r="A61" s="91"/>
      <c r="B61" s="37"/>
      <c r="C61" s="92"/>
      <c r="D61" s="94"/>
      <c r="E61" s="29"/>
    </row>
    <row r="62" spans="1:5">
      <c r="A62" s="91"/>
      <c r="B62" s="93"/>
      <c r="C62" s="92"/>
      <c r="D62" s="94"/>
      <c r="E62" s="29"/>
    </row>
    <row r="63" spans="1:5">
      <c r="A63" s="428" t="s">
        <v>265</v>
      </c>
      <c r="B63" s="429"/>
      <c r="C63" s="430"/>
      <c r="D63" s="83">
        <f>SUM(D60:D62)</f>
        <v>-490.43</v>
      </c>
      <c r="E63" s="75"/>
    </row>
    <row r="64" spans="1:5">
      <c r="A64" s="422" t="s">
        <v>37</v>
      </c>
      <c r="B64" s="423"/>
      <c r="C64" s="424"/>
      <c r="D64" s="80">
        <f>SUM(D55+D63)</f>
        <v>44118.89</v>
      </c>
      <c r="E64" s="84"/>
    </row>
    <row r="65" spans="1:5">
      <c r="D65" s="72" t="s">
        <v>250</v>
      </c>
      <c r="E65" s="95">
        <v>43787</v>
      </c>
    </row>
    <row r="66" spans="1:5">
      <c r="D66" s="73" t="s">
        <v>251</v>
      </c>
      <c r="E66" s="74" t="s">
        <v>252</v>
      </c>
    </row>
    <row r="69" spans="1:5">
      <c r="A69" s="7">
        <f>A50+1</f>
        <v>47</v>
      </c>
      <c r="B69" s="37" t="s">
        <v>215</v>
      </c>
      <c r="C69" s="58"/>
      <c r="D69" s="54">
        <v>562.55999999999995</v>
      </c>
      <c r="E69" s="29" t="s">
        <v>292</v>
      </c>
    </row>
  </sheetData>
  <mergeCells count="7">
    <mergeCell ref="A64:C64"/>
    <mergeCell ref="A55:C55"/>
    <mergeCell ref="A56:B56"/>
    <mergeCell ref="A57:B57"/>
    <mergeCell ref="A58:B58"/>
    <mergeCell ref="A59:C59"/>
    <mergeCell ref="A63:C63"/>
  </mergeCells>
  <conditionalFormatting sqref="B1:B1048576">
    <cfRule type="duplicateValues" dxfId="80" priority="2"/>
  </conditionalFormatting>
  <conditionalFormatting sqref="B26">
    <cfRule type="duplicateValues" dxfId="79" priority="12"/>
    <cfRule type="duplicateValues" dxfId="78" priority="13"/>
    <cfRule type="duplicateValues" dxfId="77" priority="14"/>
  </conditionalFormatting>
  <conditionalFormatting sqref="B60">
    <cfRule type="duplicateValues" dxfId="76" priority="5"/>
    <cfRule type="duplicateValues" dxfId="75" priority="6"/>
  </conditionalFormatting>
  <conditionalFormatting sqref="B61">
    <cfRule type="duplicateValues" dxfId="74" priority="1"/>
  </conditionalFormatting>
  <conditionalFormatting sqref="B67:B68 B70:B1048576">
    <cfRule type="duplicateValues" dxfId="73" priority="25"/>
  </conditionalFormatting>
  <conditionalFormatting sqref="B69 B1:B50 B52:B59 B61:B66">
    <cfRule type="duplicateValues" dxfId="72" priority="26"/>
  </conditionalFormatting>
  <conditionalFormatting sqref="B69 B5:B50 B52:B54">
    <cfRule type="duplicateValues" dxfId="71" priority="27"/>
  </conditionalFormatting>
  <conditionalFormatting sqref="B16:C16">
    <cfRule type="duplicateValues" dxfId="70" priority="22"/>
    <cfRule type="duplicateValues" dxfId="69" priority="23"/>
    <cfRule type="duplicateValues" dxfId="68" priority="24"/>
  </conditionalFormatting>
  <conditionalFormatting sqref="B20:C20">
    <cfRule type="duplicateValues" dxfId="67" priority="19"/>
    <cfRule type="duplicateValues" dxfId="66" priority="20"/>
    <cfRule type="duplicateValues" dxfId="65" priority="21"/>
  </conditionalFormatting>
  <conditionalFormatting sqref="B21:C21">
    <cfRule type="duplicateValues" dxfId="64" priority="16"/>
    <cfRule type="duplicateValues" dxfId="63" priority="17"/>
    <cfRule type="duplicateValues" dxfId="62" priority="18"/>
  </conditionalFormatting>
  <conditionalFormatting sqref="C5:C50 C52:C54 C69">
    <cfRule type="notContainsBlanks" dxfId="61" priority="15">
      <formula>LEN(TRIM(C5))&gt;0</formula>
    </cfRule>
  </conditionalFormatting>
  <conditionalFormatting sqref="C60">
    <cfRule type="notContainsBlanks" dxfId="60" priority="4">
      <formula>LEN(TRIM(C60))&gt;0</formula>
    </cfRule>
  </conditionalFormatting>
  <conditionalFormatting sqref="E5:E50 E69">
    <cfRule type="notContainsBlanks" dxfId="59" priority="11">
      <formula>LEN(TRIM(E5))&gt;0</formula>
    </cfRule>
  </conditionalFormatting>
  <conditionalFormatting sqref="E52:E64">
    <cfRule type="notContainsBlanks" dxfId="58" priority="3">
      <formula>LEN(TRIM(E52))&gt;0</formula>
    </cfRule>
  </conditionalFormatting>
  <pageMargins left="1" right="1" top="1" bottom="1" header="0.5" footer="0.5"/>
  <pageSetup scale="75" fitToWidth="0" orientation="portrait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2B11-DDE4-3D40-9C22-4CE4DB43AE24}">
  <sheetPr>
    <tabColor theme="9" tint="0.59999389629810485"/>
    <pageSetUpPr fitToPage="1"/>
  </sheetPr>
  <dimension ref="A1:F70"/>
  <sheetViews>
    <sheetView zoomScale="110" zoomScaleNormal="110" zoomScalePageLayoutView="140" workbookViewId="0">
      <selection activeCell="K9" sqref="K9"/>
    </sheetView>
  </sheetViews>
  <sheetFormatPr baseColWidth="10" defaultColWidth="8.83203125" defaultRowHeight="13"/>
  <cols>
    <col min="1" max="1" width="5.6640625" customWidth="1"/>
    <col min="2" max="2" width="23.5" customWidth="1"/>
    <col min="3" max="3" width="10.5" style="3" bestFit="1" customWidth="1"/>
    <col min="4" max="4" width="13.1640625" customWidth="1"/>
    <col min="5" max="5" width="15.83203125" customWidth="1"/>
    <col min="6" max="6" width="13.6640625" customWidth="1"/>
    <col min="8" max="8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96">
        <v>43770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539.76</v>
      </c>
      <c r="E5" s="29"/>
    </row>
    <row r="6" spans="1:5">
      <c r="A6" s="7">
        <f>A5+1</f>
        <v>2</v>
      </c>
      <c r="B6" s="29" t="s">
        <v>72</v>
      </c>
      <c r="C6" s="7"/>
      <c r="D6" s="51">
        <v>1079.0999999999999</v>
      </c>
      <c r="E6" s="29"/>
    </row>
    <row r="7" spans="1:5">
      <c r="A7" s="7">
        <f>A6+1</f>
        <v>3</v>
      </c>
      <c r="B7" s="29" t="s">
        <v>62</v>
      </c>
      <c r="C7" s="7"/>
      <c r="D7" s="51">
        <v>924.47</v>
      </c>
      <c r="E7" s="29"/>
    </row>
    <row r="8" spans="1:5">
      <c r="A8" s="7">
        <f t="shared" ref="A8:A50" si="0">A7+1</f>
        <v>4</v>
      </c>
      <c r="B8" s="37" t="s">
        <v>202</v>
      </c>
      <c r="C8" s="58"/>
      <c r="D8" s="51">
        <v>503.28</v>
      </c>
      <c r="E8" s="29"/>
    </row>
    <row r="9" spans="1:5">
      <c r="A9" s="7">
        <f t="shared" si="0"/>
        <v>5</v>
      </c>
      <c r="B9" s="37" t="s">
        <v>282</v>
      </c>
      <c r="C9" s="58"/>
      <c r="D9" s="51">
        <v>414.56</v>
      </c>
      <c r="E9" s="29"/>
    </row>
    <row r="10" spans="1:5">
      <c r="A10" s="7">
        <f t="shared" si="0"/>
        <v>6</v>
      </c>
      <c r="B10" s="29" t="s">
        <v>12</v>
      </c>
      <c r="C10" s="7">
        <v>1</v>
      </c>
      <c r="D10" s="51">
        <v>1369.29</v>
      </c>
      <c r="E10" s="29"/>
    </row>
    <row r="11" spans="1:5">
      <c r="A11" s="7">
        <f t="shared" si="0"/>
        <v>7</v>
      </c>
      <c r="B11" s="37" t="s">
        <v>48</v>
      </c>
      <c r="C11" s="58">
        <v>1</v>
      </c>
      <c r="D11" s="51">
        <v>801.66</v>
      </c>
      <c r="E11" s="29"/>
    </row>
    <row r="12" spans="1:5">
      <c r="A12" s="7">
        <f t="shared" si="0"/>
        <v>8</v>
      </c>
      <c r="B12" s="37" t="s">
        <v>269</v>
      </c>
      <c r="C12" s="58"/>
      <c r="D12" s="51">
        <v>598.63</v>
      </c>
      <c r="E12" s="29"/>
    </row>
    <row r="13" spans="1:5">
      <c r="A13" s="7">
        <f t="shared" si="0"/>
        <v>9</v>
      </c>
      <c r="B13" s="37" t="s">
        <v>205</v>
      </c>
      <c r="C13" s="58"/>
      <c r="D13" s="51">
        <v>434.46</v>
      </c>
      <c r="E13" s="29"/>
    </row>
    <row r="14" spans="1:5">
      <c r="A14" s="7">
        <f t="shared" si="0"/>
        <v>10</v>
      </c>
      <c r="B14" s="37" t="s">
        <v>236</v>
      </c>
      <c r="C14" s="58">
        <v>3</v>
      </c>
      <c r="D14" s="52">
        <v>1841.06</v>
      </c>
      <c r="E14" s="29"/>
    </row>
    <row r="15" spans="1:5">
      <c r="A15" s="97">
        <f t="shared" si="0"/>
        <v>11</v>
      </c>
      <c r="B15" s="98" t="s">
        <v>291</v>
      </c>
      <c r="C15" s="99">
        <v>1</v>
      </c>
      <c r="D15" s="100">
        <v>1201.7</v>
      </c>
      <c r="E15" s="29" t="s">
        <v>283</v>
      </c>
    </row>
    <row r="16" spans="1:5">
      <c r="A16" s="7">
        <f t="shared" si="0"/>
        <v>12</v>
      </c>
      <c r="B16" s="61" t="s">
        <v>230</v>
      </c>
      <c r="C16" s="62"/>
      <c r="D16" s="51">
        <v>1243.68</v>
      </c>
      <c r="E16" s="29"/>
    </row>
    <row r="17" spans="1:5">
      <c r="A17" s="7">
        <f t="shared" si="0"/>
        <v>13</v>
      </c>
      <c r="B17" s="29" t="s">
        <v>234</v>
      </c>
      <c r="C17" s="7"/>
      <c r="D17" s="51">
        <v>1125.1199999999999</v>
      </c>
      <c r="E17" s="29"/>
    </row>
    <row r="18" spans="1:5">
      <c r="A18" s="7">
        <f t="shared" si="0"/>
        <v>14</v>
      </c>
      <c r="B18" s="29" t="s">
        <v>237</v>
      </c>
      <c r="C18" s="7">
        <v>1</v>
      </c>
      <c r="D18" s="51">
        <v>795.02</v>
      </c>
      <c r="E18" s="29"/>
    </row>
    <row r="19" spans="1:5">
      <c r="A19" s="7">
        <f t="shared" si="0"/>
        <v>15</v>
      </c>
      <c r="B19" s="29" t="s">
        <v>156</v>
      </c>
      <c r="C19" s="7"/>
      <c r="D19" s="51">
        <v>434.46</v>
      </c>
      <c r="E19" s="29"/>
    </row>
    <row r="20" spans="1:5">
      <c r="A20" s="7">
        <f t="shared" si="0"/>
        <v>16</v>
      </c>
      <c r="B20" s="61" t="s">
        <v>228</v>
      </c>
      <c r="C20" s="62"/>
      <c r="D20" s="51">
        <v>845.7</v>
      </c>
      <c r="E20" s="29"/>
    </row>
    <row r="21" spans="1:5">
      <c r="A21" s="7">
        <f t="shared" si="0"/>
        <v>17</v>
      </c>
      <c r="B21" s="61" t="s">
        <v>229</v>
      </c>
      <c r="C21" s="62"/>
      <c r="D21" s="51">
        <v>1191.03</v>
      </c>
      <c r="E21" s="29"/>
    </row>
    <row r="22" spans="1:5">
      <c r="A22" s="7">
        <f t="shared" si="0"/>
        <v>18</v>
      </c>
      <c r="B22" s="29" t="s">
        <v>235</v>
      </c>
      <c r="C22" s="7"/>
      <c r="D22" s="51">
        <v>707.24</v>
      </c>
      <c r="E22" s="29"/>
    </row>
    <row r="23" spans="1:5">
      <c r="A23" s="7">
        <f t="shared" si="0"/>
        <v>19</v>
      </c>
      <c r="B23" s="37" t="s">
        <v>63</v>
      </c>
      <c r="C23" s="58">
        <v>2</v>
      </c>
      <c r="D23" s="52">
        <v>1260.8900000000001</v>
      </c>
      <c r="E23" s="29"/>
    </row>
    <row r="24" spans="1:5">
      <c r="A24" s="7">
        <f t="shared" si="0"/>
        <v>20</v>
      </c>
      <c r="B24" s="37" t="s">
        <v>168</v>
      </c>
      <c r="C24" s="58"/>
      <c r="D24" s="51">
        <v>1125.1199999999999</v>
      </c>
      <c r="E24" s="29"/>
    </row>
    <row r="25" spans="1:5">
      <c r="A25" s="7">
        <f t="shared" si="0"/>
        <v>21</v>
      </c>
      <c r="B25" s="37" t="s">
        <v>88</v>
      </c>
      <c r="C25" s="58"/>
      <c r="D25" s="51">
        <v>1056.3</v>
      </c>
      <c r="E25" s="29"/>
    </row>
    <row r="26" spans="1:5">
      <c r="A26" s="7">
        <f t="shared" si="0"/>
        <v>22</v>
      </c>
      <c r="B26" s="55" t="s">
        <v>232</v>
      </c>
      <c r="C26" s="7"/>
      <c r="D26" s="51">
        <v>598.63</v>
      </c>
      <c r="E26" s="29"/>
    </row>
    <row r="27" spans="1:5">
      <c r="A27" s="7">
        <f t="shared" si="0"/>
        <v>23</v>
      </c>
      <c r="B27" s="37" t="s">
        <v>231</v>
      </c>
      <c r="C27" s="58">
        <v>1</v>
      </c>
      <c r="D27" s="51">
        <v>1008.94</v>
      </c>
      <c r="E27" s="29"/>
    </row>
    <row r="28" spans="1:5">
      <c r="A28" s="7">
        <f t="shared" si="0"/>
        <v>24</v>
      </c>
      <c r="B28" s="29" t="s">
        <v>270</v>
      </c>
      <c r="C28" s="7">
        <v>1</v>
      </c>
      <c r="D28" s="52">
        <v>811.61</v>
      </c>
      <c r="E28" s="29"/>
    </row>
    <row r="29" spans="1:5">
      <c r="A29" s="7">
        <f t="shared" si="0"/>
        <v>25</v>
      </c>
      <c r="B29" s="29" t="s">
        <v>239</v>
      </c>
      <c r="C29" s="7"/>
      <c r="D29" s="52">
        <v>463.89</v>
      </c>
      <c r="E29" s="29"/>
    </row>
    <row r="30" spans="1:5">
      <c r="A30" s="7">
        <f t="shared" si="0"/>
        <v>26</v>
      </c>
      <c r="B30" s="37" t="s">
        <v>133</v>
      </c>
      <c r="C30" s="58">
        <v>1</v>
      </c>
      <c r="D30" s="52">
        <v>1223.78</v>
      </c>
      <c r="E30" s="29"/>
    </row>
    <row r="31" spans="1:5">
      <c r="A31" s="97">
        <f t="shared" si="0"/>
        <v>27</v>
      </c>
      <c r="B31" s="98" t="s">
        <v>290</v>
      </c>
      <c r="C31" s="99"/>
      <c r="D31" s="100">
        <v>490.43</v>
      </c>
      <c r="E31" s="29" t="s">
        <v>283</v>
      </c>
    </row>
    <row r="32" spans="1:5">
      <c r="A32" s="7">
        <f t="shared" si="0"/>
        <v>28</v>
      </c>
      <c r="B32" s="37" t="s">
        <v>271</v>
      </c>
      <c r="C32" s="58">
        <v>1</v>
      </c>
      <c r="D32" s="52">
        <v>847.67</v>
      </c>
      <c r="E32" s="29"/>
    </row>
    <row r="33" spans="1:6">
      <c r="A33" s="7">
        <f t="shared" si="0"/>
        <v>29</v>
      </c>
      <c r="B33" s="37" t="s">
        <v>287</v>
      </c>
      <c r="C33" s="58"/>
      <c r="D33" s="52">
        <v>1125.1199999999999</v>
      </c>
      <c r="E33" s="75"/>
    </row>
    <row r="34" spans="1:6">
      <c r="A34" s="7">
        <f t="shared" si="0"/>
        <v>30</v>
      </c>
      <c r="B34" s="29" t="s">
        <v>219</v>
      </c>
      <c r="C34" s="7"/>
      <c r="D34" s="51">
        <v>414.56</v>
      </c>
      <c r="E34" s="29"/>
    </row>
    <row r="35" spans="1:6">
      <c r="A35" s="7">
        <f t="shared" si="0"/>
        <v>31</v>
      </c>
      <c r="B35" s="37" t="s">
        <v>233</v>
      </c>
      <c r="C35" s="58"/>
      <c r="D35" s="51">
        <v>1243.68</v>
      </c>
      <c r="E35" s="29"/>
    </row>
    <row r="36" spans="1:6">
      <c r="A36" s="7">
        <f t="shared" si="0"/>
        <v>32</v>
      </c>
      <c r="B36" s="37" t="s">
        <v>214</v>
      </c>
      <c r="C36" s="58">
        <v>1</v>
      </c>
      <c r="D36" s="52">
        <v>1326.49</v>
      </c>
      <c r="E36" s="29"/>
    </row>
    <row r="37" spans="1:6">
      <c r="A37" s="7">
        <f t="shared" si="0"/>
        <v>33</v>
      </c>
      <c r="B37" s="37" t="s">
        <v>284</v>
      </c>
      <c r="C37" s="58">
        <v>2</v>
      </c>
      <c r="D37" s="52">
        <v>1650.36</v>
      </c>
      <c r="E37" s="29"/>
    </row>
    <row r="38" spans="1:6">
      <c r="A38" s="7">
        <f t="shared" si="0"/>
        <v>34</v>
      </c>
      <c r="B38" s="29" t="s">
        <v>272</v>
      </c>
      <c r="C38" s="7"/>
      <c r="D38" s="52">
        <v>1079.0999999999999</v>
      </c>
      <c r="E38" s="29"/>
    </row>
    <row r="39" spans="1:6">
      <c r="A39" s="7">
        <f t="shared" si="0"/>
        <v>35</v>
      </c>
      <c r="B39" s="29" t="s">
        <v>207</v>
      </c>
      <c r="C39" s="7"/>
      <c r="D39" s="52">
        <v>416.22</v>
      </c>
      <c r="E39" s="29"/>
    </row>
    <row r="40" spans="1:6">
      <c r="A40" s="7">
        <f t="shared" si="0"/>
        <v>36</v>
      </c>
      <c r="B40" s="37" t="s">
        <v>90</v>
      </c>
      <c r="C40" s="58"/>
      <c r="D40" s="51">
        <v>845.7</v>
      </c>
      <c r="E40" s="29"/>
    </row>
    <row r="41" spans="1:6">
      <c r="A41" s="7">
        <f t="shared" si="0"/>
        <v>37</v>
      </c>
      <c r="B41" s="37" t="s">
        <v>134</v>
      </c>
      <c r="C41" s="58"/>
      <c r="D41" s="52">
        <v>470.53</v>
      </c>
      <c r="E41" s="29"/>
    </row>
    <row r="42" spans="1:6">
      <c r="A42" s="7">
        <f t="shared" si="0"/>
        <v>38</v>
      </c>
      <c r="B42" s="37" t="s">
        <v>273</v>
      </c>
      <c r="C42" s="58"/>
      <c r="D42" s="52">
        <v>621.84</v>
      </c>
      <c r="E42" s="29"/>
    </row>
    <row r="43" spans="1:6">
      <c r="A43" s="7">
        <f t="shared" si="0"/>
        <v>39</v>
      </c>
      <c r="B43" s="29" t="s">
        <v>41</v>
      </c>
      <c r="C43" s="58"/>
      <c r="D43" s="51">
        <v>1243.68</v>
      </c>
      <c r="E43" s="29"/>
    </row>
    <row r="44" spans="1:6">
      <c r="A44" s="7">
        <f t="shared" si="0"/>
        <v>40</v>
      </c>
      <c r="B44" s="29" t="s">
        <v>288</v>
      </c>
      <c r="C44" s="58"/>
      <c r="D44" s="51">
        <v>773.16</v>
      </c>
      <c r="E44" s="75" t="s">
        <v>283</v>
      </c>
    </row>
    <row r="45" spans="1:6">
      <c r="A45" s="7">
        <f t="shared" si="0"/>
        <v>41</v>
      </c>
      <c r="B45" s="29" t="s">
        <v>238</v>
      </c>
      <c r="C45" s="58"/>
      <c r="D45" s="51">
        <v>1191.03</v>
      </c>
      <c r="E45" s="29"/>
    </row>
    <row r="46" spans="1:6">
      <c r="A46" s="7">
        <f t="shared" si="0"/>
        <v>42</v>
      </c>
      <c r="B46" s="29" t="s">
        <v>157</v>
      </c>
      <c r="C46" s="58"/>
      <c r="D46" s="51">
        <v>677.81</v>
      </c>
      <c r="E46" s="29"/>
      <c r="F46" s="67"/>
    </row>
    <row r="47" spans="1:6">
      <c r="A47" s="7">
        <f t="shared" si="0"/>
        <v>43</v>
      </c>
      <c r="B47" s="37" t="s">
        <v>150</v>
      </c>
      <c r="C47" s="58"/>
      <c r="D47" s="51">
        <v>549.29</v>
      </c>
      <c r="E47" s="29"/>
    </row>
    <row r="48" spans="1:6">
      <c r="A48" s="7">
        <f t="shared" si="0"/>
        <v>44</v>
      </c>
      <c r="B48" s="29" t="s">
        <v>33</v>
      </c>
      <c r="C48" s="58">
        <v>1</v>
      </c>
      <c r="D48" s="51">
        <v>955.04</v>
      </c>
      <c r="E48" s="29"/>
    </row>
    <row r="49" spans="1:5">
      <c r="A49" s="7">
        <f t="shared" si="0"/>
        <v>45</v>
      </c>
      <c r="B49" s="37" t="s">
        <v>34</v>
      </c>
      <c r="C49" s="58"/>
      <c r="D49" s="53">
        <v>740.41</v>
      </c>
      <c r="E49" s="29"/>
    </row>
    <row r="50" spans="1:5">
      <c r="A50" s="7">
        <f t="shared" si="0"/>
        <v>46</v>
      </c>
      <c r="B50" s="29" t="s">
        <v>91</v>
      </c>
      <c r="C50" s="7"/>
      <c r="D50" s="53">
        <v>490.43</v>
      </c>
      <c r="E50" s="29"/>
    </row>
    <row r="52" spans="1:5">
      <c r="A52" s="101" t="s">
        <v>289</v>
      </c>
      <c r="B52" s="29" t="s">
        <v>254</v>
      </c>
      <c r="C52" s="7"/>
      <c r="D52" s="51">
        <v>424.51</v>
      </c>
      <c r="E52" s="29"/>
    </row>
    <row r="53" spans="1:5">
      <c r="A53" s="101" t="s">
        <v>289</v>
      </c>
      <c r="B53" s="37" t="s">
        <v>268</v>
      </c>
      <c r="C53" s="58"/>
      <c r="D53" s="51">
        <v>470.53</v>
      </c>
      <c r="E53" s="29"/>
    </row>
    <row r="54" spans="1:5">
      <c r="A54" s="81"/>
      <c r="B54" s="82"/>
      <c r="C54" s="58"/>
      <c r="D54" s="54"/>
      <c r="E54" s="29"/>
    </row>
    <row r="55" spans="1:5">
      <c r="A55" s="428" t="s">
        <v>253</v>
      </c>
      <c r="B55" s="429"/>
      <c r="C55" s="430"/>
      <c r="D55" s="83">
        <f>SUM(D5:D54)</f>
        <v>41646.97</v>
      </c>
      <c r="E55" s="84"/>
    </row>
    <row r="56" spans="1:5">
      <c r="A56" s="431" t="s">
        <v>258</v>
      </c>
      <c r="B56" s="432"/>
      <c r="C56" s="7">
        <f>COUNTA(B5:B54)</f>
        <v>48</v>
      </c>
      <c r="D56" s="52"/>
      <c r="E56" s="29"/>
    </row>
    <row r="57" spans="1:5">
      <c r="A57" s="431" t="s">
        <v>242</v>
      </c>
      <c r="B57" s="432"/>
      <c r="C57" s="58">
        <f ca="1">SUM(C5:C70)</f>
        <v>17</v>
      </c>
      <c r="D57" s="52"/>
      <c r="E57" s="29"/>
    </row>
    <row r="58" spans="1:5">
      <c r="A58" s="433" t="s">
        <v>246</v>
      </c>
      <c r="B58" s="434"/>
      <c r="C58" s="86">
        <f ca="1">SUM(C56:C57)</f>
        <v>0</v>
      </c>
      <c r="D58" s="52"/>
      <c r="E58" s="29"/>
    </row>
    <row r="59" spans="1:5">
      <c r="A59" s="425" t="s">
        <v>257</v>
      </c>
      <c r="B59" s="426"/>
      <c r="C59" s="427"/>
      <c r="D59" s="77"/>
      <c r="E59" s="75"/>
    </row>
    <row r="60" spans="1:5">
      <c r="A60" s="86"/>
      <c r="B60" s="98" t="s">
        <v>291</v>
      </c>
      <c r="C60" s="58">
        <v>1</v>
      </c>
      <c r="D60" s="52">
        <v>1201.7</v>
      </c>
      <c r="E60" s="29" t="s">
        <v>293</v>
      </c>
    </row>
    <row r="61" spans="1:5">
      <c r="A61" s="86"/>
      <c r="B61" s="98" t="s">
        <v>290</v>
      </c>
      <c r="C61" s="58"/>
      <c r="D61" s="52">
        <v>980.86</v>
      </c>
      <c r="E61" s="29" t="s">
        <v>293</v>
      </c>
    </row>
    <row r="62" spans="1:5">
      <c r="A62" s="91"/>
      <c r="B62" s="37" t="s">
        <v>215</v>
      </c>
      <c r="C62" s="92"/>
      <c r="D62" s="94">
        <v>-1125.1199999999999</v>
      </c>
      <c r="E62" s="29" t="s">
        <v>292</v>
      </c>
    </row>
    <row r="63" spans="1:5">
      <c r="A63" s="91"/>
      <c r="B63" s="93"/>
      <c r="C63" s="92"/>
      <c r="D63" s="94"/>
      <c r="E63" s="29"/>
    </row>
    <row r="64" spans="1:5">
      <c r="A64" s="428" t="s">
        <v>265</v>
      </c>
      <c r="B64" s="429"/>
      <c r="C64" s="430"/>
      <c r="D64" s="83">
        <f>SUM(D60:D63)</f>
        <v>1057.44</v>
      </c>
      <c r="E64" s="75"/>
    </row>
    <row r="65" spans="1:5">
      <c r="A65" s="422" t="s">
        <v>37</v>
      </c>
      <c r="B65" s="423"/>
      <c r="C65" s="424"/>
      <c r="D65" s="80">
        <f>SUM(D55+D64)</f>
        <v>42704.41</v>
      </c>
      <c r="E65" s="84"/>
    </row>
    <row r="66" spans="1:5">
      <c r="D66" s="72" t="s">
        <v>250</v>
      </c>
      <c r="E66" s="95">
        <v>43741</v>
      </c>
    </row>
    <row r="67" spans="1:5">
      <c r="D67" s="73" t="s">
        <v>251</v>
      </c>
      <c r="E67" s="74" t="s">
        <v>252</v>
      </c>
    </row>
    <row r="70" spans="1:5">
      <c r="A70" s="7">
        <f>A50+1</f>
        <v>47</v>
      </c>
      <c r="B70" s="37" t="s">
        <v>215</v>
      </c>
      <c r="C70" s="58"/>
      <c r="D70" s="54">
        <v>562.55999999999995</v>
      </c>
      <c r="E70" s="29" t="s">
        <v>292</v>
      </c>
    </row>
  </sheetData>
  <mergeCells count="7">
    <mergeCell ref="A64:C64"/>
    <mergeCell ref="A65:C65"/>
    <mergeCell ref="A55:C55"/>
    <mergeCell ref="A56:B56"/>
    <mergeCell ref="A57:B57"/>
    <mergeCell ref="A58:B58"/>
    <mergeCell ref="A59:C59"/>
  </mergeCells>
  <conditionalFormatting sqref="B1:B1048576">
    <cfRule type="duplicateValues" dxfId="57" priority="2"/>
  </conditionalFormatting>
  <conditionalFormatting sqref="B26">
    <cfRule type="duplicateValues" dxfId="56" priority="12"/>
    <cfRule type="duplicateValues" dxfId="55" priority="13"/>
    <cfRule type="duplicateValues" dxfId="54" priority="14"/>
  </conditionalFormatting>
  <conditionalFormatting sqref="B60">
    <cfRule type="duplicateValues" dxfId="53" priority="9"/>
    <cfRule type="duplicateValues" dxfId="52" priority="10"/>
  </conditionalFormatting>
  <conditionalFormatting sqref="B61">
    <cfRule type="duplicateValues" dxfId="51" priority="5"/>
    <cfRule type="duplicateValues" dxfId="50" priority="6"/>
  </conditionalFormatting>
  <conditionalFormatting sqref="B62">
    <cfRule type="duplicateValues" dxfId="49" priority="1"/>
  </conditionalFormatting>
  <conditionalFormatting sqref="B68:B69 B71:B1048576">
    <cfRule type="duplicateValues" dxfId="48" priority="27"/>
  </conditionalFormatting>
  <conditionalFormatting sqref="B70 B1:B50 B52:B59 B62:B67">
    <cfRule type="duplicateValues" dxfId="47" priority="54"/>
  </conditionalFormatting>
  <conditionalFormatting sqref="B70 B5:B50 B52:B54">
    <cfRule type="duplicateValues" dxfId="46" priority="56"/>
  </conditionalFormatting>
  <conditionalFormatting sqref="B16:C16">
    <cfRule type="duplicateValues" dxfId="45" priority="22"/>
    <cfRule type="duplicateValues" dxfId="44" priority="23"/>
    <cfRule type="duplicateValues" dxfId="43" priority="24"/>
  </conditionalFormatting>
  <conditionalFormatting sqref="B20:C20">
    <cfRule type="duplicateValues" dxfId="42" priority="19"/>
    <cfRule type="duplicateValues" dxfId="41" priority="20"/>
    <cfRule type="duplicateValues" dxfId="40" priority="21"/>
  </conditionalFormatting>
  <conditionalFormatting sqref="B21:C21">
    <cfRule type="duplicateValues" dxfId="39" priority="16"/>
    <cfRule type="duplicateValues" dxfId="38" priority="17"/>
    <cfRule type="duplicateValues" dxfId="37" priority="18"/>
  </conditionalFormatting>
  <conditionalFormatting sqref="C5:C50 C52:C54 C70">
    <cfRule type="notContainsBlanks" dxfId="36" priority="15">
      <formula>LEN(TRIM(C5))&gt;0</formula>
    </cfRule>
  </conditionalFormatting>
  <conditionalFormatting sqref="C60:C61">
    <cfRule type="notContainsBlanks" dxfId="35" priority="4">
      <formula>LEN(TRIM(C60))&gt;0</formula>
    </cfRule>
  </conditionalFormatting>
  <conditionalFormatting sqref="E5:E50 E70">
    <cfRule type="notContainsBlanks" dxfId="34" priority="11">
      <formula>LEN(TRIM(E5))&gt;0</formula>
    </cfRule>
  </conditionalFormatting>
  <conditionalFormatting sqref="E52:E65">
    <cfRule type="notContainsBlanks" dxfId="33" priority="3">
      <formula>LEN(TRIM(E52))&gt;0</formula>
    </cfRule>
  </conditionalFormatting>
  <pageMargins left="1" right="1" top="1" bottom="1" header="0.5" footer="0.5"/>
  <pageSetup scale="74" fitToWidth="0" orientation="portrait" r:id="rId1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0559-3A9E-2044-9916-BE74CE69F583}">
  <sheetPr>
    <tabColor theme="9" tint="0.59999389629810485"/>
    <pageSetUpPr fitToPage="1"/>
  </sheetPr>
  <dimension ref="A1:F66"/>
  <sheetViews>
    <sheetView zoomScale="120" zoomScaleNormal="120" zoomScalePageLayoutView="140" workbookViewId="0">
      <selection activeCell="D64" sqref="D64"/>
    </sheetView>
  </sheetViews>
  <sheetFormatPr baseColWidth="10" defaultColWidth="8.83203125" defaultRowHeight="13"/>
  <cols>
    <col min="1" max="1" width="4.1640625" customWidth="1"/>
    <col min="2" max="2" width="23.5" customWidth="1"/>
    <col min="3" max="3" width="10.5" style="3" bestFit="1" customWidth="1"/>
    <col min="4" max="4" width="13.1640625" customWidth="1"/>
    <col min="5" max="5" width="15.83203125" customWidth="1"/>
    <col min="6" max="6" width="13.6640625" customWidth="1"/>
    <col min="8" max="8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96">
        <v>43739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539.76</v>
      </c>
      <c r="E5" s="29"/>
    </row>
    <row r="6" spans="1:5">
      <c r="A6" s="7">
        <f>A5+1</f>
        <v>2</v>
      </c>
      <c r="B6" s="29" t="s">
        <v>72</v>
      </c>
      <c r="C6" s="7"/>
      <c r="D6" s="51">
        <v>1079.0999999999999</v>
      </c>
      <c r="E6" s="29"/>
    </row>
    <row r="7" spans="1:5">
      <c r="A7" s="7">
        <f>A6+1</f>
        <v>3</v>
      </c>
      <c r="B7" s="29" t="s">
        <v>254</v>
      </c>
      <c r="C7" s="7"/>
      <c r="D7" s="51">
        <v>424.51</v>
      </c>
      <c r="E7" s="29"/>
    </row>
    <row r="8" spans="1:5">
      <c r="A8" s="7">
        <f>A7+1</f>
        <v>4</v>
      </c>
      <c r="B8" s="29" t="s">
        <v>62</v>
      </c>
      <c r="C8" s="7"/>
      <c r="D8" s="51">
        <v>924.47</v>
      </c>
      <c r="E8" s="29"/>
    </row>
    <row r="9" spans="1:5">
      <c r="A9" s="7">
        <f t="shared" ref="A9:A51" si="0">A8+1</f>
        <v>5</v>
      </c>
      <c r="B9" s="37" t="s">
        <v>202</v>
      </c>
      <c r="C9" s="58"/>
      <c r="D9" s="51">
        <v>503.28</v>
      </c>
      <c r="E9" s="29"/>
    </row>
    <row r="10" spans="1:5">
      <c r="A10" s="7">
        <f t="shared" si="0"/>
        <v>6</v>
      </c>
      <c r="B10" s="37" t="s">
        <v>268</v>
      </c>
      <c r="C10" s="58"/>
      <c r="D10" s="51">
        <v>470.53</v>
      </c>
      <c r="E10" s="29"/>
    </row>
    <row r="11" spans="1:5">
      <c r="A11" s="7">
        <f t="shared" si="0"/>
        <v>7</v>
      </c>
      <c r="B11" s="37" t="s">
        <v>282</v>
      </c>
      <c r="C11" s="58"/>
      <c r="D11" s="51">
        <v>414.56</v>
      </c>
      <c r="E11" s="29"/>
    </row>
    <row r="12" spans="1:5">
      <c r="A12" s="7">
        <f t="shared" si="0"/>
        <v>8</v>
      </c>
      <c r="B12" s="29" t="s">
        <v>12</v>
      </c>
      <c r="C12" s="7">
        <v>1</v>
      </c>
      <c r="D12" s="51">
        <v>1369.29</v>
      </c>
      <c r="E12" s="29"/>
    </row>
    <row r="13" spans="1:5">
      <c r="A13" s="7">
        <f t="shared" si="0"/>
        <v>9</v>
      </c>
      <c r="B13" s="37" t="s">
        <v>48</v>
      </c>
      <c r="C13" s="58">
        <v>1</v>
      </c>
      <c r="D13" s="51">
        <v>801.66</v>
      </c>
      <c r="E13" s="29"/>
    </row>
    <row r="14" spans="1:5">
      <c r="A14" s="7">
        <f t="shared" si="0"/>
        <v>10</v>
      </c>
      <c r="B14" s="37" t="s">
        <v>269</v>
      </c>
      <c r="C14" s="58"/>
      <c r="D14" s="51">
        <v>598.63</v>
      </c>
      <c r="E14" s="29"/>
    </row>
    <row r="15" spans="1:5">
      <c r="A15" s="7">
        <f t="shared" si="0"/>
        <v>11</v>
      </c>
      <c r="B15" s="37" t="s">
        <v>205</v>
      </c>
      <c r="C15" s="58"/>
      <c r="D15" s="51">
        <v>434.46</v>
      </c>
      <c r="E15" s="29"/>
    </row>
    <row r="16" spans="1:5">
      <c r="A16" s="7">
        <f t="shared" si="0"/>
        <v>12</v>
      </c>
      <c r="B16" s="37" t="s">
        <v>236</v>
      </c>
      <c r="C16" s="58">
        <v>3</v>
      </c>
      <c r="D16" s="52">
        <v>1841.06</v>
      </c>
      <c r="E16" s="29"/>
    </row>
    <row r="17" spans="1:5">
      <c r="A17" s="7">
        <f t="shared" si="0"/>
        <v>13</v>
      </c>
      <c r="B17" s="61" t="s">
        <v>230</v>
      </c>
      <c r="C17" s="62"/>
      <c r="D17" s="51">
        <v>1243.68</v>
      </c>
      <c r="E17" s="29"/>
    </row>
    <row r="18" spans="1:5">
      <c r="A18" s="7">
        <f t="shared" si="0"/>
        <v>14</v>
      </c>
      <c r="B18" s="29" t="s">
        <v>234</v>
      </c>
      <c r="C18" s="7"/>
      <c r="D18" s="51">
        <v>1125.1199999999999</v>
      </c>
      <c r="E18" s="29"/>
    </row>
    <row r="19" spans="1:5">
      <c r="A19" s="7">
        <f t="shared" si="0"/>
        <v>15</v>
      </c>
      <c r="B19" s="29" t="s">
        <v>237</v>
      </c>
      <c r="C19" s="7">
        <v>1</v>
      </c>
      <c r="D19" s="51">
        <v>795.02</v>
      </c>
      <c r="E19" s="29"/>
    </row>
    <row r="20" spans="1:5">
      <c r="A20" s="7">
        <f t="shared" si="0"/>
        <v>16</v>
      </c>
      <c r="B20" s="29" t="s">
        <v>156</v>
      </c>
      <c r="C20" s="7"/>
      <c r="D20" s="51">
        <v>434.46</v>
      </c>
      <c r="E20" s="29"/>
    </row>
    <row r="21" spans="1:5">
      <c r="A21" s="7">
        <f t="shared" si="0"/>
        <v>17</v>
      </c>
      <c r="B21" s="61" t="s">
        <v>228</v>
      </c>
      <c r="C21" s="62"/>
      <c r="D21" s="51">
        <v>845.7</v>
      </c>
      <c r="E21" s="29"/>
    </row>
    <row r="22" spans="1:5">
      <c r="A22" s="7">
        <f t="shared" si="0"/>
        <v>18</v>
      </c>
      <c r="B22" s="61" t="s">
        <v>229</v>
      </c>
      <c r="C22" s="62"/>
      <c r="D22" s="51">
        <v>1191.03</v>
      </c>
      <c r="E22" s="29"/>
    </row>
    <row r="23" spans="1:5">
      <c r="A23" s="7">
        <f t="shared" si="0"/>
        <v>19</v>
      </c>
      <c r="B23" s="29" t="s">
        <v>235</v>
      </c>
      <c r="C23" s="7"/>
      <c r="D23" s="51">
        <v>707.24</v>
      </c>
      <c r="E23" s="29"/>
    </row>
    <row r="24" spans="1:5">
      <c r="A24" s="7">
        <f t="shared" si="0"/>
        <v>20</v>
      </c>
      <c r="B24" s="37" t="s">
        <v>63</v>
      </c>
      <c r="C24" s="58">
        <v>2</v>
      </c>
      <c r="D24" s="52">
        <v>1260.8900000000001</v>
      </c>
      <c r="E24" s="29"/>
    </row>
    <row r="25" spans="1:5">
      <c r="A25" s="7">
        <f t="shared" si="0"/>
        <v>21</v>
      </c>
      <c r="B25" s="37" t="s">
        <v>168</v>
      </c>
      <c r="C25" s="58"/>
      <c r="D25" s="51">
        <v>1125.1199999999999</v>
      </c>
      <c r="E25" s="29"/>
    </row>
    <row r="26" spans="1:5">
      <c r="A26" s="7">
        <f t="shared" si="0"/>
        <v>22</v>
      </c>
      <c r="B26" s="37" t="s">
        <v>88</v>
      </c>
      <c r="C26" s="58"/>
      <c r="D26" s="51">
        <v>1056.3</v>
      </c>
      <c r="E26" s="29"/>
    </row>
    <row r="27" spans="1:5">
      <c r="A27" s="7">
        <f t="shared" si="0"/>
        <v>23</v>
      </c>
      <c r="B27" s="55" t="s">
        <v>232</v>
      </c>
      <c r="C27" s="7"/>
      <c r="D27" s="51">
        <v>598.63</v>
      </c>
      <c r="E27" s="29"/>
    </row>
    <row r="28" spans="1:5">
      <c r="A28" s="7">
        <f t="shared" si="0"/>
        <v>24</v>
      </c>
      <c r="B28" s="37" t="s">
        <v>231</v>
      </c>
      <c r="C28" s="58">
        <v>1</v>
      </c>
      <c r="D28" s="51">
        <v>1008.94</v>
      </c>
      <c r="E28" s="29"/>
    </row>
    <row r="29" spans="1:5">
      <c r="A29" s="7">
        <f t="shared" si="0"/>
        <v>25</v>
      </c>
      <c r="B29" s="29" t="s">
        <v>270</v>
      </c>
      <c r="C29" s="7">
        <v>1</v>
      </c>
      <c r="D29" s="52">
        <v>811.61</v>
      </c>
      <c r="E29" s="29"/>
    </row>
    <row r="30" spans="1:5">
      <c r="A30" s="7">
        <f t="shared" si="0"/>
        <v>26</v>
      </c>
      <c r="B30" s="29" t="s">
        <v>239</v>
      </c>
      <c r="C30" s="7"/>
      <c r="D30" s="52">
        <v>463.89</v>
      </c>
      <c r="E30" s="29"/>
    </row>
    <row r="31" spans="1:5">
      <c r="A31" s="7">
        <f t="shared" si="0"/>
        <v>27</v>
      </c>
      <c r="B31" s="37" t="s">
        <v>133</v>
      </c>
      <c r="C31" s="58">
        <v>1</v>
      </c>
      <c r="D31" s="52">
        <v>1223.78</v>
      </c>
      <c r="E31" s="29"/>
    </row>
    <row r="32" spans="1:5">
      <c r="A32" s="7">
        <f t="shared" si="0"/>
        <v>28</v>
      </c>
      <c r="B32" s="37" t="s">
        <v>271</v>
      </c>
      <c r="C32" s="58">
        <v>1</v>
      </c>
      <c r="D32" s="52">
        <v>847.67</v>
      </c>
      <c r="E32" s="29"/>
    </row>
    <row r="33" spans="1:6">
      <c r="A33" s="76">
        <f t="shared" si="0"/>
        <v>29</v>
      </c>
      <c r="B33" s="85" t="s">
        <v>287</v>
      </c>
      <c r="C33" s="78"/>
      <c r="D33" s="77">
        <v>1125.1199999999999</v>
      </c>
      <c r="E33" s="75" t="s">
        <v>283</v>
      </c>
    </row>
    <row r="34" spans="1:6">
      <c r="A34" s="7">
        <f t="shared" si="0"/>
        <v>30</v>
      </c>
      <c r="B34" s="29" t="s">
        <v>219</v>
      </c>
      <c r="C34" s="7"/>
      <c r="D34" s="51">
        <v>414.56</v>
      </c>
      <c r="E34" s="29"/>
    </row>
    <row r="35" spans="1:6">
      <c r="A35" s="7">
        <f t="shared" si="0"/>
        <v>31</v>
      </c>
      <c r="B35" s="37" t="s">
        <v>233</v>
      </c>
      <c r="C35" s="58"/>
      <c r="D35" s="51">
        <v>1243.68</v>
      </c>
      <c r="E35" s="29"/>
    </row>
    <row r="36" spans="1:6">
      <c r="A36" s="7">
        <f t="shared" si="0"/>
        <v>32</v>
      </c>
      <c r="B36" s="37" t="s">
        <v>214</v>
      </c>
      <c r="C36" s="58">
        <v>1</v>
      </c>
      <c r="D36" s="52">
        <v>1326.49</v>
      </c>
      <c r="E36" s="29"/>
    </row>
    <row r="37" spans="1:6">
      <c r="A37" s="7">
        <f t="shared" si="0"/>
        <v>33</v>
      </c>
      <c r="B37" s="37" t="s">
        <v>284</v>
      </c>
      <c r="C37" s="58">
        <v>2</v>
      </c>
      <c r="D37" s="52">
        <v>1650.36</v>
      </c>
      <c r="E37" s="29"/>
    </row>
    <row r="38" spans="1:6">
      <c r="A38" s="7">
        <f t="shared" si="0"/>
        <v>34</v>
      </c>
      <c r="B38" s="29" t="s">
        <v>272</v>
      </c>
      <c r="C38" s="7"/>
      <c r="D38" s="52">
        <v>1079.0999999999999</v>
      </c>
      <c r="E38" s="29"/>
    </row>
    <row r="39" spans="1:6">
      <c r="A39" s="7">
        <f t="shared" si="0"/>
        <v>35</v>
      </c>
      <c r="B39" s="29" t="s">
        <v>207</v>
      </c>
      <c r="C39" s="7"/>
      <c r="D39" s="52">
        <v>416.22</v>
      </c>
      <c r="E39" s="29"/>
    </row>
    <row r="40" spans="1:6">
      <c r="A40" s="7">
        <f t="shared" si="0"/>
        <v>36</v>
      </c>
      <c r="B40" s="37" t="s">
        <v>90</v>
      </c>
      <c r="C40" s="58"/>
      <c r="D40" s="51">
        <v>845.7</v>
      </c>
      <c r="E40" s="29"/>
    </row>
    <row r="41" spans="1:6">
      <c r="A41" s="7">
        <f t="shared" si="0"/>
        <v>37</v>
      </c>
      <c r="B41" s="37" t="s">
        <v>134</v>
      </c>
      <c r="C41" s="58"/>
      <c r="D41" s="52">
        <v>470.53</v>
      </c>
      <c r="E41" s="29"/>
    </row>
    <row r="42" spans="1:6">
      <c r="A42" s="7">
        <f t="shared" si="0"/>
        <v>38</v>
      </c>
      <c r="B42" s="37" t="s">
        <v>273</v>
      </c>
      <c r="C42" s="58"/>
      <c r="D42" s="52">
        <v>621.84</v>
      </c>
      <c r="E42" s="29"/>
    </row>
    <row r="43" spans="1:6">
      <c r="A43" s="7">
        <f t="shared" si="0"/>
        <v>39</v>
      </c>
      <c r="B43" s="29" t="s">
        <v>41</v>
      </c>
      <c r="C43" s="58"/>
      <c r="D43" s="51">
        <v>1243.68</v>
      </c>
      <c r="E43" s="29"/>
    </row>
    <row r="44" spans="1:6">
      <c r="A44" s="76">
        <f t="shared" si="0"/>
        <v>40</v>
      </c>
      <c r="B44" s="75" t="s">
        <v>288</v>
      </c>
      <c r="C44" s="78"/>
      <c r="D44" s="79">
        <v>773.16</v>
      </c>
      <c r="E44" s="75" t="s">
        <v>283</v>
      </c>
    </row>
    <row r="45" spans="1:6">
      <c r="A45" s="7">
        <f t="shared" si="0"/>
        <v>41</v>
      </c>
      <c r="B45" s="29" t="s">
        <v>238</v>
      </c>
      <c r="C45" s="58"/>
      <c r="D45" s="51">
        <v>1191.03</v>
      </c>
      <c r="E45" s="29"/>
    </row>
    <row r="46" spans="1:6">
      <c r="A46" s="7">
        <f t="shared" si="0"/>
        <v>42</v>
      </c>
      <c r="B46" s="29" t="s">
        <v>157</v>
      </c>
      <c r="C46" s="58"/>
      <c r="D46" s="51">
        <v>677.81</v>
      </c>
      <c r="E46" s="29"/>
      <c r="F46" s="67"/>
    </row>
    <row r="47" spans="1:6">
      <c r="A47" s="7">
        <f t="shared" si="0"/>
        <v>43</v>
      </c>
      <c r="B47" s="37" t="s">
        <v>150</v>
      </c>
      <c r="C47" s="58"/>
      <c r="D47" s="51">
        <v>549.29</v>
      </c>
      <c r="E47" s="29"/>
    </row>
    <row r="48" spans="1:6">
      <c r="A48" s="7">
        <f t="shared" si="0"/>
        <v>44</v>
      </c>
      <c r="B48" s="29" t="s">
        <v>33</v>
      </c>
      <c r="C48" s="58">
        <v>1</v>
      </c>
      <c r="D48" s="51">
        <v>955.04</v>
      </c>
      <c r="E48" s="29"/>
    </row>
    <row r="49" spans="1:5">
      <c r="A49" s="7">
        <f t="shared" si="0"/>
        <v>45</v>
      </c>
      <c r="B49" s="37" t="s">
        <v>34</v>
      </c>
      <c r="C49" s="58"/>
      <c r="D49" s="53">
        <v>740.41</v>
      </c>
      <c r="E49" s="29"/>
    </row>
    <row r="50" spans="1:5">
      <c r="A50" s="7">
        <f t="shared" si="0"/>
        <v>46</v>
      </c>
      <c r="B50" s="29" t="s">
        <v>91</v>
      </c>
      <c r="C50" s="7"/>
      <c r="D50" s="53">
        <v>490.43</v>
      </c>
      <c r="E50" s="29"/>
    </row>
    <row r="51" spans="1:5">
      <c r="A51" s="7">
        <f t="shared" si="0"/>
        <v>47</v>
      </c>
      <c r="B51" s="37" t="s">
        <v>215</v>
      </c>
      <c r="C51" s="58"/>
      <c r="D51" s="54">
        <v>562.55999999999995</v>
      </c>
      <c r="E51" s="29"/>
    </row>
    <row r="52" spans="1:5">
      <c r="A52" s="81"/>
      <c r="B52" s="82"/>
      <c r="C52" s="58"/>
      <c r="D52" s="54"/>
      <c r="E52" s="29"/>
    </row>
    <row r="53" spans="1:5">
      <c r="A53" s="428" t="s">
        <v>253</v>
      </c>
      <c r="B53" s="429"/>
      <c r="C53" s="430"/>
      <c r="D53" s="83">
        <f>SUM(D5:D51)</f>
        <v>40517.4</v>
      </c>
      <c r="E53" s="84"/>
    </row>
    <row r="54" spans="1:5">
      <c r="A54" s="431" t="s">
        <v>258</v>
      </c>
      <c r="B54" s="432"/>
      <c r="C54" s="7">
        <f>A51</f>
        <v>47</v>
      </c>
      <c r="D54" s="52"/>
      <c r="E54" s="29"/>
    </row>
    <row r="55" spans="1:5">
      <c r="A55" s="431" t="s">
        <v>242</v>
      </c>
      <c r="B55" s="432"/>
      <c r="C55" s="58">
        <f>SUM(C5:C51)</f>
        <v>16</v>
      </c>
      <c r="D55" s="52"/>
      <c r="E55" s="29"/>
    </row>
    <row r="56" spans="1:5">
      <c r="A56" s="433" t="s">
        <v>246</v>
      </c>
      <c r="B56" s="434"/>
      <c r="C56" s="86">
        <f>SUM(C54:C55)</f>
        <v>63</v>
      </c>
      <c r="D56" s="52"/>
      <c r="E56" s="29"/>
    </row>
    <row r="57" spans="1:5">
      <c r="A57" s="425" t="s">
        <v>257</v>
      </c>
      <c r="B57" s="426"/>
      <c r="C57" s="427"/>
      <c r="D57" s="77"/>
      <c r="E57" s="75"/>
    </row>
    <row r="58" spans="1:5">
      <c r="A58" s="86"/>
      <c r="B58" s="87"/>
      <c r="C58" s="58"/>
      <c r="D58" s="52"/>
      <c r="E58" s="29"/>
    </row>
    <row r="59" spans="1:5">
      <c r="A59" s="86"/>
      <c r="B59" s="87"/>
      <c r="C59" s="58"/>
      <c r="D59" s="52"/>
      <c r="E59" s="29"/>
    </row>
    <row r="60" spans="1:5">
      <c r="A60" s="428" t="s">
        <v>259</v>
      </c>
      <c r="B60" s="429"/>
      <c r="C60" s="430"/>
      <c r="D60" s="83">
        <f>SUM(D58:D59)</f>
        <v>0</v>
      </c>
      <c r="E60" s="75"/>
    </row>
    <row r="61" spans="1:5">
      <c r="A61" s="91"/>
      <c r="B61" s="93" t="s">
        <v>287</v>
      </c>
      <c r="C61" s="92"/>
      <c r="D61" s="94">
        <v>1125.1199999999999</v>
      </c>
      <c r="E61" s="29" t="s">
        <v>286</v>
      </c>
    </row>
    <row r="62" spans="1:5">
      <c r="A62" s="91"/>
      <c r="B62" s="93" t="s">
        <v>288</v>
      </c>
      <c r="C62" s="92"/>
      <c r="D62" s="94">
        <v>773.16</v>
      </c>
      <c r="E62" s="29" t="s">
        <v>286</v>
      </c>
    </row>
    <row r="63" spans="1:5">
      <c r="A63" s="428" t="s">
        <v>265</v>
      </c>
      <c r="B63" s="429"/>
      <c r="C63" s="430"/>
      <c r="D63" s="83">
        <f>SUM(D61:D62)</f>
        <v>1898.2799999999997</v>
      </c>
      <c r="E63" s="75"/>
    </row>
    <row r="64" spans="1:5">
      <c r="A64" s="422" t="s">
        <v>37</v>
      </c>
      <c r="B64" s="423"/>
      <c r="C64" s="424"/>
      <c r="D64" s="80">
        <f>SUM(D53+D60+D63)</f>
        <v>42415.68</v>
      </c>
      <c r="E64" s="84"/>
    </row>
    <row r="65" spans="4:5">
      <c r="D65" s="72" t="s">
        <v>250</v>
      </c>
      <c r="E65" s="95">
        <v>43714</v>
      </c>
    </row>
    <row r="66" spans="4:5">
      <c r="D66" s="73" t="s">
        <v>251</v>
      </c>
      <c r="E66" s="74" t="s">
        <v>252</v>
      </c>
    </row>
  </sheetData>
  <mergeCells count="8">
    <mergeCell ref="A63:C63"/>
    <mergeCell ref="A64:C64"/>
    <mergeCell ref="A53:C53"/>
    <mergeCell ref="A55:B55"/>
    <mergeCell ref="A56:B56"/>
    <mergeCell ref="A57:C57"/>
    <mergeCell ref="A60:C60"/>
    <mergeCell ref="A54:B54"/>
  </mergeCells>
  <conditionalFormatting sqref="B1:B66">
    <cfRule type="duplicateValues" dxfId="32" priority="15"/>
  </conditionalFormatting>
  <conditionalFormatting sqref="B5:B52">
    <cfRule type="duplicateValues" dxfId="31" priority="16"/>
  </conditionalFormatting>
  <conditionalFormatting sqref="B27">
    <cfRule type="duplicateValues" dxfId="30" priority="2"/>
    <cfRule type="duplicateValues" dxfId="29" priority="3"/>
    <cfRule type="duplicateValues" dxfId="28" priority="4"/>
  </conditionalFormatting>
  <conditionalFormatting sqref="B67:B1048576">
    <cfRule type="duplicateValues" dxfId="27" priority="31"/>
  </conditionalFormatting>
  <conditionalFormatting sqref="B17:C17">
    <cfRule type="duplicateValues" dxfId="26" priority="12"/>
    <cfRule type="duplicateValues" dxfId="25" priority="13"/>
    <cfRule type="duplicateValues" dxfId="24" priority="14"/>
  </conditionalFormatting>
  <conditionalFormatting sqref="B21:C21">
    <cfRule type="duplicateValues" dxfId="23" priority="9"/>
    <cfRule type="duplicateValues" dxfId="22" priority="10"/>
    <cfRule type="duplicateValues" dxfId="21" priority="11"/>
  </conditionalFormatting>
  <conditionalFormatting sqref="B22:C22">
    <cfRule type="duplicateValues" dxfId="20" priority="6"/>
    <cfRule type="duplicateValues" dxfId="19" priority="7"/>
    <cfRule type="duplicateValues" dxfId="18" priority="8"/>
  </conditionalFormatting>
  <conditionalFormatting sqref="C5:C52 C58:C59">
    <cfRule type="notContainsBlanks" dxfId="17" priority="5">
      <formula>LEN(TRIM(C5))&gt;0</formula>
    </cfRule>
  </conditionalFormatting>
  <conditionalFormatting sqref="E5:E64">
    <cfRule type="notContainsBlanks" dxfId="16" priority="1">
      <formula>LEN(TRIM(E5))&gt;0</formula>
    </cfRule>
  </conditionalFormatting>
  <pageMargins left="1" right="1" top="1" bottom="1" header="0.5" footer="0.5"/>
  <pageSetup scale="78" fitToWidth="0" orientation="portrait" r:id="rId1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40F5-5420-F149-A409-8379ADEB875D}">
  <sheetPr>
    <tabColor theme="9" tint="0.59999389629810485"/>
    <pageSetUpPr fitToPage="1"/>
  </sheetPr>
  <dimension ref="A1:F65"/>
  <sheetViews>
    <sheetView topLeftCell="A23" zoomScale="120" zoomScaleNormal="120" zoomScalePageLayoutView="140" workbookViewId="0">
      <selection activeCell="I72" sqref="I72"/>
    </sheetView>
  </sheetViews>
  <sheetFormatPr baseColWidth="10" defaultColWidth="8.83203125" defaultRowHeight="13"/>
  <cols>
    <col min="1" max="1" width="4.1640625" customWidth="1"/>
    <col min="2" max="2" width="23.5" customWidth="1"/>
    <col min="3" max="3" width="10.5" style="3" bestFit="1" customWidth="1"/>
    <col min="4" max="4" width="13.1640625" customWidth="1"/>
    <col min="5" max="5" width="15.83203125" customWidth="1"/>
    <col min="6" max="6" width="13.6640625" customWidth="1"/>
    <col min="8" max="8" width="18.1640625" bestFit="1" customWidth="1"/>
  </cols>
  <sheetData>
    <row r="1" spans="1:5">
      <c r="A1" s="1" t="s">
        <v>0</v>
      </c>
      <c r="C1" s="88"/>
      <c r="D1" s="3"/>
      <c r="E1" s="68" t="s">
        <v>223</v>
      </c>
    </row>
    <row r="2" spans="1:5" ht="13.5" customHeight="1">
      <c r="A2" s="1" t="s">
        <v>249</v>
      </c>
      <c r="E2" s="89" t="s">
        <v>281</v>
      </c>
    </row>
    <row r="3" spans="1:5" ht="8" customHeight="1"/>
    <row r="4" spans="1:5">
      <c r="A4" s="50" t="s">
        <v>226</v>
      </c>
      <c r="B4" s="50" t="s">
        <v>225</v>
      </c>
      <c r="C4" s="50" t="s">
        <v>241</v>
      </c>
      <c r="D4" s="50" t="s">
        <v>224</v>
      </c>
      <c r="E4" s="50" t="s">
        <v>227</v>
      </c>
    </row>
    <row r="5" spans="1:5">
      <c r="A5" s="7">
        <v>1</v>
      </c>
      <c r="B5" s="37" t="s">
        <v>201</v>
      </c>
      <c r="C5" s="58"/>
      <c r="D5" s="54">
        <v>539.76</v>
      </c>
      <c r="E5" s="29"/>
    </row>
    <row r="6" spans="1:5">
      <c r="A6" s="7">
        <f>A5+1</f>
        <v>2</v>
      </c>
      <c r="B6" s="29" t="s">
        <v>72</v>
      </c>
      <c r="C6" s="7"/>
      <c r="D6" s="51">
        <v>1079.0999999999999</v>
      </c>
      <c r="E6" s="29"/>
    </row>
    <row r="7" spans="1:5">
      <c r="A7" s="7">
        <f>A6+1</f>
        <v>3</v>
      </c>
      <c r="B7" s="29" t="s">
        <v>254</v>
      </c>
      <c r="C7" s="7"/>
      <c r="D7" s="51">
        <v>424.51</v>
      </c>
      <c r="E7" s="29"/>
    </row>
    <row r="8" spans="1:5">
      <c r="A8" s="7">
        <f>A7+1</f>
        <v>4</v>
      </c>
      <c r="B8" s="29" t="s">
        <v>62</v>
      </c>
      <c r="C8" s="7"/>
      <c r="D8" s="51">
        <v>924.47</v>
      </c>
      <c r="E8" s="29"/>
    </row>
    <row r="9" spans="1:5">
      <c r="A9" s="7">
        <f t="shared" ref="A9:A49" si="0">A8+1</f>
        <v>5</v>
      </c>
      <c r="B9" s="37" t="s">
        <v>202</v>
      </c>
      <c r="C9" s="58"/>
      <c r="D9" s="51">
        <v>503.28</v>
      </c>
      <c r="E9" s="29"/>
    </row>
    <row r="10" spans="1:5">
      <c r="A10" s="7">
        <f t="shared" si="0"/>
        <v>6</v>
      </c>
      <c r="B10" s="37" t="s">
        <v>268</v>
      </c>
      <c r="C10" s="58"/>
      <c r="D10" s="51">
        <v>470.53</v>
      </c>
      <c r="E10" s="29"/>
    </row>
    <row r="11" spans="1:5">
      <c r="A11" s="76">
        <f t="shared" si="0"/>
        <v>7</v>
      </c>
      <c r="B11" s="85" t="s">
        <v>282</v>
      </c>
      <c r="C11" s="78"/>
      <c r="D11" s="79">
        <v>414.56</v>
      </c>
      <c r="E11" s="29" t="s">
        <v>283</v>
      </c>
    </row>
    <row r="12" spans="1:5">
      <c r="A12" s="7">
        <f t="shared" si="0"/>
        <v>8</v>
      </c>
      <c r="B12" s="29" t="s">
        <v>12</v>
      </c>
      <c r="C12" s="7">
        <v>1</v>
      </c>
      <c r="D12" s="51">
        <v>1369.29</v>
      </c>
      <c r="E12" s="29"/>
    </row>
    <row r="13" spans="1:5">
      <c r="A13" s="7">
        <f t="shared" si="0"/>
        <v>9</v>
      </c>
      <c r="B13" s="37" t="s">
        <v>48</v>
      </c>
      <c r="C13" s="58">
        <v>1</v>
      </c>
      <c r="D13" s="51">
        <v>801.66</v>
      </c>
      <c r="E13" s="29"/>
    </row>
    <row r="14" spans="1:5">
      <c r="A14" s="7">
        <f t="shared" si="0"/>
        <v>10</v>
      </c>
      <c r="B14" s="37" t="s">
        <v>269</v>
      </c>
      <c r="C14" s="58"/>
      <c r="D14" s="51">
        <v>598.63</v>
      </c>
      <c r="E14" s="29"/>
    </row>
    <row r="15" spans="1:5">
      <c r="A15" s="7">
        <f t="shared" si="0"/>
        <v>11</v>
      </c>
      <c r="B15" s="37" t="s">
        <v>205</v>
      </c>
      <c r="C15" s="58"/>
      <c r="D15" s="51">
        <v>434.46</v>
      </c>
      <c r="E15" s="29"/>
    </row>
    <row r="16" spans="1:5">
      <c r="A16" s="7">
        <f t="shared" si="0"/>
        <v>12</v>
      </c>
      <c r="B16" s="37" t="s">
        <v>236</v>
      </c>
      <c r="C16" s="58">
        <v>3</v>
      </c>
      <c r="D16" s="52">
        <v>1841.06</v>
      </c>
      <c r="E16" s="29"/>
    </row>
    <row r="17" spans="1:5">
      <c r="A17" s="7">
        <f t="shared" si="0"/>
        <v>13</v>
      </c>
      <c r="B17" s="61" t="s">
        <v>230</v>
      </c>
      <c r="C17" s="62"/>
      <c r="D17" s="51">
        <v>1243.68</v>
      </c>
      <c r="E17" s="29"/>
    </row>
    <row r="18" spans="1:5">
      <c r="A18" s="7">
        <f t="shared" si="0"/>
        <v>14</v>
      </c>
      <c r="B18" s="29" t="s">
        <v>234</v>
      </c>
      <c r="C18" s="7"/>
      <c r="D18" s="51">
        <v>1125.1199999999999</v>
      </c>
      <c r="E18" s="29"/>
    </row>
    <row r="19" spans="1:5">
      <c r="A19" s="7">
        <f t="shared" si="0"/>
        <v>15</v>
      </c>
      <c r="B19" s="29" t="s">
        <v>237</v>
      </c>
      <c r="C19" s="7">
        <v>1</v>
      </c>
      <c r="D19" s="51">
        <v>795.02</v>
      </c>
      <c r="E19" s="29"/>
    </row>
    <row r="20" spans="1:5">
      <c r="A20" s="7">
        <f t="shared" si="0"/>
        <v>16</v>
      </c>
      <c r="B20" s="29" t="s">
        <v>156</v>
      </c>
      <c r="C20" s="7"/>
      <c r="D20" s="51">
        <v>434.46</v>
      </c>
      <c r="E20" s="29"/>
    </row>
    <row r="21" spans="1:5">
      <c r="A21" s="7">
        <f t="shared" si="0"/>
        <v>17</v>
      </c>
      <c r="B21" s="61" t="s">
        <v>228</v>
      </c>
      <c r="C21" s="62"/>
      <c r="D21" s="51">
        <v>845.7</v>
      </c>
      <c r="E21" s="29"/>
    </row>
    <row r="22" spans="1:5">
      <c r="A22" s="7">
        <f t="shared" si="0"/>
        <v>18</v>
      </c>
      <c r="B22" s="61" t="s">
        <v>229</v>
      </c>
      <c r="C22" s="62"/>
      <c r="D22" s="51">
        <v>1191.03</v>
      </c>
      <c r="E22" s="29"/>
    </row>
    <row r="23" spans="1:5">
      <c r="A23" s="7">
        <f t="shared" si="0"/>
        <v>19</v>
      </c>
      <c r="B23" s="29" t="s">
        <v>235</v>
      </c>
      <c r="C23" s="7"/>
      <c r="D23" s="51">
        <v>707.24</v>
      </c>
      <c r="E23" s="29"/>
    </row>
    <row r="24" spans="1:5">
      <c r="A24" s="7">
        <f t="shared" si="0"/>
        <v>20</v>
      </c>
      <c r="B24" s="37" t="s">
        <v>63</v>
      </c>
      <c r="C24" s="58">
        <v>2</v>
      </c>
      <c r="D24" s="52">
        <v>1260.8900000000001</v>
      </c>
      <c r="E24" s="29"/>
    </row>
    <row r="25" spans="1:5">
      <c r="A25" s="7">
        <f t="shared" si="0"/>
        <v>21</v>
      </c>
      <c r="B25" s="37" t="s">
        <v>168</v>
      </c>
      <c r="C25" s="58"/>
      <c r="D25" s="51">
        <v>1125.1199999999999</v>
      </c>
      <c r="E25" s="29"/>
    </row>
    <row r="26" spans="1:5">
      <c r="A26" s="7">
        <f t="shared" si="0"/>
        <v>22</v>
      </c>
      <c r="B26" s="37" t="s">
        <v>88</v>
      </c>
      <c r="C26" s="58"/>
      <c r="D26" s="51">
        <v>1056.3</v>
      </c>
      <c r="E26" s="29"/>
    </row>
    <row r="27" spans="1:5">
      <c r="A27" s="7">
        <f t="shared" si="0"/>
        <v>23</v>
      </c>
      <c r="B27" s="55" t="s">
        <v>232</v>
      </c>
      <c r="C27" s="7"/>
      <c r="D27" s="51">
        <v>598.63</v>
      </c>
      <c r="E27" s="29"/>
    </row>
    <row r="28" spans="1:5">
      <c r="A28" s="7">
        <f t="shared" si="0"/>
        <v>24</v>
      </c>
      <c r="B28" s="37" t="s">
        <v>231</v>
      </c>
      <c r="C28" s="58">
        <v>1</v>
      </c>
      <c r="D28" s="51">
        <v>1008.94</v>
      </c>
      <c r="E28" s="29"/>
    </row>
    <row r="29" spans="1:5">
      <c r="A29" s="7">
        <f t="shared" si="0"/>
        <v>25</v>
      </c>
      <c r="B29" s="29" t="s">
        <v>270</v>
      </c>
      <c r="C29" s="7">
        <v>1</v>
      </c>
      <c r="D29" s="52">
        <v>811.61</v>
      </c>
      <c r="E29" s="29"/>
    </row>
    <row r="30" spans="1:5">
      <c r="A30" s="7">
        <f t="shared" si="0"/>
        <v>26</v>
      </c>
      <c r="B30" s="29" t="s">
        <v>239</v>
      </c>
      <c r="C30" s="7"/>
      <c r="D30" s="52">
        <v>463.89</v>
      </c>
      <c r="E30" s="29"/>
    </row>
    <row r="31" spans="1:5">
      <c r="A31" s="7">
        <f t="shared" si="0"/>
        <v>27</v>
      </c>
      <c r="B31" s="37" t="s">
        <v>133</v>
      </c>
      <c r="C31" s="58">
        <v>1</v>
      </c>
      <c r="D31" s="52">
        <v>1223.78</v>
      </c>
      <c r="E31" s="29"/>
    </row>
    <row r="32" spans="1:5">
      <c r="A32" s="7">
        <f t="shared" si="0"/>
        <v>28</v>
      </c>
      <c r="B32" s="37" t="s">
        <v>271</v>
      </c>
      <c r="C32" s="58">
        <v>1</v>
      </c>
      <c r="D32" s="52">
        <v>847.67</v>
      </c>
      <c r="E32" s="29"/>
    </row>
    <row r="33" spans="1:6">
      <c r="A33" s="7">
        <f t="shared" si="0"/>
        <v>29</v>
      </c>
      <c r="B33" s="29" t="s">
        <v>219</v>
      </c>
      <c r="C33" s="7"/>
      <c r="D33" s="51">
        <v>414.56</v>
      </c>
      <c r="E33" s="29"/>
    </row>
    <row r="34" spans="1:6">
      <c r="A34" s="7">
        <f t="shared" si="0"/>
        <v>30</v>
      </c>
      <c r="B34" s="37" t="s">
        <v>233</v>
      </c>
      <c r="C34" s="58"/>
      <c r="D34" s="51">
        <v>1243.68</v>
      </c>
      <c r="E34" s="29"/>
    </row>
    <row r="35" spans="1:6">
      <c r="A35" s="7">
        <f t="shared" si="0"/>
        <v>31</v>
      </c>
      <c r="B35" s="37" t="s">
        <v>214</v>
      </c>
      <c r="C35" s="58">
        <v>1</v>
      </c>
      <c r="D35" s="52">
        <v>1326.49</v>
      </c>
      <c r="E35" s="29"/>
    </row>
    <row r="36" spans="1:6">
      <c r="A36" s="76">
        <f t="shared" si="0"/>
        <v>32</v>
      </c>
      <c r="B36" s="85" t="s">
        <v>284</v>
      </c>
      <c r="C36" s="78">
        <v>2</v>
      </c>
      <c r="D36" s="77">
        <v>1650.36</v>
      </c>
      <c r="E36" s="29" t="s">
        <v>283</v>
      </c>
    </row>
    <row r="37" spans="1:6">
      <c r="A37" s="7">
        <f t="shared" si="0"/>
        <v>33</v>
      </c>
      <c r="B37" s="29" t="s">
        <v>272</v>
      </c>
      <c r="C37" s="7"/>
      <c r="D37" s="52">
        <v>1079.0999999999999</v>
      </c>
      <c r="E37" s="29"/>
    </row>
    <row r="38" spans="1:6">
      <c r="A38" s="7">
        <f t="shared" si="0"/>
        <v>34</v>
      </c>
      <c r="B38" s="29" t="s">
        <v>207</v>
      </c>
      <c r="C38" s="7"/>
      <c r="D38" s="52">
        <v>416.22</v>
      </c>
      <c r="E38" s="29"/>
    </row>
    <row r="39" spans="1:6">
      <c r="A39" s="7">
        <f t="shared" si="0"/>
        <v>35</v>
      </c>
      <c r="B39" s="37" t="s">
        <v>90</v>
      </c>
      <c r="C39" s="58"/>
      <c r="D39" s="51">
        <v>845.7</v>
      </c>
      <c r="E39" s="29"/>
    </row>
    <row r="40" spans="1:6">
      <c r="A40" s="7">
        <f t="shared" si="0"/>
        <v>36</v>
      </c>
      <c r="B40" s="37" t="s">
        <v>134</v>
      </c>
      <c r="C40" s="58"/>
      <c r="D40" s="52">
        <v>470.53</v>
      </c>
      <c r="E40" s="29"/>
    </row>
    <row r="41" spans="1:6">
      <c r="A41" s="7">
        <f t="shared" si="0"/>
        <v>37</v>
      </c>
      <c r="B41" s="37" t="s">
        <v>273</v>
      </c>
      <c r="C41" s="58"/>
      <c r="D41" s="52">
        <v>621.84</v>
      </c>
      <c r="E41" s="29"/>
    </row>
    <row r="42" spans="1:6">
      <c r="A42" s="7">
        <f t="shared" si="0"/>
        <v>38</v>
      </c>
      <c r="B42" s="29" t="s">
        <v>41</v>
      </c>
      <c r="C42" s="58"/>
      <c r="D42" s="51">
        <v>1243.68</v>
      </c>
      <c r="E42" s="29"/>
    </row>
    <row r="43" spans="1:6">
      <c r="A43" s="7">
        <f t="shared" si="0"/>
        <v>39</v>
      </c>
      <c r="B43" s="29" t="s">
        <v>238</v>
      </c>
      <c r="C43" s="58"/>
      <c r="D43" s="51">
        <v>1191.03</v>
      </c>
      <c r="E43" s="29"/>
    </row>
    <row r="44" spans="1:6">
      <c r="A44" s="7">
        <f t="shared" si="0"/>
        <v>40</v>
      </c>
      <c r="B44" s="29" t="s">
        <v>157</v>
      </c>
      <c r="C44" s="58"/>
      <c r="D44" s="51">
        <v>677.81</v>
      </c>
      <c r="E44" s="29"/>
    </row>
    <row r="45" spans="1:6">
      <c r="A45" s="7">
        <f t="shared" si="0"/>
        <v>41</v>
      </c>
      <c r="B45" s="37" t="s">
        <v>150</v>
      </c>
      <c r="C45" s="58"/>
      <c r="D45" s="51">
        <v>549.29</v>
      </c>
      <c r="E45" s="29"/>
    </row>
    <row r="46" spans="1:6">
      <c r="A46" s="7">
        <f t="shared" si="0"/>
        <v>42</v>
      </c>
      <c r="B46" s="29" t="s">
        <v>33</v>
      </c>
      <c r="C46" s="58">
        <v>1</v>
      </c>
      <c r="D46" s="51">
        <v>955.04</v>
      </c>
      <c r="E46" s="29"/>
      <c r="F46" s="67"/>
    </row>
    <row r="47" spans="1:6">
      <c r="A47" s="7">
        <f t="shared" si="0"/>
        <v>43</v>
      </c>
      <c r="B47" s="37" t="s">
        <v>34</v>
      </c>
      <c r="C47" s="58"/>
      <c r="D47" s="53">
        <v>740.41</v>
      </c>
      <c r="E47" s="29"/>
    </row>
    <row r="48" spans="1:6">
      <c r="A48" s="7">
        <f t="shared" si="0"/>
        <v>44</v>
      </c>
      <c r="B48" s="29" t="s">
        <v>91</v>
      </c>
      <c r="C48" s="7"/>
      <c r="D48" s="53">
        <v>490.43</v>
      </c>
      <c r="E48" s="29"/>
    </row>
    <row r="49" spans="1:5">
      <c r="A49" s="7">
        <f t="shared" si="0"/>
        <v>45</v>
      </c>
      <c r="B49" s="37" t="s">
        <v>215</v>
      </c>
      <c r="C49" s="58"/>
      <c r="D49" s="54">
        <v>562.55999999999995</v>
      </c>
      <c r="E49" s="29"/>
    </row>
    <row r="50" spans="1:5">
      <c r="A50" s="81"/>
      <c r="B50" s="82"/>
      <c r="C50" s="58"/>
      <c r="D50" s="54"/>
      <c r="E50" s="29"/>
    </row>
    <row r="51" spans="1:5">
      <c r="A51" s="428" t="s">
        <v>253</v>
      </c>
      <c r="B51" s="429"/>
      <c r="C51" s="430"/>
      <c r="D51" s="83">
        <f>SUM(D5:D49)</f>
        <v>38619.119999999995</v>
      </c>
      <c r="E51" s="84"/>
    </row>
    <row r="52" spans="1:5">
      <c r="A52" s="431" t="s">
        <v>258</v>
      </c>
      <c r="B52" s="432"/>
      <c r="C52" s="7">
        <f>A49</f>
        <v>45</v>
      </c>
      <c r="D52" s="52"/>
      <c r="E52" s="29"/>
    </row>
    <row r="53" spans="1:5">
      <c r="A53" s="431" t="s">
        <v>242</v>
      </c>
      <c r="B53" s="432"/>
      <c r="C53" s="58">
        <f>SUM(C5:C49)</f>
        <v>16</v>
      </c>
      <c r="D53" s="52"/>
      <c r="E53" s="29"/>
    </row>
    <row r="54" spans="1:5">
      <c r="A54" s="433" t="s">
        <v>246</v>
      </c>
      <c r="B54" s="434"/>
      <c r="C54" s="86">
        <f>SUM(C52:C53)</f>
        <v>61</v>
      </c>
      <c r="D54" s="52"/>
      <c r="E54" s="29"/>
    </row>
    <row r="55" spans="1:5">
      <c r="A55" s="425" t="s">
        <v>257</v>
      </c>
      <c r="B55" s="426"/>
      <c r="C55" s="427"/>
      <c r="D55" s="77"/>
      <c r="E55" s="75"/>
    </row>
    <row r="56" spans="1:5">
      <c r="A56" s="86"/>
      <c r="B56" s="87"/>
      <c r="C56" s="58"/>
      <c r="D56" s="52"/>
      <c r="E56" s="29"/>
    </row>
    <row r="57" spans="1:5">
      <c r="A57" s="86"/>
      <c r="B57" s="87"/>
      <c r="C57" s="58"/>
      <c r="D57" s="52"/>
      <c r="E57" s="29"/>
    </row>
    <row r="58" spans="1:5">
      <c r="A58" s="428" t="s">
        <v>259</v>
      </c>
      <c r="B58" s="429"/>
      <c r="C58" s="430"/>
      <c r="D58" s="83">
        <f>SUM(D56:D57)</f>
        <v>0</v>
      </c>
      <c r="E58" s="75"/>
    </row>
    <row r="59" spans="1:5">
      <c r="A59" s="91"/>
      <c r="B59" s="93" t="s">
        <v>282</v>
      </c>
      <c r="C59" s="92"/>
      <c r="D59" s="94">
        <v>829.12</v>
      </c>
      <c r="E59" s="29" t="s">
        <v>285</v>
      </c>
    </row>
    <row r="60" spans="1:5">
      <c r="A60" s="91"/>
      <c r="B60" s="93" t="s">
        <v>284</v>
      </c>
      <c r="C60" s="92">
        <v>2</v>
      </c>
      <c r="D60" s="94">
        <v>1650.36</v>
      </c>
      <c r="E60" s="29" t="s">
        <v>286</v>
      </c>
    </row>
    <row r="61" spans="1:5">
      <c r="A61" s="428" t="s">
        <v>265</v>
      </c>
      <c r="B61" s="429"/>
      <c r="C61" s="430"/>
      <c r="D61" s="83">
        <f>SUM(D59:D60)</f>
        <v>2479.48</v>
      </c>
      <c r="E61" s="75"/>
    </row>
    <row r="62" spans="1:5">
      <c r="A62" s="422" t="s">
        <v>37</v>
      </c>
      <c r="B62" s="423"/>
      <c r="C62" s="424"/>
      <c r="D62" s="80">
        <f>SUM(D51+D58+D61)</f>
        <v>41098.6</v>
      </c>
      <c r="E62" s="84"/>
    </row>
    <row r="63" spans="1:5">
      <c r="D63" s="72" t="s">
        <v>250</v>
      </c>
      <c r="E63" s="95">
        <v>43684</v>
      </c>
    </row>
    <row r="64" spans="1:5">
      <c r="D64" s="73" t="s">
        <v>251</v>
      </c>
      <c r="E64" s="74" t="s">
        <v>252</v>
      </c>
    </row>
    <row r="65" spans="2:3">
      <c r="B65" s="12"/>
      <c r="C65" s="60"/>
    </row>
  </sheetData>
  <mergeCells count="8">
    <mergeCell ref="A61:C61"/>
    <mergeCell ref="A62:C62"/>
    <mergeCell ref="A51:C51"/>
    <mergeCell ref="A52:B52"/>
    <mergeCell ref="A53:B53"/>
    <mergeCell ref="A54:B54"/>
    <mergeCell ref="A55:C55"/>
    <mergeCell ref="A58:C58"/>
  </mergeCells>
  <conditionalFormatting sqref="B1:B1048576">
    <cfRule type="duplicateValues" dxfId="15" priority="17"/>
  </conditionalFormatting>
  <conditionalFormatting sqref="B5:B50">
    <cfRule type="duplicateValues" dxfId="14" priority="34"/>
  </conditionalFormatting>
  <conditionalFormatting sqref="B27">
    <cfRule type="duplicateValues" dxfId="13" priority="3"/>
    <cfRule type="duplicateValues" dxfId="12" priority="4"/>
    <cfRule type="duplicateValues" dxfId="11" priority="5"/>
  </conditionalFormatting>
  <conditionalFormatting sqref="B17:C17">
    <cfRule type="duplicateValues" dxfId="10" priority="13"/>
    <cfRule type="duplicateValues" dxfId="9" priority="14"/>
    <cfRule type="duplicateValues" dxfId="8" priority="15"/>
  </conditionalFormatting>
  <conditionalFormatting sqref="B21:C21">
    <cfRule type="duplicateValues" dxfId="7" priority="10"/>
    <cfRule type="duplicateValues" dxfId="6" priority="11"/>
    <cfRule type="duplicateValues" dxfId="5" priority="12"/>
  </conditionalFormatting>
  <conditionalFormatting sqref="B22:C22">
    <cfRule type="duplicateValues" dxfId="4" priority="7"/>
    <cfRule type="duplicateValues" dxfId="3" priority="8"/>
    <cfRule type="duplicateValues" dxfId="2" priority="9"/>
  </conditionalFormatting>
  <conditionalFormatting sqref="C5:C50 C56:C57">
    <cfRule type="notContainsBlanks" dxfId="1" priority="6">
      <formula>LEN(TRIM(C5))&gt;0</formula>
    </cfRule>
  </conditionalFormatting>
  <conditionalFormatting sqref="E5:E62">
    <cfRule type="notContainsBlanks" dxfId="0" priority="2">
      <formula>LEN(TRIM(E5))&gt;0</formula>
    </cfRule>
  </conditionalFormatting>
  <pageMargins left="1" right="1" top="1" bottom="1" header="0.5" footer="0.5"/>
  <pageSetup scale="8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135</vt:i4>
      </vt:variant>
      <vt:variant>
        <vt:lpstr>Named Ranges</vt:lpstr>
      </vt:variant>
      <vt:variant>
        <vt:i4>52</vt:i4>
      </vt:variant>
    </vt:vector>
  </HeadingPairs>
  <TitlesOfParts>
    <vt:vector size="187" baseType="lpstr">
      <vt:lpstr>July 14</vt:lpstr>
      <vt:lpstr>Aug 14</vt:lpstr>
      <vt:lpstr>Sept 14</vt:lpstr>
      <vt:lpstr>Oct 14</vt:lpstr>
      <vt:lpstr>Nov 14</vt:lpstr>
      <vt:lpstr>Dec 14</vt:lpstr>
      <vt:lpstr>Jan 15</vt:lpstr>
      <vt:lpstr>Feb 15</vt:lpstr>
      <vt:lpstr>Mar 15</vt:lpstr>
      <vt:lpstr>Apr 2015</vt:lpstr>
      <vt:lpstr>May 2015</vt:lpstr>
      <vt:lpstr>June 2015</vt:lpstr>
      <vt:lpstr>July 2015</vt:lpstr>
      <vt:lpstr>Aug 2015</vt:lpstr>
      <vt:lpstr>Sep 2015</vt:lpstr>
      <vt:lpstr>Oct 2015</vt:lpstr>
      <vt:lpstr>Nov 2015</vt:lpstr>
      <vt:lpstr>Dec 2015</vt:lpstr>
      <vt:lpstr>Jan 2016</vt:lpstr>
      <vt:lpstr>Feb 2016</vt:lpstr>
      <vt:lpstr>Mar 2016</vt:lpstr>
      <vt:lpstr>April 2016</vt:lpstr>
      <vt:lpstr>May 2016</vt:lpstr>
      <vt:lpstr>June 2016</vt:lpstr>
      <vt:lpstr>July 2016</vt:lpstr>
      <vt:lpstr>Aug 2016</vt:lpstr>
      <vt:lpstr>Sep 2016</vt:lpstr>
      <vt:lpstr>Oct 2016</vt:lpstr>
      <vt:lpstr>Nov 2016</vt:lpstr>
      <vt:lpstr>Dec 2016</vt:lpstr>
      <vt:lpstr>Jan 2017</vt:lpstr>
      <vt:lpstr>Feb 2017</vt:lpstr>
      <vt:lpstr>March 2017</vt:lpstr>
      <vt:lpstr>April 2017</vt:lpstr>
      <vt:lpstr>May 2017</vt:lpstr>
      <vt:lpstr>June 2017</vt:lpstr>
      <vt:lpstr>July 2017</vt:lpstr>
      <vt:lpstr>Aug 2017</vt:lpstr>
      <vt:lpstr>Sept 2017</vt:lpstr>
      <vt:lpstr>Oct 2017</vt:lpstr>
      <vt:lpstr>Nov 2017</vt:lpstr>
      <vt:lpstr>Dec 2017</vt:lpstr>
      <vt:lpstr>Jan 2018</vt:lpstr>
      <vt:lpstr>Feb 2018</vt:lpstr>
      <vt:lpstr>Mar 2018</vt:lpstr>
      <vt:lpstr>April 2018</vt:lpstr>
      <vt:lpstr>May 2018</vt:lpstr>
      <vt:lpstr>June 2018</vt:lpstr>
      <vt:lpstr>July 2018</vt:lpstr>
      <vt:lpstr>August 2018</vt:lpstr>
      <vt:lpstr>December 2018</vt:lpstr>
      <vt:lpstr>January 2019</vt:lpstr>
      <vt:lpstr>February 2019</vt:lpstr>
      <vt:lpstr>March 2019</vt:lpstr>
      <vt:lpstr>April 2019</vt:lpstr>
      <vt:lpstr>May 2019 </vt:lpstr>
      <vt:lpstr>Jun 2019</vt:lpstr>
      <vt:lpstr>Jul 2019</vt:lpstr>
      <vt:lpstr>Aug 2019</vt:lpstr>
      <vt:lpstr>2025 12</vt:lpstr>
      <vt:lpstr>2025 11</vt:lpstr>
      <vt:lpstr>2025 10</vt:lpstr>
      <vt:lpstr>2025 09</vt:lpstr>
      <vt:lpstr>2025 08</vt:lpstr>
      <vt:lpstr>2025 07</vt:lpstr>
      <vt:lpstr>2025 06</vt:lpstr>
      <vt:lpstr>2025 05</vt:lpstr>
      <vt:lpstr>2025 04</vt:lpstr>
      <vt:lpstr>2025 03</vt:lpstr>
      <vt:lpstr>2025 02</vt:lpstr>
      <vt:lpstr>2025 01</vt:lpstr>
      <vt:lpstr>2024 12</vt:lpstr>
      <vt:lpstr>2024 11</vt:lpstr>
      <vt:lpstr>2024 10</vt:lpstr>
      <vt:lpstr>2024 09</vt:lpstr>
      <vt:lpstr>2024 08</vt:lpstr>
      <vt:lpstr>2024 07</vt:lpstr>
      <vt:lpstr>2024 06</vt:lpstr>
      <vt:lpstr>2024 05</vt:lpstr>
      <vt:lpstr>2024 04</vt:lpstr>
      <vt:lpstr>2024 03</vt:lpstr>
      <vt:lpstr>2024 02</vt:lpstr>
      <vt:lpstr>2024 01</vt:lpstr>
      <vt:lpstr>2023 12</vt:lpstr>
      <vt:lpstr>2023 11</vt:lpstr>
      <vt:lpstr>2023 10</vt:lpstr>
      <vt:lpstr>2023 09</vt:lpstr>
      <vt:lpstr>2023 08</vt:lpstr>
      <vt:lpstr>2023 07</vt:lpstr>
      <vt:lpstr>2023 06</vt:lpstr>
      <vt:lpstr>2023 05</vt:lpstr>
      <vt:lpstr>2023 04</vt:lpstr>
      <vt:lpstr>2023 03</vt:lpstr>
      <vt:lpstr>2023 02</vt:lpstr>
      <vt:lpstr>2023 01</vt:lpstr>
      <vt:lpstr>2022 12</vt:lpstr>
      <vt:lpstr>2022 11</vt:lpstr>
      <vt:lpstr>2022 10</vt:lpstr>
      <vt:lpstr>2022 09</vt:lpstr>
      <vt:lpstr>2022 08</vt:lpstr>
      <vt:lpstr>2022 07</vt:lpstr>
      <vt:lpstr>2022 06</vt:lpstr>
      <vt:lpstr>2022 05</vt:lpstr>
      <vt:lpstr>2022 04</vt:lpstr>
      <vt:lpstr>2022 03</vt:lpstr>
      <vt:lpstr>2022 02</vt:lpstr>
      <vt:lpstr>2022 01</vt:lpstr>
      <vt:lpstr>2021 12</vt:lpstr>
      <vt:lpstr>2021 11</vt:lpstr>
      <vt:lpstr>2021 10</vt:lpstr>
      <vt:lpstr>2021 09</vt:lpstr>
      <vt:lpstr>2021 08</vt:lpstr>
      <vt:lpstr>2021 07</vt:lpstr>
      <vt:lpstr>2021 06</vt:lpstr>
      <vt:lpstr>2021 05</vt:lpstr>
      <vt:lpstr>2021 04</vt:lpstr>
      <vt:lpstr>2021 03</vt:lpstr>
      <vt:lpstr>2021 02</vt:lpstr>
      <vt:lpstr>2021 01</vt:lpstr>
      <vt:lpstr>2020 12</vt:lpstr>
      <vt:lpstr>2020 11</vt:lpstr>
      <vt:lpstr>2020 10</vt:lpstr>
      <vt:lpstr>2020 09</vt:lpstr>
      <vt:lpstr>2020 08</vt:lpstr>
      <vt:lpstr>2020 07</vt:lpstr>
      <vt:lpstr>2020 06</vt:lpstr>
      <vt:lpstr>2020 05</vt:lpstr>
      <vt:lpstr>2020 04</vt:lpstr>
      <vt:lpstr>2020 03</vt:lpstr>
      <vt:lpstr>2020 02</vt:lpstr>
      <vt:lpstr>2020 01</vt:lpstr>
      <vt:lpstr>Dec 2019</vt:lpstr>
      <vt:lpstr>Nov 2019</vt:lpstr>
      <vt:lpstr>Oct 2019</vt:lpstr>
      <vt:lpstr>Sep 2019</vt:lpstr>
      <vt:lpstr>'2020 01'!Print_Area</vt:lpstr>
      <vt:lpstr>'2020 02'!Print_Area</vt:lpstr>
      <vt:lpstr>'2020 03'!Print_Area</vt:lpstr>
      <vt:lpstr>'2020 04'!Print_Area</vt:lpstr>
      <vt:lpstr>'2020 05'!Print_Area</vt:lpstr>
      <vt:lpstr>'2020 06'!Print_Area</vt:lpstr>
      <vt:lpstr>'2020 07'!Print_Area</vt:lpstr>
      <vt:lpstr>'2020 08'!Print_Area</vt:lpstr>
      <vt:lpstr>'2020 09'!Print_Area</vt:lpstr>
      <vt:lpstr>'2020 10'!Print_Area</vt:lpstr>
      <vt:lpstr>'2020 11'!Print_Area</vt:lpstr>
      <vt:lpstr>'2020 12'!Print_Area</vt:lpstr>
      <vt:lpstr>'2021 01'!Print_Area</vt:lpstr>
      <vt:lpstr>'2021 02'!Print_Area</vt:lpstr>
      <vt:lpstr>'2021 03'!Print_Area</vt:lpstr>
      <vt:lpstr>'2021 04'!Print_Area</vt:lpstr>
      <vt:lpstr>'2021 05'!Print_Area</vt:lpstr>
      <vt:lpstr>'2021 06'!Print_Area</vt:lpstr>
      <vt:lpstr>'2021 07'!Print_Area</vt:lpstr>
      <vt:lpstr>'2021 08'!Print_Area</vt:lpstr>
      <vt:lpstr>'2021 09'!Print_Area</vt:lpstr>
      <vt:lpstr>'2021 10'!Print_Area</vt:lpstr>
      <vt:lpstr>'2021 11'!Print_Area</vt:lpstr>
      <vt:lpstr>'2021 12'!Print_Area</vt:lpstr>
      <vt:lpstr>'2022 01'!Print_Area</vt:lpstr>
      <vt:lpstr>'2022 02'!Print_Area</vt:lpstr>
      <vt:lpstr>'2022 03'!Print_Area</vt:lpstr>
      <vt:lpstr>'2022 04'!Print_Area</vt:lpstr>
      <vt:lpstr>'2022 05'!Print_Area</vt:lpstr>
      <vt:lpstr>'2022 06'!Print_Area</vt:lpstr>
      <vt:lpstr>'2022 07'!Print_Area</vt:lpstr>
      <vt:lpstr>'2022 08'!Print_Area</vt:lpstr>
      <vt:lpstr>'2022 09'!Print_Area</vt:lpstr>
      <vt:lpstr>'2022 10'!Print_Area</vt:lpstr>
      <vt:lpstr>'2022 11'!Print_Area</vt:lpstr>
      <vt:lpstr>'2022 12'!Print_Area</vt:lpstr>
      <vt:lpstr>'2023 01'!Print_Area</vt:lpstr>
      <vt:lpstr>'2023 02'!Print_Area</vt:lpstr>
      <vt:lpstr>'2023 03'!Print_Area</vt:lpstr>
      <vt:lpstr>'2023 04'!Print_Area</vt:lpstr>
      <vt:lpstr>'2023 05'!Print_Area</vt:lpstr>
      <vt:lpstr>'2023 06'!Print_Area</vt:lpstr>
      <vt:lpstr>'2023 07'!Print_Area</vt:lpstr>
      <vt:lpstr>'2023 08'!Print_Area</vt:lpstr>
      <vt:lpstr>'Aug 2019'!Print_Area</vt:lpstr>
      <vt:lpstr>'Dec 2019'!Print_Area</vt:lpstr>
      <vt:lpstr>'Jul 2019'!Print_Area</vt:lpstr>
      <vt:lpstr>'Jun 2019'!Print_Area</vt:lpstr>
      <vt:lpstr>'May 2019 '!Print_Area</vt:lpstr>
      <vt:lpstr>'Nov 2019'!Print_Area</vt:lpstr>
      <vt:lpstr>'Oct 2019'!Print_Area</vt:lpstr>
      <vt:lpstr>'Sep 2019'!Print_Area</vt:lpstr>
    </vt:vector>
  </TitlesOfParts>
  <Company>Kai Ming Head Start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Zhao</dc:creator>
  <cp:lastModifiedBy>Sarah Escoto</cp:lastModifiedBy>
  <cp:lastPrinted>2020-07-28T15:11:22Z</cp:lastPrinted>
  <dcterms:created xsi:type="dcterms:W3CDTF">2014-06-17T21:23:00Z</dcterms:created>
  <dcterms:modified xsi:type="dcterms:W3CDTF">2025-11-19T21:59:22Z</dcterms:modified>
</cp:coreProperties>
</file>